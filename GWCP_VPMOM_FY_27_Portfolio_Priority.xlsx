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posals to consider " sheetId="1" r:id="rId5"/>
    <sheet state="visible" name="Pivot Table 2" sheetId="2" r:id="rId6"/>
    <sheet state="visible" name="FullKit exercise  " sheetId="3" r:id="rId7"/>
    <sheet state="visible" name="Status Tracking " sheetId="4" r:id="rId8"/>
    <sheet state="visible" name="Decision Log" sheetId="5" r:id="rId9"/>
  </sheets>
  <definedNames>
    <definedName hidden="1" localSheetId="0" name="_xlnm._FilterDatabase">'Proposals to consider '!$A$1:$AA$114</definedName>
    <definedName hidden="1" localSheetId="2" name="_xlnm._FilterDatabase">'FullKit exercise  '!$A$1:$BQ$32</definedName>
    <definedName hidden="1" localSheetId="3" name="_xlnm._FilterDatabase">'Status Tracking '!$A$1:$AC$41</definedName>
    <definedName hidden="1" localSheetId="2" name="Z_ED4B0A62_97F8_4E9B_A355_09B7A03BC5F2_.wvu.FilterData">'FullKit exercise  '!$A$1:$BQ$33</definedName>
  </definedNames>
  <calcPr/>
  <customWorkbookViews>
    <customWorkbookView activeSheetId="0" maximized="1" windowHeight="0" windowWidth="0" guid="{ED4B0A62-97F8-4E9B-A355-09B7A03BC5F2}" name="Warrior"/>
  </customWorkbookViews>
  <pivotCaches>
    <pivotCache cacheId="0" r:id="rId1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tc={06140aa9-ab26-43ca-ab2b-2b9c563d1a08}</author>
    <author>tc={0857c921-9646-4ccd-819a-3693303c315c}</author>
    <author>tc={0c1216fb-6df6-4f30-b103-b752ab8411ce}</author>
    <author>tc={0cf9ca31-e14e-403a-b2e6-ba318857ead9}</author>
    <author>tc={0d7523a4-0c07-498f-a63e-89b1a0de0c11}</author>
    <author>tc={1350604e-eca6-447d-9846-89f17ba9c912}</author>
    <author>tc={13ecfe3e-2d04-4b3e-b893-b3cbc938f300}</author>
    <author>tc={15837f3e-fad8-4b03-b5af-efa542b3b589}</author>
    <author>tc={15fad6c6-ca45-4e4e-84fd-ed8b5e2e3232}</author>
    <author>tc={27c3dd1b-f52a-4b54-af30-cde7a325601b}</author>
    <author>tc={2b17d89a-3689-4cce-8887-e058dbabbee0}</author>
    <author>tc={2e921182-298c-4ee4-bc31-a1ad965bb16f}</author>
    <author>tc={30b4c661-4bdc-4b36-aa3a-32f59b0349bd}</author>
    <author>tc={3590f2c0-3045-41ca-a999-98014aecc17f}</author>
    <author>tc={3a0d5026-b3da-4be6-8453-2350102a9f91}</author>
    <author>tc={3cf0e7c6-c6da-4fd3-a754-974a246d4406}</author>
    <author>tc={3fb26e25-9f35-4d83-a08c-07a0e5e43b1f}</author>
    <author>tc={485034a2-ddfb-4a16-b278-866994cc2856}</author>
    <author>tc={50925f7a-8dab-4bef-bca4-8da698b9bcba}</author>
    <author>tc={55819313-d8dc-4fb7-b35f-145aaaa360fe}</author>
    <author>tc={5646fe01-fa24-4a57-9272-8c824019160f}</author>
    <author>tc={5662ca7d-41f3-428b-91fb-3619c01edbb3}</author>
    <author>tc={599c2736-d7b9-4cf9-8622-32fa48247c15}</author>
    <author>tc={59ebc1a0-6e25-41ce-89da-0bf17ad4aaea}</author>
    <author>tc={5bf77df9-10b9-434c-8c6e-2f45267eaffc}</author>
    <author>tc={606f5b94-48fc-425b-8889-8c97cde04934}</author>
    <author>tc={62977468-ba3f-4026-81df-9eacdef1b735}</author>
    <author>tc={638bf7a5-55bb-4ae7-bad6-00868e33f404}</author>
    <author>tc={67781802-305c-43c8-bb88-e95762c3f6f1}</author>
    <author>tc={67b3acba-8d19-4ee6-bc8e-7ee07a3b359f}</author>
    <author>tc={6aff429e-69fa-4eba-abd1-074019dbc23c}</author>
    <author>tc={6cccffdb-e9d5-4f25-8fd3-b71b2495feab}</author>
    <author>tc={6e4eb37c-6e50-46d7-a85d-39e2bbbe7801}</author>
    <author>tc={6e992194-2f50-4683-8df8-e0a8a7d5fc79}</author>
    <author>tc={6fb7f266-93a4-410e-8c74-f3278bc6e0a4}</author>
    <author>tc={713230d8-bdce-48f8-9393-e2e2ded652ff}</author>
    <author>tc={71ffebfb-96a8-42a9-b405-c0cd10560205}</author>
    <author>tc={7543d162-8a4b-4fb1-b85c-3647a7c8b6cd}</author>
    <author>tc={7ac95cf1-7eb7-40c9-9f54-ee7ce0324736}</author>
    <author>tc={81ff0d0e-7e11-4823-8e55-b5c18a2cc15e}</author>
    <author>tc={822638ff-1b31-41b8-9993-922027340d1a}</author>
    <author>tc={85e87b4f-0665-4ff1-a7bf-ca5b8bda4336}</author>
    <author>tc={85ee7c77-8970-4a58-a552-8729df43c59d}</author>
    <author>tc={8879cba9-3fc5-4e20-b01c-ee07e5091166}</author>
    <author>tc={89767933-de7b-4bd2-afa4-7d0627c19382}</author>
    <author>tc={8cf0b7cc-6836-44c2-b589-1d65ccc7971c}</author>
    <author>tc={8d3bac53-c85e-468f-a24d-997b147314a7}</author>
    <author>tc={91a1ae9c-be94-4ca5-9963-3b0e7e5af11c}</author>
    <author>tc={91ed15dc-30a0-43a4-8f28-de74410634d4}</author>
    <author>tc={9c7c2fa3-bdd6-411a-a3f0-f161032a0a77}</author>
    <author>tc={9f70162e-5b01-4808-905d-c760434a3a30}</author>
    <author>tc={a6cf0d7d-1c64-4b1e-974f-48e5e4340075}</author>
    <author>tc={a9a066da-8a18-46be-9e7d-a3c9652c403c}</author>
    <author>tc={abfb9a7d-1cd0-4282-b0cb-6d63aa23e20e}</author>
    <author>tc={b2c63813-7058-4045-940e-576ec159ee73}</author>
    <author>tc={b7f3cc37-9556-49f5-8eb7-26091bf328e5}</author>
    <author>tc={ba2a3878-1c6c-47f6-a2b3-8ae9d75e7162}</author>
    <author>tc={bbed9b5b-6c30-43aa-9b78-2d6549c4c686}</author>
    <author>tc={c3f0067b-2d51-45ef-885a-922357383b6d}</author>
    <author>tc={c85c279c-c2d2-43bb-9588-b45a15ce5896}</author>
    <author>tc={cb3b6ae7-4764-4332-96fb-a00fefa9b56c}</author>
    <author>tc={cd3951d4-6616-4fa3-86c5-b4200cbe54ff}</author>
    <author>tc={cfa0ad4a-5b08-4d82-8d66-63499a8cc473}</author>
    <author>tc={d3831100-c229-426b-b685-e9273e65b7f1}</author>
    <author>tc={d92d5bf7-8380-45a3-9411-44d656032c8e}</author>
    <author>tc={dcc31aae-1ae2-43c5-ba9a-4ccf6b3e633e}</author>
    <author>tc={dcfbf276-1140-4e61-a3de-6a4aa5118709}</author>
    <author>tc={dfbd6224-095d-4227-ba50-d0226eaa2397}</author>
    <author>tc={e86dc618-caea-4520-b5a6-74e0f81b1715}</author>
    <author>tc={f1452e20-8177-45f1-8ce6-bcd98d9850fc}</author>
    <author>tc={f44a21f1-0f32-4f12-8d8a-67a38f848c32}</author>
    <author>tc={ff6b9a55-00e6-4472-9d63-7d667856a5c0}</author>
  </authors>
  <commentList>
    <comment authorId="0" xr:uid="{06140aa9-ab26-43ca-ab2b-2b9c563d1a08}" ref="A1">
      <text>
        <t xml:space="preserve">[Threaded comment]
 Your version of Excel allows you to read this threaded comment; however, any edits to it will get removed if the file is opened in a newer version of Excel. Learn more: https://go.microsoft.com/fwlink/?linkid=870924
Comment:
	@cpetluri@guidewire.com please drop a line about what changes are needed, thanks.
Reply:
	@llinville@guidewire.com I don't think we need any changes here after handing over Atlas. Please suggest otherwise
Reply:
	@cpetluri@guidewire.com : so the 4 weeks effort is for the handoff? @mzajac@guidewire.com I am assuming there is effort to take the handoff as well and the dependency for you is on brilliant.
Reply:
	@cpetluri@guidewire.com please validate against this https://guidewireconfluence.atlassian.net/wiki/spaces/KDC/pages/3402468441/Immutable+ID+Initiative+One+Pager#What-this-means-for-your-service, thx
Reply:
	@agopalakrishnan@guidewire.com Atlas handover to Michalowice has been completed, no additional effort here.
Reply:
	Brilliant's estimate is intended to reserve some time in order to react or adapt any changes to tenant id / star / planet naming (or sources of truth). Both Helios and PCA Cert Manager have dependencies on tenants / stars / planets.
Reply:
	@agopalakrishnan@guidewire.com As @mzajac@guidewire.com mentioned, Atlas handover is complete
I had a discussion with @llinville@guidewire.com and there is a dependency on Helios and I stand corrected on the effort required
</t>
      </text>
    </comment>
    <comment authorId="1" xr:uid="{0857c921-9646-4ccd-819a-3693303c315c}" ref="A1">
      <text>
        <t xml:space="preserve">[Threaded comment]
 Your version of Excel allows you to read this threaded comment; however, any edits to it will get removed if the file is opened in a newer version of Excel. Learn more: https://go.microsoft.com/fwlink/?linkid=870924
Comment:
	@amkhanna@guidewire.com Please look into the one-pager and help us out here. If you migrate to IAM as part of DR project, you can mark no dependency for express brokers adoption
Assigned to amkhanna@guidewire.com
Reply:
	Marked as "No dependency" based on our conversations
</t>
      </text>
    </comment>
    <comment authorId="2" xr:uid="{0c1216fb-6df6-4f30-b103-b752ab8411ce}" ref="A1">
      <text>
        <t xml:space="preserve">[Threaded comment]
 Your version of Excel allows you to read this threaded comment; however, any edits to it will get removed if the file is opened in a newer version of Excel. Learn more: https://go.microsoft.com/fwlink/?linkid=870924
Comment:
	Guard's "Entitlements" related needs are taken into account as part of Fulfillment Service estimate
</t>
      </text>
    </comment>
    <comment authorId="3" xr:uid="{0cf9ca31-e14e-403a-b2e6-ba318857ead9}" ref="A1">
      <text>
        <t xml:space="preserve">[Threaded comment]
 Your version of Excel allows you to read this threaded comment; however, any edits to it will get removed if the file is opened in a newer version of Excel. Learn more: https://go.microsoft.com/fwlink/?linkid=870924
Comment:
	@pdomider@guidewire.com : please create a 1 pager in confluence on the scope of this and link it here
1 total reaction
Piotr Domider reacted with ✅ at 07/08/2026, 11:30 AM UTC
Assigned to pdomider@guidewire.com
</t>
      </text>
    </comment>
    <comment authorId="4" xr:uid="{0d7523a4-0c07-498f-a63e-89b1a0de0c11}" ref="A1">
      <text>
        <t xml:space="preserve">[Threaded comment]
 Your version of Excel allows you to read this threaded comment; however, any edits to it will get removed if the file is opened in a newer version of Excel. Learn more: https://go.microsoft.com/fwlink/?linkid=870924
Comment:
	@dhsharma@guidewire.com Please help us out here
Assigned to dhsharma@guidewire.com
Reply:
	@cpetluri@guidewire.com ,
I see the phases you listed on the page does not talk about Mithril.
But in your open questions, I see there is still a open question "The feasibility of using Mithril for mapping AuthZ roles to SPIFFE IDs"
Which I believe should define if Mithril is in scope.
Can you check and confirm the scope here?
Reassigned to cpetluri@guidewire.com
Reply:
	@dhsharma@guidewire.com we are will have some more spikes to present the exact requirements. However, we are very sure that AuthZ will NOT be in the current scope of SPIRE implementation - only AuthN. 
Regarding the work for Mithril, for now, I request you to see if there's any adoption work for SPIRE if Mithril uses Helios.
CC: @llinville@guidewire.com
Reassigned to dhsharma@guidewire.com
Reply:
	@dhrsharma@guidewire.com @cpetluri@guidewire.com I'm interpreting the Initiative line item "Isolation: infra, Authn/Z/Security for AI Workload" to be an ask of the Mithril and Helios teams to support SPIRE based AuthZ
Reply:
	@cpetluri@guidewire.com what is the difference between item 30 and 31, if both are related to adopting Spire? we have added 4 weeks estimate for item 30 as a consumer of the work that you will be delivering.
Reply:
	Row 30 is to see if any of your Okta secrets need auto-rotation, then you migrate those secrets to Helios.
Row 31 is to switch to SPIRE from Okta for Helios AuthN
1 total reaction
Suresh Ramasamy reacted with 👍 at 07/15/2026, 5:47 PM UTC
Reply:
	ok, i have updated the estimate for storing secrets and accessing it in both GADS/OPA from Helios using SPIRE
1 total reaction
Chakravarthy Petluri reacted with 👍 at 07/15/2026, 7:23 PM UTC
</t>
      </text>
    </comment>
    <comment authorId="5" xr:uid="{1350604e-eca6-447d-9846-89f17ba9c912}" ref="A1">
      <text>
        <t xml:space="preserve">[Threaded comment]
 Your version of Excel allows you to read this threaded comment; however, any edits to it will get removed if the file is opened in a newer version of Excel. Learn more: https://go.microsoft.com/fwlink/?linkid=870924
Comment:
	@mzawadzka@guidewire.com Please see Slack message, I'm curious what this is for since no work for Okocim is identified here: https://guidewireconfluence.atlassian.net/wiki/spaces/CCS/pages/2430402590/BYOA+-+EA+GA+Deliverables
</t>
      </text>
    </comment>
    <comment authorId="6" xr:uid="{13ecfe3e-2d04-4b3e-b893-b3cbc938f300}" ref="A1">
      <text>
        <t xml:space="preserve">[Threaded comment]
 Your version of Excel allows you to read this threaded comment; however, any edits to it will get removed if the file is opened in a newer version of Excel. Learn more: https://go.microsoft.com/fwlink/?linkid=870924
Comment:
	@mzajac@guidewire.com Please look into the one-pager and help us out here. If you migrate to IAM as part of DR project, you can mark no dependency for express brokers adoption
Assigned to mzajac@guidewire.com
Reply:
	@cpetluri@guidewire.com neither Atlas nor Voyager uses MSK right now, so "No Dependency" is correct for this stage.
1 total reaction
Chakravarthy Petluri reacted with 👍 at 07/15/2026, 4:53 PM UTC
</t>
      </text>
    </comment>
    <comment authorId="7" xr:uid="{15837f3e-fad8-4b03-b5af-efa542b3b589}" ref="A1">
      <text>
        <t xml:space="preserve">[Threaded comment]
 Your version of Excel allows you to read this threaded comment; however, any edits to it will get removed if the file is opened in a newer version of Excel. Learn more: https://go.microsoft.com/fwlink/?linkid=870924
Comment:
	1. Error handling, retries, etc. for DB Service workflows
</t>
      </text>
    </comment>
    <comment authorId="8" xr:uid="{15fad6c6-ca45-4e4e-84fd-ed8b5e2e3232}" ref="A1">
      <text>
        <t xml:space="preserve">[Threaded comment]
 Your version of Excel allows you to read this threaded comment; however, any edits to it will get removed if the file is opened in a newer version of Excel. Learn more: https://go.microsoft.com/fwlink/?linkid=870924
Comment:
	@kjayachandran@guidewire.com need your help on this - if no dependency please update thx
Assigned to kjayachandran@guidewire.com
</t>
      </text>
    </comment>
    <comment authorId="9" xr:uid="{27c3dd1b-f52a-4b54-af30-cde7a325601b}" ref="A1">
      <text>
        <t xml:space="preserve">[Threaded comment]
 Your version of Excel allows you to read this threaded comment; however, any edits to it will get removed if the file is opened in a newer version of Excel. Learn more: https://go.microsoft.com/fwlink/?linkid=870924
Comment:
	IS:
- Automating de-provisioning of Lightweight Tenant (non-IS Carriers only)
IS NOT:
- Automating provisioning of Lightweight Tenant (already done; non-IS Carriers only)
- Converting LWT Tenant to GWCP Tenant (e.g. provisioning PrC at first then adding PC)
</t>
      </text>
    </comment>
    <comment authorId="10" xr:uid="{2b17d89a-3689-4cce-8887-e058dbabbee0}" ref="D90">
      <text>
        <t xml:space="preserve">[Threaded comment]
 Your version of Excel allows you to read this threaded comment; however, any edits to it will get removed if the file is opened in a newer version of Excel. Learn more: https://go.microsoft.com/fwlink/?linkid=870924
Comment:
	Given the DR and express broker adoption commitments, for FY27, we will tackle design and implementation part of it. FY28 will target adoption
</t>
      </text>
    </comment>
    <comment authorId="11" xr:uid="{2e921182-298c-4ee4-bc31-a1ad965bb16f}" ref="A1">
      <text>
        <t xml:space="preserve">[Threaded comment]
 Your version of Excel allows you to read this threaded comment; however, any edits to it will get removed if the file is opened in a newer version of Excel. Learn more: https://go.microsoft.com/fwlink/?linkid=870924
Comment:
	@dhsharma@guidewire.com Please look into the one-pager and help us out here. If you migrate to IAM as part of DR project, you can mark no dependency for express brokers adoption - I believe guard /Mithril will have an effect here based on the local initiative - "Keti Per-IZnDeployment and Event locality"
1 total reaction
Chakravarthy Petluri reacted with 👍 at 07/17/2026, 4:19 PM UTC
Assigned to dhsharma@guidewire.com
Reply:
	After some analysis what needs to be done, I estimate it to be a 4-week / 2-sol effort - just to switch to IAM authentication in Keti and enable DR readiness. MSK Express Borkers adoption requires additional work to fix the Keti deployment topology (so that we can retire cross-IZ MSK connections), so I'm adding a separate estimate there.
</t>
      </text>
    </comment>
    <comment authorId="12" xr:uid="{30b4c661-4bdc-4b36-aa3a-32f59b0349bd}" ref="A1">
      <text>
        <t xml:space="preserve">[Threaded comment]
 Your version of Excel allows you to read this threaded comment; however, any edits to it will get removed if the file is opened in a newer version of Excel. Learn more: https://go.microsoft.com/fwlink/?linkid=870924
Comment:
	@dhsharma@guidewire.com Please help us out here
</t>
      </text>
    </comment>
    <comment authorId="13" xr:uid="{3590f2c0-3045-41ca-a999-98014aecc17f}" ref="A1">
      <text>
        <t xml:space="preserve">[Threaded comment]
 Your version of Excel allows you to read this threaded comment; however, any edits to it will get removed if the file is opened in a newer version of Excel. Learn more: https://go.microsoft.com/fwlink/?linkid=870924
Comment:
	@atomar@guidewire.com Please help us out here
Reply:
	I put the estimate to switch RHSDR provisioner authenticating with Helios using SPIRE under "Okta secrets rotation"; feel free to move it here if needed.
Reply:
	I am moving it here accordingly. Thank you
</t>
      </text>
    </comment>
    <comment authorId="14" xr:uid="{3a0d5026-b3da-4be6-8453-2350102a9f91}" ref="A1">
      <text>
        <t xml:space="preserve">[Threaded comment]
 Your version of Excel allows you to read this threaded comment; however, any edits to it will get removed if the file is opened in a newer version of Excel. Learn more: https://go.microsoft.com/fwlink/?linkid=870924
Comment:
	@amkhanna@guidewire.com Please help us out here
Assigned to amkhanna@guidewire.com
</t>
      </text>
    </comment>
    <comment authorId="15" xr:uid="{3cf0e7c6-c6da-4fd3-a754-974a246d4406}" ref="D2">
      <text>
        <t xml:space="preserve">[Threaded comment]
 Your version of Excel allows you to read this threaded comment; however, any edits to it will get removed if the file is opened in a newer version of Excel. Learn more: https://go.microsoft.com/fwlink/?linkid=870924
Comment:
	This link appears to be for the line item below (audit logging). @pdomider@guidewire.com Do you have permission to edit this cell? May be good to add relevant OAM Postgres and/or Cepheid docs but we should at least remove the misleading link.
cc: @rasubramanian@guidewire.com
Assigned to pdomider@guidewire.com
Reply:
	Document is locked. @ujain@guidewire.com we need a super-hero here, can you please restore the previous value of this cell and copy this link to the line below (add to existing text)?
Reassigned to ujain@guidewire.com
</t>
      </text>
    </comment>
    <comment authorId="16" xr:uid="{3fb26e25-9f35-4d83-a08c-07a0e5e43b1f}" ref="A1">
      <text>
        <t xml:space="preserve">[Threaded comment]
 Your version of Excel allows you to read this threaded comment; however, any edits to it will get removed if the file is opened in a newer version of Excel. Learn more: https://go.microsoft.com/fwlink/?linkid=870924
Comment:
	HA Proxy is still there in some clusters, we need to special handle those
</t>
      </text>
    </comment>
    <comment authorId="17" xr:uid="{485034a2-ddfb-4a16-b278-866994cc2856}" ref="A1">
      <text>
        <t xml:space="preserve">[Threaded comment]
 Your version of Excel allows you to read this threaded comment; however, any edits to it will get removed if the file is opened in a newer version of Excel. Learn more: https://go.microsoft.com/fwlink/?linkid=870924
Comment:
	@fvarghese@guidewire.com could you please drop a line why you changed it from "No Dependency" to "2". I wonder what we missed, thx.
Assigned to fvarghese@guidewire.com
Reply:
	Hi @mzajac@guidewire.com , since michalowice handles voyager, @lkota@guidewire.com and I assumed there will be audit events/access logs that will be required from Voyager when new tenants are provisioned.
Reply:
	Hi @fvarghese@guidewire.com,
Just want to confirm the scope here - are we talking about audit/access logs that would be gathered and then made accessible to a Customer? In other words, logs for services the Customer uses in a self-service manner, where the Customer would reasonably expect to have access to them?
If that's the case, I'd note that Voyager is an internal tool, not customer-facing - so I'd assume Voyager's logs shouldn't be exposed to the Customer.
Let me know your thoughts, thanks.
Reply:
	Thank you Michal. That clarifies things a bit and since Voyager isnt exposed to the Customer, I doubt it needs audit/access logs for Customer use. I have set this to No Dependency now. Thank you!
</t>
      </text>
    </comment>
    <comment authorId="18" xr:uid="{50925f7a-8dab-4bef-bca4-8da698b9bcba}" ref="A1">
      <text>
        <t xml:space="preserve">[Threaded comment]
 Your version of Excel allows you to read this threaded comment; however, any edits to it will get removed if the file is opened in a newer version of Excel. Learn more: https://go.microsoft.com/fwlink/?linkid=870924
Comment:
	@cpetluri@guidewire.com I don't see any direct dependencies for Gokarna as part of this initiative.
1 total reaction
Chakravarthy Petluri reacted with 👍 at 07/17/2026, 4:18 PM UTC
Assigned to cpetluri@guidewire.com
</t>
      </text>
    </comment>
    <comment authorId="19" xr:uid="{55819313-d8dc-4fb7-b35f-145aaaa360fe}" ref="A1">
      <text>
        <t xml:space="preserve">[Threaded comment]
 Your version of Excel allows you to read this threaded comment; however, any edits to it will get removed if the file is opened in a newer version of Excel. Learn more: https://go.microsoft.com/fwlink/?linkid=870924
Comment:
	@kwcislo@guidewire.com Please look into the one-pager and help us out here. If you migrate to IAM as part of DR project, you can mark no dependency for express brokers adoption
Assigned to kwcislo@guidewire.com
</t>
      </text>
    </comment>
    <comment authorId="20" xr:uid="{5646fe01-fa24-4a57-9272-8c824019160f}" ref="A1">
      <text>
        <t xml:space="preserve">[Threaded comment]
 Your version of Excel allows you to read this threaded comment; however, any edits to it will get removed if the file is opened in a newer version of Excel. Learn more: https://go.microsoft.com/fwlink/?linkid=870924
Comment:
	Support spot nodes, cost team needs to adjust configs
</t>
      </text>
    </comment>
    <comment authorId="21" xr:uid="{5662ca7d-41f3-428b-91fb-3619c01edbb3}" ref="A1">
      <text>
        <t xml:space="preserve">[Threaded comment]
 Your version of Excel allows you to read this threaded comment; however, any edits to it will get removed if the file is opened in a newer version of Excel. Learn more: https://go.microsoft.com/fwlink/?linkid=870924
Comment:
	IS:
-&gt; Assigning dedicated Okta Group while provisioning UAA users.
IS NOT:
-&gt; switching from UAA to Okta Realms
</t>
      </text>
    </comment>
    <comment authorId="22" xr:uid="{599c2736-d7b9-4cf9-8622-32fa48247c15}" ref="A1">
      <text>
        <t xml:space="preserve">[Threaded comment]
 Your version of Excel allows you to read this threaded comment; however, any edits to it will get removed if the file is opened in a newer version of Excel. Learn more: https://go.microsoft.com/fwlink/?linkid=870924
Comment:
	Warrior scope (MVP + Day 2 features) for BYOA - Postgres OAM, DynamoDB
Reply:
	Work for component features are captured between the Cepheid line item and OAM Adoption line item. Also some overlap with the Kubernetes Quotas item, assuming we want to restrict the number of DB resources customers can create.
The estimate here is for the work required to secure the DB components so they are safe for external use, but that depends heavily on the RBAC implementation - need info on that from BYOA team before I can give an accurate estimate.
- ALL OAM components currently allow creation/management of AWS resources with any tenant prefix, which is not acceptable even for EA. There is currently no mechanism for the OAM components to determine what resources the user should have access to. Not including design/development of that solution in this estimate because it is not a DB-specific issue.
- Backup/restore is available already via Bash scripts but require that the user's role provides access to the Crossplane K8s objects and the underlying AWS resources. Need clarification on what the interface will be for customers to perform operational tasks and what permissions they will have before I can estimate backup/restore changes.
Reply:
	@rasubramanian@guidewire.com I see Cache mentioned in the proposal. Should I include an estimate for development of a Redis component?
Reply:
	Yes Lina, lets include it
Reply:
	@liking@guidewire.com Just FYI, I am moving this estimate to BYOA as @gs@guidewire.com asked to consolidate all the database components under that..
</t>
      </text>
    </comment>
    <comment authorId="23" xr:uid="{59ebc1a0-6e25-41ce-89da-0bf17ad4aaea}" ref="A1">
      <text>
        <t xml:space="preserve">[Threaded comment]
 Your version of Excel allows you to read this threaded comment; however, any edits to it will get removed if the file is opened in a newer version of Excel. Learn more: https://go.microsoft.com/fwlink/?linkid=870924
Comment:
	@pflasinski@guidewire.com I have Slacked you and the PMs for an estimate here; please also fill out dependencies if any.
Reply:
	Sure, I'm not sure if those dependencies have been discussed with the PM / Pod, but we'll followup
</t>
      </text>
    </comment>
    <comment authorId="24" xr:uid="{5bf77df9-10b9-434c-8c6e-2f45267eaffc}" ref="A1">
      <text>
        <t xml:space="preserve">[Threaded comment]
 Your version of Excel allows you to read this threaded comment; however, any edits to it will get removed if the file is opened in a newer version of Excel. Learn more: https://go.microsoft.com/fwlink/?linkid=870924
Comment:
	@kjayachandran@guidewire.com Please help us out here
</t>
      </text>
    </comment>
    <comment authorId="25" xr:uid="{606f5b94-48fc-425b-8889-8c97cde04934}" ref="A1">
      <text>
        <t xml:space="preserve">[Threaded comment]
 Your version of Excel allows you to read this threaded comment; however, any edits to it will get removed if the file is opened in a newer version of Excel. Learn more: https://go.microsoft.com/fwlink/?linkid=870924
Comment:
	Warrior scope ( Feature gaps with Database Service to manage clusters )- Postgres OAM
Reply:
	Estimate includes generic support for:
- Parameter groups
- Version upgrades
- Serverless
- Instance class expansion
- Additional instance groups + custom endpoints
- Database Insights
Global DB is captured in the OAM Adoption line item.
Reply:
	Are there any dependencies on other teams like Gokarna for this or you can complete and release these without any dependencies @rasubramanian@guidewire.com @liking@guidewire.com
Reply:
	@agopalakrishnan@guidewire.com This initiative primarily involves Dobra, Warrior and Wola only to develop the postgres OAM with feature parity for IS Database service. I will confirm if we have any OAM library/crossplane dependencies.
Reply:
	@agopalakrishnan@guidewire.com @rasubramanian@guidewire.com No dev dependencies that I am aware of at this point, although we may run into KubeVela bugs along the way, and will likely consult with Gokarna/Ajanta quite a bit as we introduce new patterns into OAM Library.
</t>
      </text>
    </comment>
    <comment authorId="26" xr:uid="{62977468-ba3f-4026-81df-9eacdef1b735}" ref="A1">
      <text>
        <t xml:space="preserve">[Threaded comment]
 Your version of Excel allows you to read this threaded comment; however, any edits to it will get removed if the file is opened in a newer version of Excel. Learn more: https://go.microsoft.com/fwlink/?linkid=870924
Comment:
	We need to develop a new Operator to help enable tenant and namespace-scoped quotas.
</t>
      </text>
    </comment>
    <comment authorId="27" xr:uid="{638bf7a5-55bb-4ae7-bad6-00868e33f404}" ref="A1">
      <text>
        <t xml:space="preserve">[Threaded comment]
 Your version of Excel allows you to read this threaded comment; however, any edits to it will get removed if the file is opened in a newer version of Excel. Learn more: https://go.microsoft.com/fwlink/?linkid=870924
Comment:
	@cpetluri@guidewire.com :
should this be subsumed under okta secrets rotation? Is this a necessary piece for doing okta secrets rotation?
Assigned to cpetluri@guidewire.com
Reply:
	Since SPIRE is required for Okta secrets rotation adoption (not the actual rotation), the team's rationale is to create a separate VPMOM for this. This way tracking and handling SPIRE alone is easier.
Reply:
	I'm not sure any work is required from Danville to unblock this initiative. @llinville@guidewire.com do you think anything is needed from Atmos Core? Thank you!
Reply:
	@beloysu@guidewire.com  I believe the ask here is for all LHS and RHS app teams to set aside a little time for adopting changes that will be required to enable SPIRE / SPIFFE in the Helios Client. This would involve a Helios Client upgrade and making a few changes to one's deployment provisioning (i.e. impacts one's k8s deployments and secrets).
1 total reaction
Chakravarthy Petluri reacted with ☝️ at 07/14/2026, 1:41 PM UTC
</t>
      </text>
    </comment>
    <comment authorId="28" xr:uid="{67781802-305c-43c8-bb88-e95762c3f6f1}" ref="A1">
      <text>
        <t xml:space="preserve">[Threaded comment]
 Your version of Excel allows you to read this threaded comment; however, any edits to it will get removed if the file is opened in a newer version of Excel. Learn more: https://go.microsoft.com/fwlink/?linkid=870924
Comment:
	@amkhanna@guidewire.com Please look into the one-pager and help us out here. If you migrate to IAM as part of DR project, you can mark no dependency for express brokers adoption
Assigned to amkhanna@guidewire.com
Reply:
	Marked as "No dependency" based on our conversations
</t>
      </text>
    </comment>
    <comment authorId="29" xr:uid="{67b3acba-8d19-4ee6-bc8e-7ee07a3b359f}" ref="A1">
      <text>
        <t xml:space="preserve">[Threaded comment]
 Your version of Excel allows you to read this threaded comment; however, any edits to it will get removed if the file is opened in a newer version of Excel. Learn more: https://go.microsoft.com/fwlink/?linkid=870924
Comment:
	Defining and implementing appropriate quotas for CRs that create databases
</t>
      </text>
    </comment>
    <comment authorId="30" xr:uid="{6aff429e-69fa-4eba-abd1-074019dbc23c}" ref="A1">
      <text>
        <t xml:space="preserve">[Threaded comment]
 Your version of Excel allows you to read this threaded comment; however, any edits to it will get removed if the file is opened in a newer version of Excel. Learn more: https://go.microsoft.com/fwlink/?linkid=870924
Comment:
	Estimating 3 sols for developing an Operator to help Kyverno enforce tenant-scoped, cluster-scoped quotas
</t>
      </text>
    </comment>
    <comment authorId="31" xr:uid="{6cccffdb-e9d5-4f25-8fd3-b71b2495feab}" ref="A1">
      <text>
        <t xml:space="preserve">[Threaded comment]
 Your version of Excel allows you to read this threaded comment; however, any edits to it will get removed if the file is opened in a newer version of Excel. Learn more: https://go.microsoft.com/fwlink/?linkid=870924
Comment:
	@llinville@guidewire.com @cpetluri@guidewire.com Is there no dependency on other teams? If so, please put "None" here.
Reply:
	Technically, once we release the K8s operator (where we don't have any dependency), it's the adoption part for other teams.
</t>
      </text>
    </comment>
    <comment authorId="32" xr:uid="{6e4eb37c-6e50-46d7-a85d-39e2bbbe7801}" ref="A1">
      <text>
        <t xml:space="preserve">[Threaded comment]
 Your version of Excel allows you to read this threaded comment; however, any edits to it will get removed if the file is opened in a newer version of Excel. Learn more: https://go.microsoft.com/fwlink/?linkid=870924
Comment:
	@mzajac@guidewire.com Based on the conversation here - https://guidewire.slack.com/archives/C0657SL7YNQ/p1784831007527559- I am adding the effort mentioned in SPIRE here
Assigned to mzajac@guidewire.com
</t>
      </text>
    </comment>
    <comment authorId="33" xr:uid="{6e992194-2f50-4683-8df8-e0a8a7d5fc79}" ref="A1">
      <text>
        <t xml:space="preserve">[Threaded comment]
 Your version of Excel allows you to read this threaded comment; however, any edits to it will get removed if the file is opened in a newer version of Excel. Learn more: https://go.microsoft.com/fwlink/?linkid=870924
Comment:
	Keti will have to manage the credentials
</t>
      </text>
    </comment>
    <comment authorId="34" xr:uid="{6fb7f266-93a4-410e-8c74-f3278bc6e0a4}" ref="A1">
      <text>
        <t xml:space="preserve">[Threaded comment]
 Your version of Excel allows you to read this threaded comment; however, any edits to it will get removed if the file is opened in a newer version of Excel. Learn more: https://go.microsoft.com/fwlink/?linkid=870924
Comment:
	@atomar@guidewire.com need your help on this - if no dependency please update as no dependency thx
Assigned to atomar@guidewire.com
Reply:
	@atomar@guidewire.com I am assuming no dependency, hence marking it as 0, if different pls update
Reply:
	agree
</t>
      </text>
    </comment>
    <comment authorId="35" xr:uid="{713230d8-bdce-48f8-9393-e2e2ded652ff}" ref="A1">
      <text>
        <t xml:space="preserve">[Threaded comment]
 Your version of Excel allows you to read this threaded comment; however, any edits to it will get removed if the file is opened in a newer version of Excel. Learn more: https://go.microsoft.com/fwlink/?linkid=870924
Comment:
	@dkravchenko@guidewire.com Please look into the one-pager and help us out here. If you migrate to IAM as part of DR project, you can mark no dependency for express brokers adoption
Assigned to dkravchenko@guidewire.com
Reply:
	Solaris is not included into current DR scope and not deployed to DR region. @bmzyk@guidewire.com could you please take a look to confirm there is no work for Solaris here?
1 total reaction
Chakravarthy Petluri reacted with 👍 at 07/15/2026, 5:26 PM UTC
</t>
      </text>
    </comment>
    <comment authorId="36" xr:uid="{71ffebfb-96a8-42a9-b405-c0cd10560205}" ref="A1">
      <text>
        <t xml:space="preserve">[Threaded comment]
 Your version of Excel allows you to read this threaded comment; however, any edits to it will get removed if the file is opened in a newer version of Excel. Learn more: https://go.microsoft.com/fwlink/?linkid=870924
Comment:
	@bsekar@guidewire.com @ujain@guidewire.com Does Hollister still exist? I thought it was wound down and I don't see it in PodIQ.
Reply:
	Yes. Hollister can be removed. I'll try to remove the column
</t>
      </text>
    </comment>
    <comment authorId="37" xr:uid="{7543d162-8a4b-4fb1-b85c-3647a7c8b6cd}" ref="A1">
      <text>
        <t xml:space="preserve">[Threaded comment]
 Your version of Excel allows you to read this threaded comment; however, any edits to it will get removed if the file is opened in a newer version of Excel. Learn more: https://go.microsoft.com/fwlink/?linkid=870924
Comment:
	We estimated 15 SOLs with RFCs as proofs
</t>
      </text>
    </comment>
    <comment authorId="38" xr:uid="{7ac95cf1-7eb7-40c9-9f54-ee7ce0324736}" ref="A1">
      <text>
        <t xml:space="preserve">[Threaded comment]
 Your version of Excel allows you to read this threaded comment; however, any edits to it will get removed if the file is opened in a newer version of Excel. Learn more: https://go.microsoft.com/fwlink/?linkid=870924
Comment:
	@gs@guidewire.com Please look into the one-pager and help us out here. If you migrate to IAM as part of DR project, you can mark no dependency for express brokers adoption
Assigned to gs@guidewire.com
Reply:
	@cpetluri@guidewire.com I don't see any dependency for Ajanta as part of this initiative. Thank you.
1 total reaction
Chakravarthy Petluri reacted with 👍 at 07/17/2026, 4:16 PM UTC
Reassigned to cpetluri@guidewire.com
</t>
      </text>
    </comment>
    <comment authorId="39" xr:uid="{81ff0d0e-7e11-4823-8e55-b5c18a2cc15e}" ref="A1">
      <text>
        <t xml:space="preserve">[Threaded comment]
 Your version of Excel allows you to read this threaded comment; however, any edits to it will get removed if the file is opened in a newer version of Excel. Learn more: https://go.microsoft.com/fwlink/?linkid=870924
Comment:
	@gbouzeid@guidewire.com :  : Can you create a 1 pager in confluence and link it here for the readers to know what this is about and as an expected outcome ?
Reply:
	oh sure - the RFC is at this location: https://guidewireconfluence.atlassian.net/wiki/spaces/CCS/pages/1310982635/rfc-24+WIP+Karpenter+as+autoscaler - I will create another page reflecting more about the why, the what, and the outcomes thx
Reply:
	added https://guidewireconfluence.atlassian.net/wiki/spaces/CCS/pages/3410919965/Karpenter+GA @msherwin@guidewire.com @vsura@guidewire.com need ure help with the review. thx!
</t>
      </text>
    </comment>
    <comment authorId="40" xr:uid="{822638ff-1b31-41b8-9993-922027340d1a}" ref="A1">
      <text>
        <t xml:space="preserve">[Threaded comment]
 Your version of Excel allows you to read this threaded comment; however, any edits to it will get removed if the file is opened in a newer version of Excel. Learn more: https://go.microsoft.com/fwlink/?linkid=870924
Comment:
	Additional effort which may be needed for LWT provisioning.
Reply:
	IS:
- Automating de-provisioning of Lightweight Tenant (non-IS Carriers only)
IS NOT:
- Automating provisioning of Lightweight Tenant (already done; non-IS Carriers only)
- Converting LWT Tenant to GWCP Tenant (e.g. provisioning PrC at first then adding PC)
</t>
      </text>
    </comment>
    <comment authorId="41" xr:uid="{85e87b4f-0665-4ff1-a7bf-ca5b8bda4336}" ref="A1">
      <text>
        <t xml:space="preserve">[Threaded comment]
 Your version of Excel allows you to read this threaded comment; however, any edits to it will get removed if the file is opened in a newer version of Excel. Learn more: https://go.microsoft.com/fwlink/?linkid=870924
Comment:
	Voyager sets gwcp:v1 tags on the SSM parameters. It seems like there will be some effort to switch to gwcp:v2 paradigm.
</t>
      </text>
    </comment>
    <comment authorId="42" xr:uid="{85ee7c77-8970-4a58-a552-8729df43c59d}" ref="A1">
      <text>
        <t xml:space="preserve">[Threaded comment]
 Your version of Excel allows you to read this threaded comment; however, any edits to it will get removed if the file is opened in a newer version of Excel. Learn more: https://go.microsoft.com/fwlink/?linkid=870924
Comment:
	@gbouzeid@guidewire.com Please help us out here
Assigned to gbouzeid@guidewire.com
Reply:
	@cpetluri@guidewire.com do you know/have the specific asks for Atmos Core? More Clusters to be provisioned? ECR changes? 
Adding also @beloy@guidewire.com for his input 
thx
Reply:
	If Helios is used, then SPIRE adoption will be required - https://guidewire.slack.com/archives/CCQFXJ0A0/p1783714486046539
Reply:
	@beloy@guidewire.com @msherwin@guidewire.com with the help of claude, i got the estimate of 4 weeks for Atmos Core adoption for SPIRe - please help confirming/updating thx
Reassigned to beloy@guidewire.com
</t>
      </text>
    </comment>
    <comment authorId="43" xr:uid="{8879cba9-3fc5-4e20-b01c-ee07e5091166}" ref="A1">
      <text>
        <t xml:space="preserve">[Threaded comment]
 Your version of Excel allows you to read this threaded comment; however, any edits to it will get removed if the file is opened in a newer version of Excel. Learn more: https://go.microsoft.com/fwlink/?linkid=870924
Comment:
	@gbouzeid@guidewire.com I assume there is no MSK usage here. If yes, please mark this as no dependency
Assigned to gbouzeid@guidewire.com
Reply:
	not aware of MSK usage for Bolinas - adding @bsekar@guidewire.com to comment as needed thx
</t>
      </text>
    </comment>
    <comment authorId="44" xr:uid="{89767933-de7b-4bd2-afa4-7d0627c19382}" ref="A1">
      <text>
        <t xml:space="preserve">[Threaded comment]
 Your version of Excel allows you to read this threaded comment; however, any edits to it will get removed if the file is opened in a newer version of Excel. Learn more: https://go.microsoft.com/fwlink/?linkid=870924
Comment:
	@amkhanna@guidewire.com Please help us out here
Assigned to amkhanna@guidewire.com
</t>
      </text>
    </comment>
    <comment authorId="45" xr:uid="{8cf0b7cc-6836-44c2-b589-1d65ccc7971c}" ref="A1">
      <text>
        <t xml:space="preserve">[Threaded comment]
 Your version of Excel allows you to read this threaded comment; however, any edits to it will get removed if the file is opened in a newer version of Excel. Learn more: https://go.microsoft.com/fwlink/?linkid=870924
Comment:
	Authz will also need to react to new credentials
</t>
      </text>
    </comment>
    <comment authorId="46" xr:uid="{8d3bac53-c85e-468f-a24d-997b147314a7}" ref="A1">
      <text>
        <t xml:space="preserve">[Threaded comment]
 Your version of Excel allows you to read this threaded comment; however, any edits to it will get removed if the file is opened in a newer version of Excel. Learn more: https://go.microsoft.com/fwlink/?linkid=870924
Comment:
	Atlas/Voyager may be impacted. Allocating time for design phase participation.
</t>
      </text>
    </comment>
    <comment authorId="47" xr:uid="{91a1ae9c-be94-4ca5-9963-3b0e7e5af11c}" ref="A1">
      <text>
        <t xml:space="preserve">[Threaded comment]
 Your version of Excel allows you to read this threaded comment; however, any edits to it will get removed if the file is opened in a newer version of Excel. Learn more: https://go.microsoft.com/fwlink/?linkid=870924
Comment:
	@ujain@guidewire.com This pod doesn't exist anymore.
</t>
      </text>
    </comment>
    <comment authorId="48" xr:uid="{91ed15dc-30a0-43a4-8f28-de74410634d4}" ref="A1">
      <text>
        <t xml:space="preserve">[Threaded comment]
 Your version of Excel allows you to read this threaded comment; however, any edits to it will get removed if the file is opened in a newer version of Excel. Learn more: https://go.microsoft.com/fwlink/?linkid=870924
Comment:
	1. Connect DB Service flows (backup/restore) to RDS OAM components
</t>
      </text>
    </comment>
    <comment authorId="49" xr:uid="{9c7c2fa3-bdd6-411a-a3f0-f161032a0a77}" ref="A1">
      <text>
        <t xml:space="preserve">[Threaded comment]
 Your version of Excel allows you to read this threaded comment; however, any edits to it will get removed if the file is opened in a newer version of Excel. Learn more: https://go.microsoft.com/fwlink/?linkid=870924
Comment:
	Moved to EA row
</t>
      </text>
    </comment>
    <comment authorId="50" xr:uid="{9f70162e-5b01-4808-905d-c760434a3a30}" ref="A1">
      <text>
        <t xml:space="preserve">[Threaded comment]
 Your version of Excel allows you to read this threaded comment; however, any edits to it will get removed if the file is opened in a newer version of Excel. Learn more: https://go.microsoft.com/fwlink/?linkid=870924
Comment:
	@msmriti@guidewire.com 
Please look into the one-pager and help us out here. If you migrate to IAM as part of DR project, you can mark no dependency for express brokers adoption
Assigned to msmriti@guidewire.com
Reply:
	@cpetluri@guidewire.com Need clarity on this. Capitola has no DR migration related dependency.
Is this for Nova microservices? It is mostly the nova users who needs to migrate MSK as it is added as a custom code for them.
Reply:
	This is for MSK. If you have anything to do with MSK connections, you have some work. If not, you can mark no dependency
</t>
      </text>
    </comment>
    <comment authorId="51" xr:uid="{a6cf0d7d-1c64-4b1e-974f-48e5e4340075}" ref="A1">
      <text>
        <t xml:space="preserve">[Threaded comment]
 Your version of Excel allows you to read this threaded comment; however, any edits to it will get removed if the file is opened in a newer version of Excel. Learn more: https://go.microsoft.com/fwlink/?linkid=870924
Comment:
	@mzajac@guidewire.com please add an estimate for "Voyager to implement synchronization between primary tenant and DR tenant"; I believe this is currently under discussion with Vulcan and Michalowice
Reply:
	Also, please add an estimate for the cassini endpoint in GWCP-102294 to pull service information for LHS service DR orchestration
Reply:
	IS:
-&gt; Voyager (provisioning/deprovisioning Star/Tenant; Tier support; Primary vs Failover infra drift detection; GA readiness)
-&gt; Atlas (DR resilience; Q-release+migrated to Helios canFailover rules; Tier support; Failover changes lock; observability; GA readiness; OAM adoption)
-&gt; Cassini (Universal URL (registration validation; mTLS); LHS Failover Orchestrator support)
IS NOT:
-&gt; Supporting DR on NPE /PPE
DR-related access model extension
-&gt; Supporting Private-Link
</t>
      </text>
    </comment>
    <comment authorId="52" xr:uid="{a9a066da-8a18-46be-9e7d-a3c9652c403c}" ref="A1">
      <text>
        <t xml:space="preserve">[Threaded comment]
 Your version of Excel allows you to read this threaded comment; however, any edits to it will get removed if the file is opened in a newer version of Excel. Learn more: https://go.microsoft.com/fwlink/?linkid=870924
Comment:
	Based on: https://guidewireconfluence.atlassian.net/wiki/spaces/CCS/pages/2337770289/wip+BYOK+-+Phase-1+-+Functional+and+Non-functional+requirements
</t>
      </text>
    </comment>
    <comment authorId="53" xr:uid="{abfb9a7d-1cd0-4282-b0cb-6d63aa23e20e}" ref="A1">
      <text>
        <t xml:space="preserve">[Threaded comment]
 Your version of Excel allows you to read this threaded comment; however, any edits to it will get removed if the file is opened in a newer version of Excel. Learn more: https://go.microsoft.com/fwlink/?linkid=870924
Comment:
	UI work as well
</t>
      </text>
    </comment>
    <comment authorId="54" xr:uid="{b2c63813-7058-4045-940e-576ec159ee73}" ref="A1">
      <text>
        <t xml:space="preserve">[Threaded comment]
 Your version of Excel allows you to read this threaded comment; however, any edits to it will get removed if the file is opened in a newer version of Excel. Learn more: https://go.microsoft.com/fwlink/?linkid=870924
Comment:
	Otel and Logs in Datadog
</t>
      </text>
    </comment>
    <comment authorId="55" xr:uid="{b7f3cc37-9556-49f5-8eb7-26091bf328e5}" ref="A1">
      <text>
        <t xml:space="preserve">[Threaded comment]
 Your version of Excel allows you to read this threaded comment; however, any edits to it will get removed if the file is opened in a newer version of Excel. Learn more: https://go.microsoft.com/fwlink/?linkid=870924
Comment:
	@gbouzeid@guidewire.com Please help us out here
Assigned to gbouzeid@guidewire.com
Reply:
	I am not aware of dependency from Bolinas - @ppaul@guidewire.com @bsekar@guidewire.com please confirm - i the meantime i will update as no dependency. thx
Reassigned to ppaul@guidewire.com
</t>
      </text>
    </comment>
    <comment authorId="56" xr:uid="{ba2a3878-1c6c-47f6-a2b3-8ae9d75e7162}" ref="A1">
      <text>
        <t xml:space="preserve">[Threaded comment]
 Your version of Excel allows you to read this threaded comment; however, any edits to it will get removed if the file is opened in a newer version of Excel. Learn more: https://go.microsoft.com/fwlink/?linkid=870924
Comment:
	@atomar@guidewire.com Please help us out here
Assigned to atomar@guidewire.com
Reply:
	According to the comment (https://docs.google.com/spreadsheets/d/1fJOnMTGebMdsd6tQtukruhoIyUMRuYZFb2S-DFuoyjg/edit?disco=AAAB_YYpqqY) work here only needs to be done if a team has a µS. Kanata has no µS and hence there's no migration to the new Helios client needed.
Reply:
	Technically, if you are using Helios, you will have the work. If not, "No dependency" works
</t>
      </text>
    </comment>
    <comment authorId="57" xr:uid="{bbed9b5b-6c30-43aa-9b78-2d6549c4c686}" ref="A1">
      <text>
        <t xml:space="preserve">[Threaded comment]
 Your version of Excel allows you to read this threaded comment; however, any edits to it will get removed if the file is opened in a newer version of Excel. Learn more: https://go.microsoft.com/fwlink/?linkid=870924
Comment:
	IS:
-&gt; Replacing Voyager for provisioning/deprovisioning Customer Tenants
-&gt; Fulfillment
--&gt; Dashboard (mechanism to answer the question what Carrier is entitled to vs what was provisioned; mechanism to trigger Day2 (postponed) provisioning)
--&gt; Interpreter (mechanism to translate commercial entitlements into provisioning/deprovisioning plan; mechanism to identify drift between provisioned and to be provisioned/deprovisioned entitlements)
--&gt; Executor (mechanism to execute a provisioning/deprovisioning plan)
--&gt; Steps Catalog (mechanism to register and store supplied by each product provisioning steps)
IS NOT:
-&gt; Replacing Voyager for provisioning/deprovisioning Internal Tenants
-&gt; Provisioning/deprovisioning Sandbox Stars
</t>
      </text>
    </comment>
    <comment authorId="58" xr:uid="{c3f0067b-2d51-45ef-885a-922357383b6d}" ref="A1">
      <text>
        <t xml:space="preserve">[Threaded comment]
 Your version of Excel allows you to read this threaded comment; however, any edits to it will get removed if the file is opened in a newer version of Excel. Learn more: https://go.microsoft.com/fwlink/?linkid=870924
Comment:
	1. Adjust PDB, affinity, etc.
Reply:
	Why do you need to adjust PDB? As for affinity, do we add any affinity now to get scheduled on managed node groups?
Reply:
	You're right, our initial guesstimate was based on the incomplete understanding (just the name Karpenter and AI summary). Changed to No Dependency. Thanks for catching that!
</t>
      </text>
    </comment>
    <comment authorId="59" xr:uid="{c85c279c-c2d2-43bb-9588-b45a15ce5896}" ref="A1">
      <text>
        <t xml:space="preserve">[Threaded comment]
 Your version of Excel allows you to read this threaded comment; however, any edits to it will get removed if the file is opened in a newer version of Excel. Learn more: https://go.microsoft.com/fwlink/?linkid=870924
Comment:
	Depends on:
-&gt; @atomar@guidewire.com Kanata (Tenant/Star.CRD removal handling)
-&gt; @mzawadzka@guidewire.com Okocim (Star/Asteroid removal)
Reply:
	Moved to EA row
</t>
      </text>
    </comment>
    <comment authorId="60" xr:uid="{cb3b6ae7-4764-4332-96fb-a00fefa9b56c}" ref="A1">
      <text>
        <t xml:space="preserve">[Threaded comment]
 Your version of Excel allows you to read this threaded comment; however, any edits to it will get removed if the file is opened in a newer version of Excel. Learn more: https://go.microsoft.com/fwlink/?linkid=870924
Comment:
	@cpetluri@guidewire.com : Please add a one pager in confluence and link it here
Assigned to cpetluri@guidewire.com
Reply:
	Done
</t>
      </text>
    </comment>
    <comment authorId="61" xr:uid="{cd3951d4-6616-4fa3-86c5-b4200cbe54ff}" ref="A1">
      <text>
        <t xml:space="preserve">[Threaded comment]
 Your version of Excel allows you to read this threaded comment; however, any edits to it will get removed if the file is opened in a newer version of Excel. Learn more: https://go.microsoft.com/fwlink/?linkid=870924
Comment:
	@ssandebiksham@guidewire.com this can be "None" right
</t>
      </text>
    </comment>
    <comment authorId="62" xr:uid="{cfa0ad4a-5b08-4d82-8d66-63499a8cc473}" ref="A1">
      <text>
        <t xml:space="preserve">[Threaded comment]
 Your version of Excel allows you to read this threaded comment; however, any edits to it will get removed if the file is opened in a newer version of Excel. Learn more: https://go.microsoft.com/fwlink/?linkid=870924
Comment:
	@kjayachandran@guidewire.com Please look into the one-pager and help us out here. If you migrate to IAM as part of DR project, you can mark no dependency for express brokers adoption
Assigned to kjayachandran@guidewire.com
Reply:
	Marked as done
Reply:
	Re-opened
Reply:
	@kjayachandran@guidewire.com Please mark the option "No dependency" if you have no work. Thanks in advance
</t>
      </text>
    </comment>
    <comment authorId="63" xr:uid="{d3831100-c229-426b-b685-e9273e65b7f1}" ref="G45">
      <text>
        <t xml:space="preserve">[Threaded comment]
 Your version of Excel allows you to read this threaded comment; however, any edits to it will get removed if the file is opened in a newer version of Excel. Learn more: https://go.microsoft.com/fwlink/?linkid=870924
Comment:
	@ujain@guidewire.com @atomar@guidewire.com this is what I was trying to ask, I think it should be "Local Product Initiative"; not "Not in FY 2027"
Assigned to ujain@guidewire.com
Reply:
	@ujain@guidewire.com now it has changed to "Duplicate"
Reply:
	@jdobson@guidewire.com what I meant was this is all bundled under CRDR for Prod... bucket ..we cannot list all features that are needed for CRDR.. hence I triaged it as Duplicate of CRDR for Prod
Reassigned to jdobson@guidewire.com
Reply:
	ok
</t>
      </text>
    </comment>
    <comment authorId="64" xr:uid="{d92d5bf7-8380-45a3-9411-44d656032c8e}" ref="A1">
      <text>
        <t xml:space="preserve">[Threaded comment]
 Your version of Excel allows you to read this threaded comment; however, any edits to it will get removed if the file is opened in a newer version of Excel. Learn more: https://go.microsoft.com/fwlink/?linkid=870924
Comment:
	IS:
-&gt; Atlas (SoR for Stars; generate Tenant/Star unique ID; share unique ID with Salesforce; generate missing unique IDs, short names, display names) 
-&gt; Voyager (provision Tenant/Star using unique IDs; allow to provision only if Tenant/Star exists in Atlas)
Cassini (accept GRNs with unique IDs)
IS NOT:
-&gt; Enabling Tenant / Star renaming (displayName/shortName)
TBD:
-&gt; Generating tenantKey, starKey, planetKey
</t>
      </text>
    </comment>
    <comment authorId="65" xr:uid="{dcc31aae-1ae2-43c5-ba9a-4ccf6b3e633e}" ref="A1">
      <text>
        <t xml:space="preserve">[Threaded comment]
 Your version of Excel allows you to read this threaded comment; however, any edits to it will get removed if the file is opened in a newer version of Excel. Learn more: https://go.microsoft.com/fwlink/?linkid=870924
Comment:
	@atomar@guidewire.com Myself and @rasubramanian@guidewire.com have updated all the Storage and DB OAM support for BYOA under one section or initiative only. So, this section will be empty. 
Anoop, requested to have one section for BYOA instead or splitting it into two sections of EA &amp; GA. Hence, we have updated one section only for both Ajanta and Warrior dependency weeks. Thank you. 
cc: @agopalakrishnan@guidewire.com
Assigned to atomar@guidewire.com
Reply:
	@gs@guidewire.com, I moved all the estimates to BYOA EA line time.
</t>
      </text>
    </comment>
    <comment authorId="66" xr:uid="{dcfbf276-1140-4e61-a3de-6a4aa5118709}" ref="A1">
      <text>
        <t xml:space="preserve">[Threaded comment]
 Your version of Excel allows you to read this threaded comment; however, any edits to it will get removed if the file is opened in a newer version of Excel. Learn more: https://go.microsoft.com/fwlink/?linkid=870924
Comment:
	@rasubramanian@guidewire.com I assume there are no dependencies here?
</t>
      </text>
    </comment>
    <comment authorId="67" xr:uid="{dfbd6224-095d-4227-ba50-d0226eaa2397}" ref="A1">
      <text>
        <t xml:space="preserve">[Threaded comment]
 Your version of Excel allows you to read this threaded comment; however, any edits to it will get removed if the file is opened in a newer version of Excel. Learn more: https://go.microsoft.com/fwlink/?linkid=870924
Comment:
	RDS OAM feature parity with terraform + apply those OAMs in IS RDS creation
Reply:
	Cepheid not included in estimates, as this would follow
</t>
      </text>
    </comment>
    <comment authorId="68" xr:uid="{e86dc618-caea-4520-b5a6-74e0f81b1715}" ref="A1">
      <text>
        <t xml:space="preserve">[Threaded comment]
 Your version of Excel allows you to read this threaded comment; however, any edits to it will get removed if the file is opened in a newer version of Excel. Learn more: https://go.microsoft.com/fwlink/?linkid=870924
Comment:
	Nova keti credentials management changes
</t>
      </text>
    </comment>
    <comment authorId="69" xr:uid="{f1452e20-8177-45f1-8ce6-bcd98d9850fc}" ref="F69">
      <text>
        <t xml:space="preserve">[Threaded comment]
 Your version of Excel allows you to read this threaded comment; however, any edits to it will get removed if the file is opened in a newer version of Excel. Learn more: https://go.microsoft.com/fwlink/?linkid=870924
Comment:
	Here's the RFC on this topic: https://guidewireconfluence.atlassian.net/wiki/spaces/KDC/pages/2995225061/Moving+Inbound+Connections+Storing+Certificates, FYI @pflasinski@guidewire.com @mdykes@guidewire.com. I think if we were to centralize networking in BHM, the BHM team should make a call on the final implementation
Reply:
	I don't see convincing arguments in the RFC to not use Helios. There are a few other certificate managers already in the wild for Guidewire, too. AND there is more functionality coming for the BYOK initiative for Helios. I've shared this information with the Helios folks and Avondale to get their take on it.
</t>
      </text>
    </comment>
    <comment authorId="70" xr:uid="{f44a21f1-0f32-4f12-8d8a-67a38f848c32}" ref="A1">
      <text>
        <t xml:space="preserve">[Threaded comment]
 Your version of Excel allows you to read this threaded comment; however, any edits to it will get removed if the file is opened in a newer version of Excel. Learn more: https://go.microsoft.com/fwlink/?linkid=870924
Comment:
	@gbouzeid@guidewire.com Do you know what work tymbark has for this item?
I see https://guidewirejira.atlassian.net/browse/GWCP-73456 is closed
Reply:
	this may have been added by @mzawadzka@guidewire.com adding her to comment as needed thx
Reply:
	this is Tymbark dependencies @kwcislo@guidewire.com is there any dependencies on tymbark?
Reply:
	Hi @gbouzeid@guidewire.com I discussed this initiative again with the Tymbark Pod, and we don’t see any dependencies on our side. We initially entered "2" as a placeholder for potential work, but it looks like there won’t be any work needed from us after all.
Reply:
	thanks for following up on this @kwcislo@guidewire.com
</t>
      </text>
    </comment>
    <comment authorId="71" xr:uid="{ff6b9a55-00e6-4472-9d63-7d667856a5c0}" ref="A1">
      <text>
        <t xml:space="preserve">[Threaded comment]
 Your version of Excel allows you to read this threaded comment; however, any edits to it will get removed if the file is opened in a newer version of Excel. Learn more: https://go.microsoft.com/fwlink/?linkid=870924
Comment:
	@atomar@guidewire.com Please look into the one-pager and help us out here. If you migrate to IAM as part of DR project, you can mark no dependency for express brokers adoption
Assigned to atomar@guidewire.com
Reply:
	@cpetluri@guidewire.com Vulcan doesn't own any µS that connects to MSK, so I have set this to no dependency.
Reply:
	Thank you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tc={05783dff-d0fa-4460-b4bc-ef43c5005887}</author>
    <author>tc={06eab84b-462a-4583-8153-0afe8bbe3b64}</author>
    <author>tc={072a7453-e6a8-4498-b5d1-649ab9219752}</author>
    <author>tc={096f6ed9-c09e-4290-a7f7-99499de4f232}</author>
    <author>tc={0b46f774-fcd3-418e-a11a-2490cc75372b}</author>
    <author>tc={0c7810be-e99b-4e5a-b823-cf7ad351d625}</author>
    <author>tc={0d0d9621-a0e3-48a2-9848-ec86c046528a}</author>
    <author>tc={0d0f74fd-df30-4121-a236-dd74b630f8c4}</author>
    <author>tc={0e46ed39-24ee-4e19-9841-5993510e6810}</author>
    <author>tc={0f2107f7-5532-42ef-9ce3-5b68dc3ce97b}</author>
    <author>tc={11988397-403a-4529-b87d-2d2308bed6df}</author>
    <author>tc={11ab4c4d-228c-4379-af8b-aa5530166399}</author>
    <author>tc={13b085b9-3627-4b77-b18c-1533e2a4b5d8}</author>
    <author>tc={1435960c-4793-4c13-a694-94b080ef2300}</author>
    <author>tc={16cac830-9166-4bad-816e-007f1ddf9437}</author>
    <author>tc={18ca1b62-e40b-4d21-8230-6f2b302efaa7}</author>
    <author>tc={1973c981-018e-4cd5-9270-612ee7d87797}</author>
    <author>tc={1a95edef-6f30-4ddb-b2e1-5d93c9d06588}</author>
    <author>tc={1b0d4fda-286c-4667-a8e8-b0b8df8d66b7}</author>
    <author>tc={1b7d04a0-5c1c-4258-a400-b2c4ea790e4f}</author>
    <author>tc={1daa958c-8874-46d9-8db4-f0b5f1b5e0da}</author>
    <author>tc={1dc2ac27-8e3c-4b09-83be-f9e8da8141af}</author>
    <author>tc={1e0d146f-0fe0-436d-9c19-97c53b8713f6}</author>
    <author>tc={1efcf07c-f45d-4132-a1b7-3d59eca764b8}</author>
    <author>tc={1efe5b4c-bcc2-41ba-a988-4c4878b666b5}</author>
    <author>tc={1f35a991-490a-43c0-91ad-d91a65fbdb3f}</author>
    <author>tc={213c2c71-a29f-46b4-bc21-79dbb7527cad}</author>
    <author>tc={21d96eea-f7c2-4b69-8113-5102e7c47c15}</author>
    <author>tc={22dd4a6a-27c7-4307-8a6d-e7dd0a250f4a}</author>
    <author>tc={24851f65-b50c-4642-b020-a8fdcd433935}</author>
    <author>tc={256ceb0c-5c6e-4b8e-bfe7-9fc8008070bb}</author>
    <author>tc={27a69228-57b1-4d0d-82fb-1d2e15eef96f}</author>
    <author>tc={27f2b70d-451c-49b7-88b5-fbbca3feeb87}</author>
    <author>tc={2924684b-ca79-4a8b-9667-7d0f6f132b3c}</author>
    <author>tc={2976b547-2495-40e6-9303-c4bc808572d6}</author>
    <author>tc={29dbdc30-32c2-44ba-9b21-362b7c7e3ce1}</author>
    <author>tc={2b6748c7-e9f3-4f3b-8de6-18dc5790f6f9}</author>
    <author>tc={2b787389-401a-41f2-abb5-4cacf571f775}</author>
    <author>tc={32c7eb3a-94d8-405e-9207-58a855a788e8}</author>
    <author>tc={32def6f1-4901-4156-987f-825125d24387}</author>
    <author>tc={333d5b58-a800-4144-a275-b26838ff809b}</author>
    <author>tc={352cc338-3737-4242-8524-3de0ccdd0fdf}</author>
    <author>tc={36c67e2f-be67-4deb-addc-e3a2fafe4efc}</author>
    <author>tc={37f2aba9-b7d4-42e6-935a-979eab75150d}</author>
    <author>tc={38b6925d-51ae-42f4-bcef-4e22d5de20f0}</author>
    <author>tc={39bdd8e3-f5fd-400d-a4e3-747343605e67}</author>
    <author>tc={3a51914d-17d8-448a-a89f-1cc90717ca06}</author>
    <author>tc={3ccc4074-20cb-4dec-9a60-a83776a49d2c}</author>
    <author>tc={3d9ebe7b-5e25-468a-8a6e-1c13386ab844}</author>
    <author>tc={3f1a6f0f-9120-421f-bf9a-3e209e1ece17}</author>
    <author>tc={3f2a09a4-6e22-4ec8-b31e-14ab09663005}</author>
    <author>tc={3fdef2b9-2b68-45d3-adab-51c313cea41f}</author>
    <author>tc={4061ba95-581b-4876-a5e8-95cc5ec93d4a}</author>
    <author>tc={4182ac31-b2bd-416b-b5eb-51f38bb8b8da}</author>
    <author>tc={423a6e99-501a-42dd-b14b-5917143ec781}</author>
    <author>tc={427d1402-0b7f-4f82-a546-8e0ed561705e}</author>
    <author>tc={42802fef-c0b2-4f6e-b845-c51082914658}</author>
    <author>tc={42bd47e1-2300-4f0f-88df-b2be2913ff6c}</author>
    <author>tc={439e79eb-4a1a-41f5-a20f-23920cc710cd}</author>
    <author>tc={43d0688a-76a3-4a04-997a-fed824d411a2}</author>
    <author>tc={43e8f524-c512-4f3e-b62f-e98c322db881}</author>
    <author>tc={447b3a90-d7df-4688-abdd-3cae2719dcbc}</author>
    <author>tc={456b40d2-eb58-41d4-ab53-22a35a9a7042}</author>
    <author>tc={466223ff-2c7c-4d80-a82a-52074c2b42e7}</author>
    <author>tc={468e2cfb-820f-4b7c-9295-fde636c08b57}</author>
    <author>tc={46905329-08c0-462b-8612-4ebe9b7cfe84}</author>
    <author>tc={486ff3d5-779b-4888-b586-9c1f87539066}</author>
    <author>tc={48ef96fa-f91b-48c6-b8cc-ac8ced862cbb}</author>
    <author>tc={49c8f8b5-8a85-4d3d-8e82-7d7eef3dfd44}</author>
    <author>tc={4a3cae41-5084-421f-945a-f906dd033834}</author>
    <author>tc={4bf72343-7e1d-4db5-a39a-9a3d0fe889a4}</author>
    <author>tc={4c0c76f6-1645-491f-bf85-f0be21c6ad2d}</author>
    <author>tc={4c25f547-9461-49cd-a539-6b8f18a84f28}</author>
    <author>tc={4f57e44f-35e4-4f7e-878b-074de31e6fda}</author>
    <author>tc={4fec5330-65f0-4613-bbe5-a0d2f4345f71}</author>
    <author>tc={509f6549-ebb3-41cb-ac50-bf16cbb895d4}</author>
    <author>tc={51230f0b-cff4-41f4-a860-01cecdf2f9b3}</author>
    <author>tc={567c8005-9f8e-4290-a371-bde2b9c3215f}</author>
    <author>tc={575ecfd8-6c01-4e24-9271-fadaf510611f}</author>
    <author>tc={584694d7-5625-4950-b445-353db260828e}</author>
    <author>tc={5892d086-c051-46da-bae7-2ca5ed3dcf5c}</author>
    <author>tc={5926a852-08a9-4193-b0b4-4a992962af3b}</author>
    <author>tc={597431a9-4032-462c-9e69-8c2584aa041d}</author>
    <author>tc={5a5b8d6e-0f15-4de4-9665-c2565f51a137}</author>
    <author>tc={5b1befd9-a263-430b-a411-341ec43c6721}</author>
    <author>tc={5c3ab2e9-676e-4eaf-af09-305fe0ea0e01}</author>
    <author>tc={5c9a11b3-32e6-4653-a8d0-c914f2177546}</author>
    <author>tc={5cac3f44-cdad-4238-b70a-bd310bcfd1c0}</author>
    <author>tc={5d86b898-b52f-4ef8-8d40-bc28908145df}</author>
    <author>tc={5efe7b6b-53ec-44ee-adb4-dc5f2ce82f16}</author>
    <author>tc={5fa25367-bddc-4e72-8f94-ba47d14689b5}</author>
    <author>tc={5fdae81a-fbbb-4bcd-979d-afa8685593ec}</author>
    <author>tc={607afb98-a8e6-4005-9440-602cdcfed8cb}</author>
    <author>tc={6218e846-345b-4d1f-a389-86b82d3fa5bc}</author>
    <author>tc={630cbd6f-d969-425c-bf78-ebddd2cd65bf}</author>
    <author>tc={631cb523-3345-4758-b98b-4347a3c122c8}</author>
    <author>tc={63440168-7964-4fbc-a72b-af52e95919b7}</author>
    <author>tc={64c651d9-5550-42fb-9ab4-aaacd38da7af}</author>
    <author>tc={6656b5d5-0f2d-4d54-8dcc-bf8380bf052c}</author>
    <author>tc={6824c3fa-d240-427f-9a49-3f69a3780e21}</author>
    <author>tc={68420049-8842-4e3a-88a6-f5e351848d0c}</author>
    <author>tc={68913f1e-819d-42c9-b405-846d247926ae}</author>
    <author>tc={6ac3f8a2-5678-4b89-ad2f-fff4facecf70}</author>
    <author>tc={6b9cd006-be98-4754-8930-e8ce6557e83f}</author>
    <author>tc={6c97d8c2-b6ac-4648-8121-f58aad88f8f0}</author>
    <author>tc={6cf99ba7-1835-4b07-a4b5-d463e9b405d2}</author>
    <author>tc={70f8aa08-f1d1-453f-9549-721d3cee90af}</author>
    <author>tc={72230ffe-97bd-4687-a67b-fd6293111319}</author>
    <author>tc={72df15e4-cf7c-4e1e-9d29-a570fb60a0ec}</author>
    <author>tc={74264e87-f056-448d-80e8-8b9f729fb02b}</author>
    <author>tc={756dee8c-77af-40e4-9532-b89ce684968a}</author>
    <author>tc={764a6a07-4fc4-4cc3-9e6f-61d5cf7de5f0}</author>
    <author>tc={7707a322-5c80-4620-9a6d-b9103b6bcb1a}</author>
    <author>tc={780e292d-6b13-4f67-9558-8ac2adfa269d}</author>
    <author>tc={7c4a5715-3e4c-4629-840d-6dbf8ef5d3ea}</author>
    <author>tc={7ee13d37-f7f8-4f8f-9fc0-ec89e70a45bc}</author>
    <author>tc={812d6a6e-6cde-4814-a1d7-e55a1c26add1}</author>
    <author>tc={82f46bf4-5c7d-4fa0-b91d-4d89ce4beb9e}</author>
    <author>tc={839b066c-f897-48d6-af61-944f5621298b}</author>
    <author>tc={8584ea0c-6c87-415d-84aa-e55cbbf67b95}</author>
    <author>tc={85a1567d-cdd2-4c42-9dc2-ca9a803a3b27}</author>
    <author>tc={877cce4d-de94-4a4d-bba8-44fde5aaf277}</author>
    <author>tc={877d6caa-148a-4cea-afba-409ab18ef6a4}</author>
    <author>tc={89096411-ff44-428c-aecf-7e8fb157a901}</author>
    <author>tc={8a1d2353-a084-484c-a526-7c24d07b1d52}</author>
    <author>tc={8c3c028b-d1d7-44f3-b8ca-47268b316e3c}</author>
    <author>tc={8c5fa8b8-a307-4db5-b21d-d869940cd381}</author>
    <author>tc={8db4b7e9-19bd-4e21-b5e1-924af704ed7c}</author>
    <author>tc={8e49d17b-e8d4-4896-bf3f-1fde2a32f0bd}</author>
    <author>tc={91054635-afda-4fd5-8149-c10bff5ed00e}</author>
    <author>tc={93386c03-a301-4f62-a638-48ebebd572a7}</author>
    <author>tc={9512421e-3b1c-4cce-86c5-4eed360c9e50}</author>
    <author>tc={95197f4e-c0d7-405e-a3fe-b8b60e5557bc}</author>
    <author>tc={979edbfa-d7a1-4607-b9ca-b08405761810}</author>
    <author>tc={982ae26f-6635-48bf-99a7-6259b8eb0b6f}</author>
    <author>tc={999c537e-bc70-4892-92e3-303956f8a3d8}</author>
    <author>tc={9b406bfa-13d6-46db-8246-86459b1cfce8}</author>
    <author>tc={9bab65fb-2112-4315-98c1-738ddc7bef59}</author>
    <author>tc={9de7cde4-676f-44d3-bac7-3e34b6aa1e66}</author>
    <author>tc={9f0791d1-c44d-45f7-93c1-8148ba649bca}</author>
    <author>tc={9f569737-90cc-4b40-a565-91e354ab605d}</author>
    <author>tc={9fae879b-72d8-48e5-ac60-248e934a516c}</author>
    <author>tc={a185fc47-2184-463d-b65f-3110d913a05e}</author>
    <author>tc={a2be4ae6-4eb3-4a05-b84a-a9ac3ccfc15f}</author>
    <author>tc={a36f1065-e053-4d9f-ae84-5103ef8e4a3d}</author>
    <author>tc={a6350e47-a4bf-4e48-b3ed-a91ed88adebd}</author>
    <author>tc={a6b11e33-6489-4d30-b274-b7546e357eb2}</author>
    <author>tc={a7643ca7-5d0f-4183-a61d-43787dc61e30}</author>
    <author>tc={ab65d65b-76be-4056-bddf-e8c667b045ad}</author>
    <author>tc={ac8ef17e-6e61-4459-881f-6615659bf5ea}</author>
    <author>tc={ae7509fd-4c28-493a-987f-1e4cadcc9a40}</author>
    <author>tc={aeda7e8c-dd84-4379-bccb-6e09b888e9b3}</author>
    <author>tc={afc657ee-a99e-46a3-b1c1-1449950c2ba6}</author>
    <author>tc={b1ef8eda-e357-4f40-aa8c-f74cd7bc1193}</author>
    <author>tc={b427bf42-74a2-41a1-bbf0-dd71ab7ec9ef}</author>
    <author>tc={b45088e1-3475-41fd-b2c9-c34453dfbb22}</author>
    <author>tc={b6812607-dfe7-46e3-b2ca-528a4a5c7e21}</author>
    <author>tc={b72ebed4-84db-41be-9af6-cea46426af82}</author>
    <author>tc={b7d4ccff-9950-45cb-9c5d-635af4f717fc}</author>
    <author>tc={b83b4343-a694-4bb9-8d7f-e7f8652fcf26}</author>
    <author>tc={b9b64d3f-ce7a-49ab-98af-293dbd632bf6}</author>
    <author>tc={bb77686f-5554-4f9e-9421-d680ca231f58}</author>
    <author>tc={bbf005cc-3403-4495-a422-b15018bf1f5f}</author>
    <author>tc={bd1aa074-2d2c-41f3-80ff-c167c1738098}</author>
    <author>tc={bd1b2051-5f50-4aca-8b04-9e65ad7790c1}</author>
    <author>tc={bdaf521c-26cc-4777-8fb8-b55c29c3629f}</author>
    <author>tc={be35527f-bf2d-48e3-82dd-1b1b2908a129}</author>
    <author>tc={beb8f0cf-4bae-484e-a893-6d0de5f044cd}</author>
    <author>tc={c0574e78-393b-4418-bf30-f9b3b80e39c3}</author>
    <author>tc={c12cbe8a-4830-411d-bf4f-f420f7e8272a}</author>
    <author>tc={c1907e11-56b7-4548-a6f1-34e53c128a74}</author>
    <author>tc={c2f11987-cd2f-47f7-92b5-a76deb75f6e8}</author>
    <author>tc={c3f913b7-e973-4359-8bc7-183d299bd022}</author>
    <author>tc={c5103691-f8d0-483c-ace7-d0672090713b}</author>
    <author>tc={c565052e-6b9f-46b2-ab45-c95bcb394001}</author>
    <author>tc={c5c39f25-57fe-4336-9658-ccd85204ea50}</author>
    <author>tc={c961714a-866f-4a05-97e9-2a2f2e231aeb}</author>
    <author>tc={ca45e26e-9c0f-453e-a977-df8501da1e8c}</author>
    <author>tc={cada88fb-a4a5-49dc-b8a8-9e745682b26b}</author>
    <author>tc={cb2a0496-f374-4b99-b320-bed23b330132}</author>
    <author>tc={cbc8e323-a415-465e-8123-6003350b4b6c}</author>
    <author>tc={cc3facaa-4189-42b8-ad56-23555cbc6042}</author>
    <author>tc={cc75ecf2-eb65-41b4-844e-dc7fd2c6104b}</author>
    <author>tc={ccfc27c4-29f6-4d16-9c31-68ac241a1b72}</author>
    <author>tc={cd5a674a-7e5d-441a-a4f2-a44bee55ca0b}</author>
    <author>tc={cf3501b2-d3fb-465e-93fc-e2c855968cfd}</author>
    <author>tc={d194f3ad-eca1-47dc-88c4-43fa2cb9cd16}</author>
    <author>tc={d1dc2ec7-2e36-4431-8c08-f42384382486}</author>
    <author>tc={d1f0de43-0b7b-4240-9138-29468fcf364c}</author>
    <author>tc={d23eb0f8-94ad-4239-a4f4-b8c78b611934}</author>
    <author>tc={d33a66a8-333a-4ab4-8646-3d4332643f0a}</author>
    <author>tc={d3c7bed6-d89c-4207-a7b3-b9150519e1a3}</author>
    <author>tc={d540cb08-f56f-4680-a5a1-60d255ab6513}</author>
    <author>tc={d724c1f3-49a3-4f50-b2e6-5901391393c9}</author>
    <author>tc={d76ceaba-f4d4-4d72-bac7-ebb38572f584}</author>
    <author>tc={d8e2b422-97b5-41d4-be3c-cbf4dc68ace5}</author>
    <author>tc={d9a37b15-c21f-4f10-a62e-11f607ec5ce2}</author>
    <author>tc={d9fedb62-fd7d-40c9-a018-70686648af24}</author>
    <author>tc={dab7678b-f17a-4ffb-86fc-6c4e7f26bf78}</author>
    <author>tc={dc30c620-2196-4b92-883d-d261a5c1f6ca}</author>
    <author>tc={dd13a7b8-70b8-433c-b9d6-9b7747418350}</author>
    <author>tc={de87e472-fd7f-47b0-a4f9-7bafcff275fb}</author>
    <author>tc={df072ebb-1976-457d-ab0d-9fa102d744ee}</author>
    <author>tc={df38473e-e311-4660-ad2f-ca82f972b8aa}</author>
    <author>tc={dfba2b59-9d95-4eb1-8e2d-a7888209b042}</author>
    <author>tc={e24732ba-4cdc-4afb-93b2-f852f9db8d03}</author>
    <author>tc={e4bb87dd-ade2-49b2-ae20-d7562a7912c3}</author>
    <author>tc={e60bc800-d22c-42e9-a78c-3998d1ab057b}</author>
    <author>tc={e807c196-8683-4854-a522-f7ec7e82177e}</author>
    <author>tc={e9dacff7-d3c7-4362-83d2-c32168cfdf8a}</author>
    <author>tc={eccdcf22-bc50-4112-aaee-48f24f339bd4}</author>
    <author>tc={ecf79049-5378-43d0-978c-06754d6a7912}</author>
    <author>tc={ed08e0d2-bf73-4a1f-a34e-5e2f3cb88d73}</author>
    <author>tc={ef35d713-756a-4bf2-ae0a-d9678bc2fa67}</author>
    <author>tc={f0b1b83e-6250-4a56-b892-f5dfeeb7c203}</author>
    <author>tc={f0bb74e2-ed02-442f-b411-fa6a469de5d9}</author>
    <author>tc={f0f056f2-3bcc-44c6-9036-772606ca35f0}</author>
    <author>tc={f196e23f-91db-4e14-92da-e6e4d295ab32}</author>
    <author>tc={f28da837-91ad-431f-8ed8-30cc3d3e3a42}</author>
    <author>tc={f331398f-b3cf-4fab-acca-b95211c921e8}</author>
    <author>tc={f59e09ca-4326-4caf-af18-e37eecce0c1e}</author>
    <author>tc={f946d7d0-6658-4529-869a-3e0d9091ac28}</author>
    <author>tc={fb5d142d-ca62-4d12-af60-53d30b5748c1}</author>
    <author>tc={ffb3e0be-0ba9-4487-ad68-d221d8a5bf6c}</author>
  </authors>
  <commentList>
    <comment authorId="0" xr:uid="{05783dff-d0fa-4460-b4bc-ef43c5005887}" ref="B9">
      <text>
        <t xml:space="preserve">[Threaded comment]
 Your version of Excel allows you to read this threaded comment; however, any edits to it will get removed if the file is opened in a newer version of Excel. Learn more: https://go.microsoft.com/fwlink/?linkid=870924
Comment:
	@cpetluri@guidewire.com : Please add a one pager in confluence and link it here
Reply:
	Done
</t>
      </text>
    </comment>
    <comment authorId="1" xr:uid="{06eab84b-462a-4583-8153-0afe8bbe3b64}" ref="BM19">
      <text>
        <t xml:space="preserve">[Threaded comment]
 Your version of Excel allows you to read this threaded comment; however, any edits to it will get removed if the file is opened in a newer version of Excel. Learn more: https://go.microsoft.com/fwlink/?linkid=870924
Comment:
	Need more info. Estimate is high level, scoped just to design for data retrieval requirements.
</t>
      </text>
    </comment>
    <comment authorId="2" xr:uid="{072a7453-e6a8-4498-b5d1-649ab9219752}" ref="Q11">
      <text>
        <t xml:space="preserve">[Threaded comment]
 Your version of Excel allows you to read this threaded comment; however, any edits to it will get removed if the file is opened in a newer version of Excel. Learn more: https://go.microsoft.com/fwlink/?linkid=870924
Comment:
	@rasubramanian@guidewire.com @mrusso@guidewire.com is there not a dependency on decoupling TenantOption?
Reply:
	I probably should've clarified this. I was estimating for FY27, where I was assuming we would already be done with TMD. In this sprint, we were working on what we thought were the final stages.
That said, we just encountered a blocker yesterday. I'll add a dependency on Kanata to address this.
Reply:
	Got it, I wasn't aware you were working on it before FY27. Thanks!
1 total reaction
Michael Russo reacted with 👍 at 07/06/2026, 10:36 PM UTC
</t>
      </text>
    </comment>
    <comment authorId="3" xr:uid="{096f6ed9-c09e-4290-a7f7-99499de4f232}" ref="AY8">
      <text>
        <t xml:space="preserve">[Threaded comment]
 Your version of Excel allows you to read this threaded comment; however, any edits to it will get removed if the file is opened in a newer version of Excel. Learn more: https://go.microsoft.com/fwlink/?linkid=870924
Comment:
	@kjayachandran@guidewire.com I don't think Sagara will be impacted by the Unique ID, so I've set it to "No Dependency." If you see it differently, feel free to add an estimate instead. You can check the One Pager for more details - thanks.
Assigned to kjayachandran@guidewire.com
</t>
      </text>
    </comment>
    <comment authorId="4" xr:uid="{0b46f774-fcd3-418e-a11a-2490cc75372b}" ref="N8">
      <text>
        <t xml:space="preserve">[Threaded comment]
 Your version of Excel allows you to read this threaded comment; however, any edits to it will get removed if the file is opened in a newer version of Excel. Learn more: https://go.microsoft.com/fwlink/?linkid=870924
Comment:
	@amkhanna@guidewire.com I added Michalowice as Alleppey dependency, please adjust if needed.
Assigned to amkhanna@guidewire.com
Reply:
	Hi @mzajac@guidewire.com if this relates to Guard it should be Pod-Bandipur
Reply:
	@amkhanna@guidewire.com does this mean the effort for Alleppey needs to be corrected? If so, please adjust it accordingly, thx.
</t>
      </text>
    </comment>
    <comment authorId="5" xr:uid="{0c7810be-e99b-4e5a-b823-cf7ad351d625}" ref="AS9">
      <text>
        <t xml:space="preserve">[Threaded comment]
 Your version of Excel allows you to read this threaded comment; however, any edits to it will get removed if the file is opened in a newer version of Excel. Learn more: https://go.microsoft.com/fwlink/?linkid=870924
Comment:
	@dhsharma@guidewire.com We might have to build a new AuthN and AuthZ model for the proposed Key service mentioned in the updated one pager document. Please help us out here
Assigned to dhsharma@guidewire.com
Reply:
	@cpetluri@guidewire.com , can you add details to the one pager?
Tbh... I am not able to relate to what we mean by new AuthN/Z model?
Or, can you schedule a call where we can discuss?
Reassigned to cpetluri@guidewire.com
Reply:
	We have a call setup for the same today.
</t>
      </text>
    </comment>
    <comment authorId="6" xr:uid="{0d0d9621-a0e3-48a2-9848-ec86c046528a}" ref="BO7">
      <text>
        <t xml:space="preserve">[Threaded comment]
 Your version of Excel allows you to read this threaded comment; however, any edits to it will get removed if the file is opened in a newer version of Excel. Learn more: https://go.microsoft.com/fwlink/?linkid=870924
Comment:
	Measure DB &amp; storage contribution, optimize and parallelize maintenance flow.
</t>
      </text>
    </comment>
    <comment authorId="7" xr:uid="{0d0f74fd-df30-4121-a236-dd74b630f8c4}" ref="B30">
      <text>
        <t xml:space="preserve">[Threaded comment]
 Your version of Excel allows you to read this threaded comment; however, any edits to it will get removed if the file is opened in a newer version of Excel. Learn more: https://go.microsoft.com/fwlink/?linkid=870924
Comment:
	@gbouzeid@guidewire.com : Please create a 1 pager in confluence and link it to this
Assigned to gbouzeid@guidewire.com
Reply:
	Sure i will follow up on it thx
Reply:
	added - https://guidewireconfluence.atlassian.net/wiki/spaces/CCS/pages/3405021311/OTEL+Telemetry+Streaming+GA - asking @ppaul@guidewire.com for his help in reviewing it too. thx
Reassigned to ppaul@guidewire.com
</t>
      </text>
    </comment>
    <comment authorId="8" xr:uid="{0e46ed39-24ee-4e19-9841-5993510e6810}" ref="AU15">
      <text>
        <t xml:space="preserve">[Threaded comment]
 Your version of Excel allows you to read this threaded comment; however, any edits to it will get removed if the file is opened in a newer version of Excel. Learn more: https://go.microsoft.com/fwlink/?linkid=870924
Comment:
	@mzawadzka@guidewire.com @mkasprzyk@guidewire.com Could you please check if the capacity for RFC 147 changes are correct?
Assigned to mkasprzyk@guidewire.com
</t>
      </text>
    </comment>
    <comment authorId="9" xr:uid="{0f2107f7-5532-42ef-9ce3-5b68dc3ce97b}" ref="AK6">
      <text>
        <t xml:space="preserve">[Threaded comment]
 Your version of Excel allows you to read this threaded comment; however, any edits to it will get removed if the file is opened in a newer version of Excel. Learn more: https://go.microsoft.com/fwlink/?linkid=870924
Comment:
	Gokarna's scope is very minimal, it would be to support on Atmos KubeVela for vCluster or Asteroids, if at all any that comes from Kanata
Reply:
	@gs@guidewire.com are you calling this out just in case, or is there anything specific you know of that Gokarna must do?
Reply:
	@jdobson@guidewire.com For Ajanta to work on RFC 109b, Gokarna has to complete the Addon KEP and Model API versioning and these efforts has already started in R-release and will complete both and push the features to atmos-kubevela by end of R-release. Using these features, Ajanta will work on RFC-109b. Hence, adding Gokarna as support with these numbers.
Reply:
	ok, we have marked RFC-109b as "NA" in https://guidewireconfluence.atlassian.net/wiki/spaces/CCS/pages/2430402590/BYOA+-+EA+GA+Deliverables so I'm going to change this to no dependency, however I've noted in the confluence page that there is a dependency here, should the need for RFC-109b in EA or GA change.
Reply:
	I guess RFC-109b is a GA change and not for EA. May be @atomar@guidewire.com can confirm.
</t>
      </text>
    </comment>
    <comment authorId="10" xr:uid="{11988397-403a-4529-b87d-2d2308bed6df}" ref="BO28">
      <text>
        <t xml:space="preserve">[Threaded comment]
 Your version of Excel allows you to read this threaded comment; however, any edits to it will get removed if the file is opened in a newer version of Excel. Learn more: https://go.microsoft.com/fwlink/?linkid=870924
Comment:
	1. Reuse dbopsuser/tags, more req. to come from Gilbert
Reply:
	We DO NOT include any UI work in this capacity
</t>
      </text>
    </comment>
    <comment authorId="11" xr:uid="{11ab4c4d-228c-4379-af8b-aa5530166399}" ref="AQ14">
      <text>
        <t xml:space="preserve">[Threaded comment]
 Your version of Excel allows you to read this threaded comment; however, any edits to it will get removed if the file is opened in a newer version of Excel. Learn more: https://go.microsoft.com/fwlink/?linkid=870924
Comment:
	IS:
-&gt; Replacing Voyager for provisioning/deprovisioning Customer Tenants
-&gt; Fulfillment
--&gt; Dashboard (mechanism to answer the question what Carrier is entitled to vs what was provisioned; mechanism to trigger Day2 (postponed) provisioning)
--&gt; Interpreter (mechanism to translate commercial entitlements into provisioning/deprovisioning plan; mechanism to identify drift between provisioned and to be provisioned/deprovisioned entitlements)
--&gt; Executor (mechanism to execute a provisioning/deprovisioning plan)
--&gt; Steps Catalog (mechanism to register and store supplied by each product provisioning steps)
IS NOT:
-&gt; Replacing Voyager for provisioning/deprovisioning Internal Tenants
-&gt; Provisioning/deprovisioning Sandbox Stars
</t>
      </text>
    </comment>
    <comment authorId="12" xr:uid="{13b085b9-3627-4b77-b18c-1533e2a4b5d8}" ref="W11">
      <text>
        <t xml:space="preserve">[Threaded comment]
 Your version of Excel allows you to read this threaded comment; however, any edits to it will get removed if the file is opened in a newer version of Excel. Learn more: https://go.microsoft.com/fwlink/?linkid=870924
Comment:
	@gbouzeid@guidewire.com I have messaged you in Slack, I'm wondering about the observability sub-module of tenancy.
Reply:
	estimate was updated i believe by @ppaul@guidewire.com
</t>
      </text>
    </comment>
    <comment authorId="13" xr:uid="{1435960c-4793-4c13-a694-94b080ef2300}" ref="S15">
      <text>
        <t xml:space="preserve">[Threaded comment]
 Your version of Excel allows you to read this threaded comment; however, any edits to it will get removed if the file is opened in a newer version of Excel. Learn more: https://go.microsoft.com/fwlink/?linkid=870924
Comment:
	@amkhanna@guidewire.com @pikumar@guidewire.com can you also account the effort needed for RFC 147 changes for Bandipur.
Assigned to amkhanna@guidewire.com
</t>
      </text>
    </comment>
    <comment authorId="14" xr:uid="{16cac830-9166-4bad-816e-007f1ddf9437}" ref="AT21">
      <text>
        <t xml:space="preserve">[Threaded comment]
 Your version of Excel allows you to read this threaded comment; however, any edits to it will get removed if the file is opened in a newer version of Excel. Learn more: https://go.microsoft.com/fwlink/?linkid=870924
Comment:
	Pending Decisions
</t>
      </text>
    </comment>
    <comment authorId="15" xr:uid="{18ca1b62-e40b-4d21-8230-6f2b302efaa7}" ref="S17">
      <text>
        <t xml:space="preserve">[Threaded comment]
 Your version of Excel allows you to read this threaded comment; however, any edits to it will get removed if the file is opened in a newer version of Excel. Learn more: https://go.microsoft.com/fwlink/?linkid=870924
Comment:
	@amkhanna@guidewire.com Please help us out here
Assigned to amkhanna@guidewire.com
Reply:
	@amkhanna@guidewire.com Gentle reminder here
</t>
      </text>
    </comment>
    <comment authorId="16" xr:uid="{1973c981-018e-4cd5-9270-612ee7d87797}" ref="AQ17">
      <text>
        <t xml:space="preserve">[Threaded comment]
 Your version of Excel allows you to read this threaded comment; however, any edits to it will get removed if the file is opened in a newer version of Excel. Learn more: https://go.microsoft.com/fwlink/?linkid=870924
Comment:
	@krosner@guidewire.com Based on the conversation here - https://guidewire.slack.com/archives/C0657SL7YNQ/p1784831007527559- I am adding the effort mentioned in SPIRE here
Assigned to krosner@guidewire.com
</t>
      </text>
    </comment>
    <comment authorId="17" xr:uid="{1a95edef-6f30-4ddb-b2e1-5d93c9d06588}" ref="S8">
      <text>
        <t xml:space="preserve">[Threaded comment]
 Your version of Excel allows you to read this threaded comment; however, any edits to it will get removed if the file is opened in a newer version of Excel. Learn more: https://go.microsoft.com/fwlink/?linkid=870924
Comment:
	@amkhanna@guidewire.com I think the Guard UI should present the display name rather than the unique ID. Could you also assess whether the unique ID will be handled correctly for access management in Guard? Check the One Pager for more details if needed/ping me. Please provide an estimate, or set it to "No Dependency" if you see it differently — thanks.
Assigned to amkhanna@guidewire.com
Reply:
	@pikumar@guidewire.com please check the One Pager and provide an estimate, or set it to "No Dependency", thx.
Reassigned to pikumar@guidewire.com
Reply:
	Hi @amkhanna@guidewire.com @pikumar@guidewire.com, yours is the only feedback still outstanding for this initiative - could you please share it when you get a chance? If you need any additional information beyond what's in the One Pager, just let me know.
Reassigned to amkhanna@guidewire.com
</t>
      </text>
    </comment>
    <comment authorId="18" xr:uid="{1b0d4fda-286c-4667-a8e8-b0b8df8d66b7}" ref="AY7">
      <text>
        <t xml:space="preserve">[Threaded comment]
 Your version of Excel allows you to read this threaded comment; however, any edits to it will get removed if the file is opened in a newer version of Excel. Learn more: https://go.microsoft.com/fwlink/?linkid=870924
Comment:
	TMD or equivalent?
@kjayachandran@guidewire.com - Please check
</t>
      </text>
    </comment>
    <comment authorId="19" xr:uid="{1b7d04a0-5c1c-4258-a400-b2c4ea790e4f}" ref="O15">
      <text>
        <t xml:space="preserve">[Threaded comment]
 Your version of Excel allows you to read this threaded comment; however, any edits to it will get removed if the file is opened in a newer version of Excel. Learn more: https://go.microsoft.com/fwlink/?linkid=870924
Comment:
	@amkhanna@guidewire.com changing this to 2 weeks as SCIM Connect has already adopted IAM role based auth. Rest of 2 weeks is to just migrate SCIM group (un)assignments to Keti v2 groups.
Reply:
	Thanks @smalladi@guidewire.com
</t>
      </text>
    </comment>
    <comment authorId="20" xr:uid="{1daa958c-8874-46d9-8db4-f0b5f1b5e0da}" ref="BQ2">
      <text>
        <t xml:space="preserve">[Threaded comment]
 Your version of Excel allows you to read this threaded comment; however, any edits to it will get removed if the file is opened in a newer version of Excel. Learn more: https://go.microsoft.com/fwlink/?linkid=870924
Comment:
	@apers@guidewire.com Based on the conversation here - https://guidewire.slack.com/archives/C0657SL7YNQ/p1784830812758849 - I am adding the effort mentioned in MSK CR-DR row here
CC: @atomar@guidewire.com
Assigned to apers@guidewire.com
Reply:
	@cpetluri@guidewire.com  looks like I don't have access to the conversation you mentioned, but ACK 👍🏻
</t>
      </text>
    </comment>
    <comment authorId="21" xr:uid="{1dc2ac27-8e3c-4b09-83be-f9e8da8141af}" ref="BD24">
      <text>
        <t xml:space="preserve">[Threaded comment]
 Your version of Excel allows you to read this threaded comment; however, any edits to it will get removed if the file is opened in a newer version of Excel. Learn more: https://go.microsoft.com/fwlink/?linkid=870924
Comment:
	Needs changes from all µS teams
</t>
      </text>
    </comment>
    <comment authorId="22" xr:uid="{1e0d146f-0fe0-436d-9c19-97c53b8713f6}" ref="AI20">
      <text>
        <t xml:space="preserve">[Threaded comment]
 Your version of Excel allows you to read this threaded comment; however, any edits to it will get removed if the file is opened in a newer version of Excel. Learn more: https://go.microsoft.com/fwlink/?linkid=870924
Comment:
	AtmosNG for argo - finalize
</t>
      </text>
    </comment>
    <comment authorId="23" xr:uid="{1efcf07c-f45d-4132-a1b7-3d59eca764b8}" ref="Q7">
      <text>
        <t xml:space="preserve">[Threaded comment]
 Your version of Excel allows you to read this threaded comment; however, any edits to it will get removed if the file is opened in a newer version of Excel. Learn more: https://go.microsoft.com/fwlink/?linkid=870924
Comment:
	I'm not sure if we need to do anything here, need more info. I'm assuming no for now.
</t>
      </text>
    </comment>
    <comment authorId="24" xr:uid="{1efe5b4c-bcc2-41ba-a988-4c4878b666b5}" ref="BD6">
      <text>
        <t xml:space="preserve">[Threaded comment]
 Your version of Excel allows you to read this threaded comment; however, any edits to it will get removed if the file is opened in a newer version of Excel. Learn more: https://go.microsoft.com/fwlink/?linkid=870924
Comment:
	@bsekar@guidewire.com If Sunnyvale has no dependencies, please put None here.
Assigned to bsekar@guidewire.com
</t>
      </text>
    </comment>
    <comment authorId="25" xr:uid="{1f35a991-490a-43c0-91ad-d91a65fbdb3f}" ref="BA12">
      <text>
        <t xml:space="preserve">[Threaded comment]
 Your version of Excel allows you to read this threaded comment; however, any edits to it will get removed if the file is opened in a newer version of Excel. Learn more: https://go.microsoft.com/fwlink/?linkid=870924
Comment:
	After reading the one pager, I'm assuming this estimate for required work in Keti is about adopting the new log standards (2 weeks blocked for every LHS team), plus some buffer for potential work around exposing access logs (e.g. forwarding them from GW Hub)? @gbouzeid@guidewire.com could you confirm?
Assigned to gbouzeid@guidewire.com
Reply:
	sending them to GW observability pipeline - otherwise what you mentioned is right thx
1 total reaction
Grzegorz Solinski reacted with 👍 at 07/16/2026, 11:14 PM UTC
Reply:
	Thanks!
</t>
      </text>
    </comment>
    <comment authorId="26" xr:uid="{213c2c71-a29f-46b4-bc21-79dbb7527cad}" ref="AN21">
      <text>
        <t xml:space="preserve">[Threaded comment]
 Your version of Excel allows you to read this threaded comment; however, any edits to it will get removed if the file is opened in a newer version of Excel. Learn more: https://go.microsoft.com/fwlink/?linkid=870924
Comment:
	All submodule owner teams
</t>
      </text>
    </comment>
    <comment authorId="27" xr:uid="{21d96eea-f7c2-4b69-8113-5102e7c47c15}" ref="U6">
      <text>
        <t xml:space="preserve">[Threaded comment]
 Your version of Excel allows you to read this threaded comment; however, any edits to it will get removed if the file is opened in a newer version of Excel. Learn more: https://go.microsoft.com/fwlink/?linkid=870924
Comment:
	James Dobson
James Dobson
2:44 PM Jul 3
@pflasinski@guidewire.com I have Slacked you and the PMs for an estimate here; please also fill out dependencies if any.
Piotr Flasiński
Piotr Flasiński
6:02 PM Jul 3
Sure, I'm not sure if those dependencies have been discussed with the PM / Pod, but we'll followup
Assigned to pflasinski@guidewire.com
Reply:
	I'm not sure I understand. What's missing?
Reply:
	in short, @pflasinski@guidewire.com could you please help confirm Biala pod to review the estimate?
Reply:
	Sure! But please take into account that if there are no requirements they will need to do that based on their assumptions.
Reply:
	@atomar@guidewire.com the estimate is correct according to our current understanding of Asteroids. It is based on our previous experience onboarding new integrations. We expect that the pricing model will be defined by the BYOA team and endpoints will be available for Solaris to consume data from. If the integration will be a non-standard one, Biala's amount work may be even twice this much.
Reassigned to atomar@guidewire.com
</t>
      </text>
    </comment>
    <comment authorId="28" xr:uid="{22dd4a6a-27c7-4307-8a6d-e7dd0a250f4a}" ref="BA3">
      <text>
        <t xml:space="preserve">[Threaded comment]
 Your version of Excel allows you to read this threaded comment; however, any edits to it will get removed if the file is opened in a newer version of Excel. Learn more: https://go.microsoft.com/fwlink/?linkid=870924
Comment:
	Some clarification is needed with regards to the scope of changes required in Keti @amkhanna@guidewire.com (I reached out offline)
Assigned to amkhanna@guidewire.com
Reply:
	Estimates are revised for accounting scaling SCIM to enterprise customers, optimizing the tenant users (GUARD), virtual group for OKta
</t>
      </text>
    </comment>
    <comment authorId="29" xr:uid="{24851f65-b50c-4642-b020-a8fdcd433935}" ref="AO14">
      <text>
        <t xml:space="preserve">[Threaded comment]
 Your version of Excel allows you to read this threaded comment; however, any edits to it will get removed if the file is opened in a newer version of Excel. Learn more: https://go.microsoft.com/fwlink/?linkid=870924
Comment:
	@atomar@guidewire.com could you check the One Pager to assess the impact on Kanata - thanks.
Assigned to atomar@guidewire.com
Reply:
	@jdobson@guidewire.com could you check the One Pager to assess the impact on Kanata - thanks.
1 total reaction
James Dobson reacted with 👀 at 07/15/2026, 4:18 PM UTC
Reassigned to jdobson@guidewire.com
Reply:
	We believe there is no work for Kanata, since it will all be abstracted within Voyager. Let me know if you have any concerns.
</t>
      </text>
    </comment>
    <comment authorId="30" xr:uid="{256ceb0c-5c6e-4b8e-bfe7-9fc8008070bb}" ref="AU2">
      <text>
        <t xml:space="preserve">[Threaded comment]
 Your version of Excel allows you to read this threaded comment; however, any edits to it will get removed if the file is opened in a newer version of Excel. Learn more: https://go.microsoft.com/fwlink/?linkid=870924
Comment:
	@mzawadzka@guidewire.com Based on the conversation here - https://guidewire.slack.com/archives/C0657SL7YNQ/p1784830812758849 - I am adding the effort mentioned in MSK CR-DR row here
CC: @atomar@guidewire.com
Assigned to mzawadzka@guidewire.com
</t>
      </text>
    </comment>
    <comment authorId="31" xr:uid="{27a69228-57b1-4d0d-82fb-1d2e15eef96f}" ref="BM28">
      <text>
        <t xml:space="preserve">[Threaded comment]
 Your version of Excel allows you to read this threaded comment; however, any edits to it will get removed if the file is opened in a newer version of Excel. Learn more: https://go.microsoft.com/fwlink/?linkid=870924
Comment:
	Estimate assumes Warrior's scope is limited to Postgres parameter and extension support. Overlap with Audit logs item and Cepheid item.
</t>
      </text>
    </comment>
    <comment authorId="32" xr:uid="{27f2b70d-451c-49b7-88b5-fbbca3feeb87}" ref="AG8">
      <text>
        <t xml:space="preserve">[Threaded comment]
 Your version of Excel allows you to read this threaded comment; however, any edits to it will get removed if the file is opened in a newer version of Excel. Learn more: https://go.microsoft.com/fwlink/?linkid=870924
Comment:
	@gbouzeid@guidewire.com please drop a line about what changes are needed, thanks.
Reply:
	@msherwin@guidewire.com, could you please adjust the effort estimate based on the notes in "Danville Dependencies"? The comments mention "no effort," so the current estimate of 2 seems like it might be an oversight.
</t>
      </text>
    </comment>
    <comment authorId="33" xr:uid="{2924684b-ca79-4a8b-9667-7d0f6f132b3c}" ref="BN9">
      <text>
        <t xml:space="preserve">[Threaded comment]
 Your version of Excel allows you to read this threaded comment; however, any edits to it will get removed if the file is opened in a newer version of Excel. Learn more: https://go.microsoft.com/fwlink/?linkid=870924
Comment:
	Warrior: OAM components
</t>
      </text>
    </comment>
    <comment authorId="34" xr:uid="{2976b547-2495-40e6-9303-c4bc808572d6}" ref="Q20">
      <text>
        <t xml:space="preserve">[Threaded comment]
 Your version of Excel allows you to read this threaded comment; however, any edits to it will get removed if the file is opened in a newer version of Excel. Learn more: https://go.microsoft.com/fwlink/?linkid=870924
Comment:
	Scope for Avondale:
oort
cert-manager
Reply:
	We've decided to remove these items from scope.
I set this value to "No Dependency" but it was changed back to 6 on July 14, 11:26 AM. I'm updating again.
Reply:
	@msmriti@guidewire.com, please don't update our cell here
Reply:
	@mrusso@guidewire.com The change was made without any communication. We would like to know why the scope has been removed, and discuss this further before finalizing this. 
cc: @bsekar@guidewire.com
1 total reaction
Bharath Sekar reacted with ➕ at 07/24/2026, 5:45 PM UTC
</t>
      </text>
    </comment>
    <comment authorId="35" xr:uid="{29dbdc30-32c2-44ba-9b21-362b7c7e3ce1}" ref="AI6">
      <text>
        <t xml:space="preserve">[Threaded comment]
 Your version of Excel allows you to read this threaded comment; however, any edits to it will get removed if the file is opened in a newer version of Excel. Learn more: https://go.microsoft.com/fwlink/?linkid=870924
Comment:
	@pdomider@guidewire.com I pinged you also in a Slack message, I'm trying to understand the scope here.
Reply:
	@jdobson@guidewire.com our thinking was around OAM RDS components and the need to generalize them (things like profiles).
</t>
      </text>
    </comment>
    <comment authorId="36" xr:uid="{2b6748c7-e9f3-4f3b-8de6-18dc5790f6f9}" ref="BK2">
      <text>
        <t xml:space="preserve">[Threaded comment]
 Your version of Excel allows you to read this threaded comment; however, any edits to it will get removed if the file is opened in a newer version of Excel. Learn more: https://go.microsoft.com/fwlink/?linkid=870924
Comment:
	19 weeks for November commitments: Hub Observability, LHS Services DR Orchestration, and Support for Voyager Deprovisioning.
13 weeks for Hub Automated Recovery (DR)
10 weeks for Self-Serve Testing
Reply:
	Marked as resolved
Reply:
	Re-opened
Reply:
	Just for November it is Hub Observability + LHS Orchestration, which is 70 SP = 7.77 sprints ~ 32 lane weeks
</t>
      </text>
    </comment>
    <comment authorId="37" xr:uid="{2b787389-401a-41f2-abb5-4cacf571f775}" ref="AO21">
      <text>
        <t xml:space="preserve">[Threaded comment]
 Your version of Excel allows you to read this threaded comment; however, any edits to it will get removed if the file is opened in a newer version of Excel. Learn more: https://go.microsoft.com/fwlink/?linkid=870924
Comment:
	Changes will be done by sub-module owners, Kanata might have to publish some instructions/documentation.
</t>
      </text>
    </comment>
    <comment authorId="38" xr:uid="{32c7eb3a-94d8-405e-9207-58a855a788e8}" ref="BO17">
      <text>
        <t xml:space="preserve">[Threaded comment]
 Your version of Excel allows you to read this threaded comment; however, any edits to it will get removed if the file is opened in a newer version of Excel. Learn more: https://go.microsoft.com/fwlink/?linkid=870924
Comment:
	Enforcing rotation of S3 access storage key for GWCP customers
</t>
      </text>
    </comment>
    <comment authorId="39" xr:uid="{32def6f1-4901-4156-987f-825125d24387}" ref="BO2">
      <text>
        <t xml:space="preserve">[Threaded comment]
 Your version of Excel allows you to read this threaded comment; however, any edits to it will get removed if the file is opened in a newer version of Excel. Learn more: https://go.microsoft.com/fwlink/?linkid=870924
Comment:
	1. MRAP
Reply:
	2. LHS DR for SService and DBService
Reply:
	@pdomider@guidewire.com also please add the estimate for "back-fill star id and aurora star id for existing tenants; part of GWCP-96903"
Reply:
	@jdobson@guidewire.com I track it under BO11 (enforce constraints around tagging). I'm actively tracking it (and even have PgM assigned for help), but this is at adoption phase that takes most of this time. We have technical part ready, now need 'business folks' to give us values. Dev impact is minimal (1-2 sprints), but finding tags would take months. Happy to sync offline about this if needed.
Reply:
	That's unfortunate; without the star ids, the star deletion function that Vulcan is working on (needed for Voyager) will be unreliable. Also, Voyager may have difficulty implementing synchronization of DB settings between primary and secondary.
Vulcan will set up a meeting with Michalowice and Wola to discuss next week; maybe there is a work-around to unblock this.
Reply:
	I totally agree with you. Please add Jeryn Inman (PgM who helps us with this and would have most context about adoption difficulties) and Evgen Pruhlo (from dev side).
</t>
      </text>
    </comment>
    <comment authorId="40" xr:uid="{333d5b58-a800-4144-a275-b26838ff809b}" ref="AR3">
      <text>
        <t xml:space="preserve">[Threaded comment]
 Your version of Excel allows you to read this threaded comment; however, any edits to it will get removed if the file is opened in a newer version of Excel. Learn more: https://go.microsoft.com/fwlink/?linkid=870924
Comment:
	@amkhanna@guidewire.com : same comment as before
Assigned to amkhanna@guidewire.com
</t>
      </text>
    </comment>
    <comment authorId="41" xr:uid="{352cc338-3737-4242-8524-3de0ccdd0fdf}" ref="AA2">
      <text>
        <t xml:space="preserve">[Threaded comment]
 Your version of Excel allows you to read this threaded comment; however, any edits to it will get removed if the file is opened in a newer version of Excel. Learn more: https://go.microsoft.com/fwlink/?linkid=870924
Comment:
	MSK Admin cross region is estimated below on row 35 - DR support for MSK (IAM authentication )
Reply:
	@ssandebiksham@guidewire.com @cpetluri@guidewire.com 
Is this work scheduled to be completed by August 2026? If so, please remove it from this sheet. This planning is strictly for FY27, and we shouldn't include any efforts currently in flight for the August LM timelines.
Reply:
	@atomar@guidewire.com , there will be work post August also here as MSK DR failover needs to tested as well and will happen till Sep (R-release end)
Reply:
	@cpetluri@guidewire.com 
In that case please only add the total effort that is required to be spent post August, 2 weeks?
Reply:
	I am confused, we are targeting by Sep 30, and we have work from Aug 1 to meet November deadlines - Hence, 8 weeks
Reply:
	By post Aug, do you mean from Sep 1, 2026? It's confusing because the FY 27 starts from Aug 1
Reply:
	Based on the conversation here - https://guidewire.slack.com/archives/C0657SL7YNQ/p1784830812758849 - I am shifting the effort mentioned in MSK CR-DR (MSK Admin DR support) as a local initiative.
CC: @ssandebiksham@guidewire.com @atomar@guidewire.com
</t>
      </text>
    </comment>
    <comment authorId="42" xr:uid="{36c67e2f-be67-4deb-addc-e3a2fafe4efc}" ref="B8">
      <text>
        <t xml:space="preserve">[Threaded comment]
 Your version of Excel allows you to read this threaded comment; however, any edits to it will get removed if the file is opened in a newer version of Excel. Learn more: https://go.microsoft.com/fwlink/?linkid=870924
Comment:
	@mzajac@guidewire.com : Can you create a 1 pager in confluence and link it here for the readers to know what this is about and as an expected outcome ?
</t>
      </text>
    </comment>
    <comment authorId="43" xr:uid="{37f2aba9-b7d4-42e6-935a-979eab75150d}" ref="P6">
      <text>
        <t xml:space="preserve">[Threaded comment]
 Your version of Excel allows you to read this threaded comment; however, any edits to it will get removed if the file is opened in a newer version of Excel. Learn more: https://go.microsoft.com/fwlink/?linkid=870924
Comment:
	@rasubramanian@guidewire.com I assume there are no dependencies here?
Reply:
	Yes James, for now we don't see any dependencies
</t>
      </text>
    </comment>
    <comment authorId="44" xr:uid="{38b6925d-51ae-42f4-bcef-4e22d5de20f0}" ref="BO8">
      <text>
        <t xml:space="preserve">[Threaded comment]
 Your version of Excel allows you to read this threaded comment; however, any edits to it will get removed if the file is opened in a newer version of Excel. Learn more: https://go.microsoft.com/fwlink/?linkid=870924
Comment:
	@pdomider@guidewire.com please drop a line about what changes you meant, thanks.
Reply:
	hi @mzajac@guidewire.com are u referring about item 7 or 8? thx
Reply:
	@gbouzeid@guidewire.com I'm referring to Immutable ID (item 7), thx
Reply:
	@mzajac@guidewire.com I'll sync with you on slack on this
</t>
      </text>
    </comment>
    <comment authorId="45" xr:uid="{39bdd8e3-f5fd-400d-a4e3-747343605e67}" ref="V3">
      <text>
        <t xml:space="preserve">[Threaded comment]
 Your version of Excel allows you to read this threaded comment; however, any edits to it will get removed if the file is opened in a newer version of Excel. Learn more: https://go.microsoft.com/fwlink/?linkid=870924
Comment:
	Bolinas can work independently here. 
Guard would need a way to ship logs to customer datadog subaccount. Their might be some dependency when we start using the O.Tel functionality
</t>
      </text>
    </comment>
    <comment authorId="46" xr:uid="{3a51914d-17d8-448a-a89f-1cc90717ca06}" ref="BM10">
      <text>
        <t xml:space="preserve">[Threaded comment]
 Your version of Excel allows you to read this threaded comment; however, any edits to it will get removed if the file is opened in a newer version of Excel. Learn more: https://go.microsoft.com/fwlink/?linkid=870924
Comment:
	Warrior scope (MVP + DR features) - Postgres OAM, DynamoDB
1 total reaction
Gowtham S reacted with 👍 at 07/01/2026, 7:01 PM UTC
Reply:
	Estimate includes the remaining work for Aurora Global DB and work to wire DB components to the Nova webservice component.
There may be additional work required now that microservices are deployed via hub cluster - will need more info from Sunnyvale on that to be able to estimate.
</t>
      </text>
    </comment>
    <comment authorId="47" xr:uid="{3ccc4074-20cb-4dec-9a60-a83776a49d2c}" ref="N13">
      <text>
        <t xml:space="preserve">[Threaded comment]
 Your version of Excel allows you to read this threaded comment; however, any edits to it will get removed if the file is opened in a newer version of Excel. Learn more: https://go.microsoft.com/fwlink/?linkid=870924
Comment:
	Allepey can work independently and have some soft dependency with Sausilito.
</t>
      </text>
    </comment>
    <comment authorId="48" xr:uid="{3d9ebe7b-5e25-468a-8a6e-1c13386ab844}" ref="BP7">
      <text>
        <t xml:space="preserve">[Threaded comment]
 Your version of Excel allows you to read this threaded comment; however, any edits to it will get removed if the file is opened in a newer version of Excel. Learn more: https://go.microsoft.com/fwlink/?linkid=870924
Comment:
	Unknown, pending design of constraint mechanism and reliable source of truth.
</t>
      </text>
    </comment>
    <comment authorId="49" xr:uid="{3f1a6f0f-9120-421f-bf9a-3e209e1ece17}" ref="AI22">
      <text>
        <t xml:space="preserve">[Threaded comment]
 Your version of Excel allows you to read this threaded comment; however, any edits to it will get removed if the file is opened in a newer version of Excel. Learn more: https://go.microsoft.com/fwlink/?linkid=870924
Comment:
	OAM RDS impacted by limits / need for monitoring
</t>
      </text>
    </comment>
    <comment authorId="50" xr:uid="{3f2a09a4-6e22-4ec8-b31e-14ab09663005}" ref="BA8">
      <text>
        <t xml:space="preserve">[Threaded comment]
 Your version of Excel allows you to read this threaded comment; however, any edits to it will get removed if the file is opened in a newer version of Excel. Learn more: https://go.microsoft.com/fwlink/?linkid=870924
Comment:
	Idp tenant_id changes
Reply:
	@dhsharma@guidewire.com could you check the One Pager to assess the impact on Sausalito - thanks.
Reply:
	@gsolinski@guidewire.com please check the One Pager and provide an estimate, or set it to "No Dependency", thx.
Reply:
	@gsolinski@guidewire.com
Reply:
	Still confirming, but so far, if I understand the scope of the initiative - there is no work required in Keti (we use tenant ID purely as a tenant identifier, not for display purposes)
Reply:
	Confirmed, Keti is not materially impacted by this phase, no code changes required.
Everywhere Keti uses tenantId live, it's a pure opaque identifier (a claim value, a query param, a lookup key), not a display label. Opaque generated IDs work unchanged in those roles.
As for stars, Keti has no star concept at all.
Reply:
	Thx @dhsharma@guidewire.com @gsolinski@guidewire.com for the feedback. Based on that I set "No Dependency".
</t>
      </text>
    </comment>
    <comment authorId="51" xr:uid="{3fdef2b9-2b68-45d3-adab-51c313cea41f}" ref="W17">
      <text>
        <t xml:space="preserve">[Threaded comment]
 Your version of Excel allows you to read this threaded comment; however, any edits to it will get removed if the file is opened in a newer version of Excel. Learn more: https://go.microsoft.com/fwlink/?linkid=870924
Comment:
	@gbouzeid@guidewire.com Please help us out here
Assigned to gbouzeid@guidewire.com
Reply:
	Marked as done
Reply:
	@gbouzeid@guidewire.com Please mark this as "No dependency" if there are no dependencies
Re-opened
Reply:
	updated thx
</t>
      </text>
    </comment>
    <comment authorId="52" xr:uid="{4061ba95-581b-4876-a5e8-95cc5ec93d4a}" ref="O12">
      <text>
        <t xml:space="preserve">[Threaded comment]
 Your version of Excel allows you to read this threaded comment; however, any edits to it will get removed if the file is opened in a newer version of Excel. Learn more: https://go.microsoft.com/fwlink/?linkid=870924
Comment:
	hi @lkota@guidewire.com, @gbouzeid@guidewire.com 
I don't see SCIM Connect in the FY 27 targeted services list. If so, what is required from Alleppey?
cc: @amkhanna@guidewire.com
Reply:
	Hi @smalladi@guidewire.com 
From the document: "most of the work will be done by the Keti Team but some coordination may be required from each pod"
thx
Reply:
	Hi @smalladi@guidewire.com since Guard is on scope their might be some work on alleppey for audit logs of virtual groups for the group to role mapping functionality
</t>
      </text>
    </comment>
    <comment authorId="53" xr:uid="{4182ac31-b2bd-416b-b5eb-51f38bb8b8da}" ref="AB20">
      <text>
        <t xml:space="preserve">[Threaded comment]
 Your version of Excel allows you to read this threaded comment; however, any edits to it will get removed if the file is opened in a newer version of Excel. Learn more: https://go.microsoft.com/fwlink/?linkid=870924
Comment:
	Support for teams moving there components to NG
</t>
      </text>
    </comment>
    <comment authorId="54" xr:uid="{423a6e99-501a-42dd-b14b-5917143ec781}" ref="AI2">
      <text>
        <t xml:space="preserve">[Threaded comment]
 Your version of Excel allows you to read this threaded comment; however, any edits to it will get removed if the file is opened in a newer version of Excel. Learn more: https://go.microsoft.com/fwlink/?linkid=870924
Comment:
	RDS LSS isolation (star/quadrant tagging and separation)
</t>
      </text>
    </comment>
    <comment authorId="55" xr:uid="{427d1402-0b7f-4f82-a546-8e0ed561705e}" ref="BI17">
      <text>
        <t xml:space="preserve">[Threaded comment]
 Your version of Excel allows you to read this threaded comment; however, any edits to it will get removed if the file is opened in a newer version of Excel. Learn more: https://go.microsoft.com/fwlink/?linkid=870924
Comment:
	@kwcislo@guidewire.com Based on the conversation here - https://guidewire.slack.com/archives/C0657SL7YNQ/p1784831007527559- I am adding the effort mentioned in SPIRE here
Assigned to kwcislo@guidewire.com
</t>
      </text>
    </comment>
    <comment authorId="56" xr:uid="{42802fef-c0b2-4f6e-b845-c51082914658}" ref="BA14">
      <text>
        <t xml:space="preserve">[Threaded comment]
 Your version of Excel allows you to read this threaded comment; however, any edits to it will get removed if the file is opened in a newer version of Excel. Learn more: https://go.microsoft.com/fwlink/?linkid=870924
Comment:
	@dhsharma@guidewire.com I don't think Sausalito will be impacted by the Fulfillment Service, so I've set it to "No Dependency." If you see it differently, feel free to add an estimate instead. You can check the One Pager for more details - thanks.
1 total reaction
Dhruv Sharma reacted with 👍 at 07/13/2026, 1:59 PM UTC
Assigned to dhsharma@guidewire.com
</t>
      </text>
    </comment>
    <comment authorId="57" xr:uid="{42bd47e1-2300-4f0f-88df-b2be2913ff6c}" ref="AU16">
      <text>
        <t xml:space="preserve">[Threaded comment]
 Your version of Excel allows you to read this threaded comment; however, any edits to it will get removed if the file is opened in a newer version of Excel. Learn more: https://go.microsoft.com/fwlink/?linkid=870924
Comment:
	Suspect some work needed from Planet service
</t>
      </text>
    </comment>
    <comment authorId="58" xr:uid="{439e79eb-4a1a-41f5-a20f-23920cc710cd}" ref="AP3">
      <text>
        <t xml:space="preserve">[Threaded comment]
 Your version of Excel allows you to read this threaded comment; however, any edits to it will get removed if the file is opened in a newer version of Excel. Learn more: https://go.microsoft.com/fwlink/?linkid=870924
Comment:
	@amkhanna@guidewire.com Guard's "Entitlements" related needs are taken into account as part of Fulfillment Service estimate
1 total reaction
Amrit Khanna reacted with 👍 at 07/03/2026, 4:53 PM UTC
Reply:
	Lets only add dependency team names (comma separated) here as we are going to do some automations and with non standard input, it breaks.
</t>
      </text>
    </comment>
    <comment authorId="59" xr:uid="{43d0688a-76a3-4a04-997a-fed824d411a2}" ref="BM25">
      <text>
        <t xml:space="preserve">[Threaded comment]
 Your version of Excel allows you to read this threaded comment; however, any edits to it will get removed if the file is opened in a newer version of Excel. Learn more: https://go.microsoft.com/fwlink/?linkid=870924
Comment:
	Support for new security groups in Aurora module and OAM Postgres component
</t>
      </text>
    </comment>
    <comment authorId="60" xr:uid="{43e8f524-c512-4f3e-b62f-e98c322db881}" ref="BO9">
      <text>
        <t xml:space="preserve">[Threaded comment]
 Your version of Excel allows you to read this threaded comment; however, any edits to it will get removed if the file is opened in a newer version of Excel. Learn more: https://go.microsoft.com/fwlink/?linkid=870924
Comment:
	Assess impact on DB encryption (Aurora RDS), KMS key for snapshot export and S3 buckets
</t>
      </text>
    </comment>
    <comment authorId="61" xr:uid="{447b3a90-d7df-4688-abdd-3cae2719dcbc}" ref="BP21">
      <text>
        <t xml:space="preserve">[Threaded comment]
 Your version of Excel allows you to read this threaded comment; however, any edits to it will get removed if the file is opened in a newer version of Excel. Learn more: https://go.microsoft.com/fwlink/?linkid=870924
Comment:
	Unknown, pending design of constraint mechanism and reliable source of truth.
</t>
      </text>
    </comment>
    <comment authorId="62" xr:uid="{456b40d2-eb58-41d4-ab53-22a35a9a7042}" ref="V3">
      <text>
        <t xml:space="preserve">[Threaded comment]
 Your version of Excel allows you to read this threaded comment; however, any edits to it will get removed if the file is opened in a newer version of Excel. Learn more: https://go.microsoft.com/fwlink/?linkid=870924
Comment:
	@amkhanna@guidewire.com : Please give comma separate names of the dependency teams alone. Anything else can be put in as a comment. We are doing some automation and non standard input breaks it
Assigned to amkhanna@guidewire.com
</t>
      </text>
    </comment>
    <comment authorId="63" xr:uid="{466223ff-2c7c-4d80-a82a-52074c2b42e7}" ref="AS15">
      <text>
        <t xml:space="preserve">[Threaded comment]
 Your version of Excel allows you to read this threaded comment; however, any edits to it will get removed if the file is opened in a newer version of Excel. Learn more: https://go.microsoft.com/fwlink/?linkid=870924
Comment:
	@dhsharma@guidewire.com @suramasamy@guidewire.com can you please check if the effort required for RFC 147 changes are correct?
Assigned to suramasamy@guidewire.com
Reply:
	Marked as done
Reply:
	@smalladi@guidewire.com We dont anticipate much changes for RFC 147 except changing the MSK broker configuration to use the topics present in respective IZ.
Re-opened
</t>
      </text>
    </comment>
    <comment authorId="64" xr:uid="{468e2cfb-820f-4b7c-9295-fde636c08b57}" ref="AT2">
      <text>
        <t xml:space="preserve">[Threaded comment]
 Your version of Excel allows you to read this threaded comment; however, any edits to it will get removed if the file is opened in a newer version of Excel. Learn more: https://go.microsoft.com/fwlink/?linkid=870924
Comment:
	@mzawadzka@guidewire.com , could you please clarify the dependency on Vulcan here? @mkasprzyk@guidewire.com
Assigned to mkasprzyk@guidewire.com
</t>
      </text>
    </comment>
    <comment authorId="65" xr:uid="{46905329-08c0-462b-8612-4ebe9b7cfe84}" ref="BQ19">
      <text>
        <t xml:space="preserve">[Threaded comment]
 Your version of Excel allows you to read this threaded comment; however, any edits to it will get removed if the file is opened in a newer version of Excel. Learn more: https://go.microsoft.com/fwlink/?linkid=870924
Comment:
	Based on https://guidewireinternal.ideas.aha.io/ideas/IPI-I-1129
</t>
      </text>
    </comment>
    <comment authorId="66" xr:uid="{486ff3d5-779b-4888-b586-9c1f87539066}" ref="Q22">
      <text>
        <t xml:space="preserve">[Threaded comment]
 Your version of Excel allows you to read this threaded comment; however, any edits to it will get removed if the file is opened in a newer version of Excel. Learn more: https://go.microsoft.com/fwlink/?linkid=870924
Comment:
	Avondale scope (All Networking component/resources)
Reply:
	I'm not sure what this involves besides quotas, so I'm just adding 3 sols to this.
Reply:
	I assume, it would be Kubernetes and AWS quotas and any implementations to limit those resource usages.
Reply:
	@mrusso@guidewire.com @rasubramanian@guidewire.com : Please use the item in row 22 on k8s limits. We are going to mark this as duplicate of that instance. You can move your estimates there
2 total reactions
Michael Russo reacted with 👍 at 07/08/2026, 10:07 PM UTC
Michael Russo reacted with ✅ at 07/08/2026, 10:11 PM UTC
Reply:
	Row 22 is currently "Enforce constraints around tagging". That doesn't relate to quota enforcement. Maybe this comment is stale now? I vaguely recall having a separate row for k8s limits that may have been removed.
Reply:
	I never set this to 50. I'm trying to track down who did this. I see the change happened on 7/10 11:27a CDT.
For now, I'll set this back to my estimate.
Reply:
	@mrusso@guidewire.com : yeah looks like Jerome deleted the duplicate on row 22 earlier in favor of this row. So as far as you have info in here correctly, you are good
1 total reaction
Michael Russo reacted with 👍 at 07/24/2026, 3:22 PM UTC
</t>
      </text>
    </comment>
    <comment authorId="67" xr:uid="{48ef96fa-f91b-48c6-b8cc-ac8ced862cbb}" ref="BA23">
      <text>
        <t xml:space="preserve">[Threaded comment]
 Your version of Excel allows you to read this threaded comment; however, any edits to it will get removed if the file is opened in a newer version of Excel. Learn more: https://go.microsoft.com/fwlink/?linkid=870924
Comment:
	@jguionnet@guidewire.com can you add details for the scope of this initiative?
Assigned to jguionnet@guidewire.com
Reply:
	@dhsharma@guidewire.com 
This team is about AI Workload security only. With impact on Infra with Sandboxing AI agent, and on AuthN/Z for AI agent Identity and permissions
Reassigned to dhsharma@guidewire.com
Reply:
	In the context of AuthN, it is SPIFFE/SPIRE at the cluster level for agent workload, so it is dependent on Brilliant SPIFFE/SPIRE MVP
</t>
      </text>
    </comment>
    <comment authorId="68" xr:uid="{49c8f8b5-8a85-4d3d-8e82-7d7eef3dfd44}" ref="Y17">
      <text>
        <t xml:space="preserve">[Threaded comment]
 Your version of Excel allows you to read this threaded comment; however, any edits to it will get removed if the file is opened in a newer version of Excel. Learn more: https://go.microsoft.com/fwlink/?linkid=870924
Comment:
	@llinville@guidewire.com Based on the conversation here, I am coupling the SPIRE work estimate here. Please note that we are still talking to @agopalakrishnan@guidewire.com on SPIRE ownership
CC: @mdykes@guidewire.com
Assigned to llinville@guidewire.com
</t>
      </text>
    </comment>
    <comment authorId="69" xr:uid="{4a3cae41-5084-421f-945a-f906dd033834}" ref="AS17">
      <text>
        <t xml:space="preserve">[Threaded comment]
 Your version of Excel allows you to read this threaded comment; however, any edits to it will get removed if the file is opened in a newer version of Excel. Learn more: https://go.microsoft.com/fwlink/?linkid=870924
Comment:
	@dhsharma@guidewire.com Please help us out here
Assigned to dhsharma@guidewire.com
Reply:
	@cpetluri@guidewire.com what information are you looking for?
I checked the document, it does not mention any details related to Mithril.
Can you share what is the Mithril scope?
Reassigned to cpetluri@guidewire.com
Reply:
	SPIRE adoption if Mithril uses Helios.
Reply:
	The estimate is for Mithril (GADS and OPA) to consume the Spiffe/Spire implementation to store/retrieve the secrets from Helios.
1 total reaction
Chakravarthy Petluri reacted with 👍 at 07/15/2026, 5:03 PM UTC
Reply:
	@dhsharma@guidewire.com Based on the conversation here - https://guidewire.slack.com/archives/C0657SL7YNQ/p1784831007527559- I am adding the effort mentioned in SPIRE here
CC: @suramasamy@guidewire.com
Reassigned to dhsharma@guidewire.com
</t>
      </text>
    </comment>
    <comment authorId="70" xr:uid="{4bf72343-7e1d-4db5-a39a-9a3d0fe889a4}" ref="BM9">
      <text>
        <t xml:space="preserve">[Threaded comment]
 Your version of Excel allows you to read this threaded comment; however, any edits to it will get removed if the file is opened in a newer version of Excel. Learn more: https://go.microsoft.com/fwlink/?linkid=870924
Comment:
	Per Chakri, BYOK adoption is in FY28. Work will be needed from Warrior to support new keys at that time. FY27 estimate is scoped to design only.
</t>
      </text>
    </comment>
    <comment authorId="71" xr:uid="{4c0c76f6-1645-491f-bf85-f0be21c6ad2d}" ref="AQ13">
      <text>
        <t xml:space="preserve">[Threaded comment]
 Your version of Excel allows you to read this threaded comment; however, any edits to it will get removed if the file is opened in a newer version of Excel. Learn more: https://go.microsoft.com/fwlink/?linkid=870924
Comment:
	IS:
-&gt; Approach 1: Assigning a dedicated Okta Group during UAA user provisioning to guarantee access to the Self-Serve IdP.
-&gt; Approach 2: Removing the temporary IdP from commercial Tenant Provisioning in favor of the Self-Serve IdP.
Note: The scope estimate assumes designing Approach 2. Approach 1 is a lower-cost alternative (~1 week).
IS NOT:
-&gt; Migrating/switching from UAA to Okta Realms.
</t>
      </text>
    </comment>
    <comment authorId="72" xr:uid="{4c25f547-9461-49cd-a539-6b8f18a84f28}" ref="W6">
      <text>
        <t xml:space="preserve">[Threaded comment]
 Your version of Excel allows you to read this threaded comment; however, any edits to it will get removed if the file is opened in a newer version of Excel. Learn more: https://go.microsoft.com/fwlink/?linkid=870924
Comment:
	@gbouzeid@guidewire.com please update with actual estimate
Reply:
	Estimate updated by @ppaul@guidewire.com / adding him to confirm. thx
</t>
      </text>
    </comment>
    <comment authorId="73" xr:uid="{4f57e44f-35e4-4f7e-878b-074de31e6fda}" ref="AU14">
      <text>
        <t xml:space="preserve">[Threaded comment]
 Your version of Excel allows you to read this threaded comment; however, any edits to it will get removed if the file is opened in a newer version of Excel. Learn more: https://go.microsoft.com/fwlink/?linkid=870924
Comment:
	@mkasprzyk@guidewire.com please drop a line about what changes are needed, thanks.
Assigned to mkasprzyk@guidewire.com
</t>
      </text>
    </comment>
    <comment authorId="74" xr:uid="{4fec5330-65f0-4613-bbe5-a0d2f4345f71}" ref="W16">
      <text>
        <t xml:space="preserve">[Threaded comment]
 Your version of Excel allows you to read this threaded comment; however, any edits to it will get removed if the file is opened in a newer version of Excel. Learn more: https://go.microsoft.com/fwlink/?linkid=870924
Comment:
	Let's build dashboard for highlighting orphaned resources
</t>
      </text>
    </comment>
    <comment authorId="75" xr:uid="{509f6549-ebb3-41cb-ac50-bf16cbb895d4}" ref="B13">
      <text>
        <t xml:space="preserve">[Threaded comment]
 Your version of Excel allows you to read this threaded comment; however, any edits to it will get removed if the file is opened in a newer version of Excel. Learn more: https://go.microsoft.com/fwlink/?linkid=870924
Comment:
	@amkhanna@guidewire.com: Please add a 1 pager in confluence on this feature and then link it here
Assigned to amkhanna@guidewire.com
</t>
      </text>
    </comment>
    <comment authorId="76" xr:uid="{51230f0b-cff4-41f4-a860-01cecdf2f9b3}" ref="M8">
      <text>
        <t xml:space="preserve">[Threaded comment]
 Your version of Excel allows you to read this threaded comment; however, any edits to it will get removed if the file is opened in a newer version of Excel. Learn more: https://go.microsoft.com/fwlink/?linkid=870924
Comment:
	@gs@guidewire.com could you check the One Pager to assess whether the Ajanta pod would be impacted? If not, please set it to "No Dependency" - thanks.
Assigned to gs@guidewire.com
</t>
      </text>
    </comment>
    <comment authorId="77" xr:uid="{567c8005-9f8e-4290-a371-bde2b9c3215f}" ref="B20">
      <text>
        <t xml:space="preserve">[Threaded comment]
 Your version of Excel allows you to read this threaded comment; however, any edits to it will get removed if the file is opened in a newer version of Excel. Learn more: https://go.microsoft.com/fwlink/?linkid=870924
Comment:
	@msmriti@guidewire.com : Please add a one pager in confluence and link it here
Assigned to msmriti@guidewire.com
</t>
      </text>
    </comment>
    <comment authorId="78" xr:uid="{575ecfd8-6c01-4e24-9271-fadaf510611f}" ref="BM12">
      <text>
        <t xml:space="preserve">[Threaded comment]
 Your version of Excel allows you to read this threaded comment; however, any edits to it will get removed if the file is opened in a newer version of Excel. Learn more: https://go.microsoft.com/fwlink/?linkid=870924
Comment:
	Warrior scope: support for Postgres parameters/extensions needed for audit. Overlap with DB Monitoring line item. Estimate assumes data obfuscation is not in scope.
</t>
      </text>
    </comment>
    <comment authorId="79" xr:uid="{584694d7-5625-4950-b445-353db260828e}" ref="BK15">
      <text>
        <t xml:space="preserve">[Threaded comment]
 Your version of Excel allows you to read this threaded comment; however, any edits to it will get removed if the file is opened in a newer version of Excel. Learn more: https://go.microsoft.com/fwlink/?linkid=870924
Comment:
	See above: Vulcan has no µS that uses MSK, hence there is no work to adopt IAM or express brokers.
</t>
      </text>
    </comment>
    <comment authorId="80" xr:uid="{5892d086-c051-46da-bae7-2ca5ed3dcf5c}" ref="BO24">
      <text>
        <t xml:space="preserve">[Threaded comment]
 Your version of Excel allows you to read this threaded comment; however, any edits to it will get removed if the file is opened in a newer version of Excel. Learn more: https://go.microsoft.com/fwlink/?linkid=870924
Comment:
	DB workflows (argo) would be affected (backup/restore and PITR)
</t>
      </text>
    </comment>
    <comment authorId="81" xr:uid="{5926a852-08a9-4193-b0b4-4a992962af3b}" ref="BO21">
      <text>
        <t xml:space="preserve">[Threaded comment]
 Your version of Excel allows you to read this threaded comment; however, any edits to it will get removed if the file is opened in a newer version of Excel. Learn more: https://go.microsoft.com/fwlink/?linkid=870924
Comment:
	1. UI validation for proper star dring RDS assignment
</t>
      </text>
    </comment>
    <comment authorId="82" xr:uid="{597431a9-4032-462c-9e69-8c2584aa041d}" ref="BL6">
      <text>
        <t xml:space="preserve">[Threaded comment]
 Your version of Excel allows you to read this threaded comment; however, any edits to it will get removed if the file is opened in a newer version of Excel. Learn more: https://go.microsoft.com/fwlink/?linkid=870924
Comment:
	@rasubramanian@guidewire.com If Warrior has no dependencies, please put None here.
Assigned to rasubramanian@guidewire.com
Reply:
	Updated it
1 total reaction
James Dobson reacted with 🙏 at 07/06/2026, 2:45 PM UTC
Reply:
	We do have a dependency on Vulcan, at least. I gave a more detailed comment in another line item, but I guess it was deleted.
1. We need to know what level of access customers will have to AWS and K8s and through what mechanism. If the answer is zero AWS access, we need a source of truth available that OAM components can consume to determine what resources (via tenant prefix, tag, etc) an Application in a given namespace should be allowed to access. Without this information, I can't even give a reasonable estimate of work, because it may or may not require a total rewrite of components and/or restore scripts.
2. We need to know (from a product perspective) what the customers' entry point should be for performing operational tasks, like backup and restore, on the components in their Application. KubeVela Workflow was thrown around a lot in conversation but that still doesn't answer the question - what is the customer going to actually do: run a custom CLI command, a vela CLI command, define and apply a Workflow yaml, apply a Workflow yaml from a template, click something in GCH, something else? This can't be decided by each team, it should be a consistent experience for the customers.
Reply:
	Kanata is the BYOA team, Vulcan is OAM/CRDR, updated.
Reply:
	I'm not sure if these decisions are actually a hard dependency on Kanata, but I will keep the dependency there.
Reply:
	For the technical discussion, I'm moving it here: https://guidewire.slack.com/archives/CUF0RR2H1/p1783431015055229
</t>
      </text>
    </comment>
    <comment authorId="83" xr:uid="{5a5b8d6e-0f15-4de4-9665-c2565f51a137}" ref="Q4">
      <text>
        <t xml:space="preserve">[Threaded comment]
 Your version of Excel allows you to read this threaded comment; however, any edits to it will get removed if the file is opened in a newer version of Excel. Learn more: https://go.microsoft.com/fwlink/?linkid=870924
Comment:
	Updated this to TBD while we await "Full Kit" (requirements) for this work
</t>
      </text>
    </comment>
    <comment authorId="84" xr:uid="{5b1befd9-a263-430b-a411-341ec43c6721}" ref="AP14">
      <text>
        <t xml:space="preserve">[Threaded comment]
 Your version of Excel allows you to read this threaded comment; however, any edits to it will get removed if the file is opened in a newer version of Excel. Learn more: https://go.microsoft.com/fwlink/?linkid=870924
Comment:
	Depends on:
-&gt; @atomar@guidewire.com Kanata
--&gt; Star.Claim/Tenant.Claim - become the abstract/unified and composable contracts, replacing hard-coded Star/Tenant creation.
--&gt; Should we unify Tenancy model (no GWCP and LWT Tenants - just Tenant/Star + bundles)
-&gt; Dependencies outside CCS exists
</t>
      </text>
    </comment>
    <comment authorId="85" xr:uid="{5c3ab2e9-676e-4eaf-af09-305fe0ea0e01}" ref="N27">
      <text>
        <t xml:space="preserve">[Threaded comment]
 Your version of Excel allows you to read this threaded comment; however, any edits to it will get removed if the file is opened in a newer version of Excel. Learn more: https://go.microsoft.com/fwlink/?linkid=870924
Comment:
	Allepey can work independently. But, there are dependency with User Store maintained by Sausalito, User Store has dependency on Cloud APIs integration. This estimate is based on the approach user store maintains the mapping of group to role and evokes IS cloud API through an orchestrator. This approach might change based on ongoing discussion
</t>
      </text>
    </comment>
    <comment authorId="86" xr:uid="{5c9a11b3-32e6-4653-a8d0-c914f2177546}" ref="AO22">
      <text>
        <t xml:space="preserve">[Threaded comment]
 Your version of Excel allows you to read this threaded comment; however, any edits to it will get removed if the file is opened in a newer version of Excel. Learn more: https://go.microsoft.com/fwlink/?linkid=870924
Comment:
	@jguionnet@guidewire.com where did you get this estimate? Do you need help from Kanata refining it?
Reply:
	@jdobson@guidewire.com
I made it up after quickly speaking with Michael and it needs refinement. It is to support tenant migration (k8s first, AWS second: as it depend on being able to migrate data store...) using placement/leveraging OCM for infra provisioning/migration
</t>
      </text>
    </comment>
    <comment authorId="87" xr:uid="{5cac3f44-cdad-4238-b70a-bd310bcfd1c0}" ref="AK8">
      <text>
        <t xml:space="preserve">[Threaded comment]
 Your version of Excel allows you to read this threaded comment; however, any edits to it will get removed if the file is opened in a newer version of Excel. Learn more: https://go.microsoft.com/fwlink/?linkid=870924
Comment:
	@gs@guidewire.com I don't think Gokarna will be impacted by the Unique ID, so I've set it to "No Dependency." If you see it differently, feel free to add an estimate instead. You can check the One Pager for more details - thanks.
Assigned to gs@guidewire.com
</t>
      </text>
    </comment>
    <comment authorId="88" xr:uid="{5d86b898-b52f-4ef8-8d40-bc28908145df}" ref="AP2">
      <text>
        <t xml:space="preserve">[Threaded comment]
 Your version of Excel allows you to read this threaded comment; however, any edits to it will get removed if the file is opened in a newer version of Excel. Learn more: https://go.microsoft.com/fwlink/?linkid=870924
Comment:
	Depends on:
-&gt; @atomar@guidewire.com Kanata/Vulcan (changes in the TenantProvisioner related to deprovisioning workflows, Tier support; changes in the TenantProvisioner related to fix discrepancies between primary vs failover configuration drift)
-&gt; @lmakowski@guidewire.com Avondale / Solina (changes related to mTLS enablement and generation of additional Universal URL)
-&gt; @pdomider@guidewire.com Wola (changes in the TenantProvisioner related to Star deprovisioning may require changes in Aurora TF module)
</t>
      </text>
    </comment>
    <comment authorId="89" xr:uid="{5efe7b6b-53ec-44ee-adb4-dc5f2ce82f16}" ref="AO15">
      <text>
        <t xml:space="preserve">[Threaded comment]
 Your version of Excel allows you to read this threaded comment; however, any edits to it will get removed if the file is opened in a newer version of Excel. Learn more: https://go.microsoft.com/fwlink/?linkid=870924
Comment:
	@cpetluri@guidewire.com I'm assuming that the only thing you need Kanata to do here is adopt MSK IAM auth; since we don't have any µS there shouldn't be anything for Kanata to do.
1 total reaction
Chakravarthy Petluri reacted with 👍 at 07/15/2026, 5:20 PM UTC
</t>
      </text>
    </comment>
    <comment authorId="90" xr:uid="{5fa25367-bddc-4e72-8f94-ba47d14689b5}" ref="BI19">
      <text>
        <t xml:space="preserve">[Threaded comment]
 Your version of Excel allows you to read this threaded comment; however, any edits to it will get removed if the file is opened in a newer version of Excel. Learn more: https://go.microsoft.com/fwlink/?linkid=870924
Comment:
	Based on https://guidewireinternal.ideas.aha.io/ideas/IPI-I-1129
</t>
      </text>
    </comment>
    <comment authorId="91" xr:uid="{5fdae81a-fbbb-4bcd-979d-afa8685593ec}" ref="AE7">
      <text>
        <t xml:space="preserve">[Threaded comment]
 Your version of Excel allows you to read this threaded comment; however, any edits to it will get removed if the file is opened in a newer version of Excel. Learn more: https://go.microsoft.com/fwlink/?linkid=870924
Comment:
	as for any of the changes like WNR, hot stand-by, etc - SRE Plat have to spend time
</t>
      </text>
    </comment>
    <comment authorId="92" xr:uid="{607afb98-a8e6-4005-9440-602cdcfed8cb}" ref="M22">
      <text>
        <t xml:space="preserve">[Threaded comment]
 Your version of Excel allows you to read this threaded comment; however, any edits to it will get removed if the file is opened in a newer version of Excel. Learn more: https://go.microsoft.com/fwlink/?linkid=870924
Comment:
	@srajashekaran@guidewire.com 
Updated estimate based on the linked Confluence doc.
Section A (Tracking file persistence limits): x weeks
Section B (data migration across accounts/regions): y weeks
Assigned to srajashekaran@guidewire.com
</t>
      </text>
    </comment>
    <comment authorId="93" xr:uid="{6218e846-345b-4d1f-a389-86b82d3fa5bc}" ref="B27">
      <text>
        <t xml:space="preserve">[Threaded comment]
 Your version of Excel allows you to read this threaded comment; however, any edits to it will get removed if the file is opened in a newer version of Excel. Learn more: https://go.microsoft.com/fwlink/?linkid=870924
Comment:
	@amkhanna@guidewire.com: Please add a 1 pager in confluence on this feature and then link it here
Assigned to amkhanna@guidewire.com
Reply:
	@amkhanna@guidewire.com , the one pager please?
Reply:
	added
</t>
      </text>
    </comment>
    <comment authorId="94" xr:uid="{630cbd6f-d969-425c-bf78-ebddd2cd65bf}" ref="M14">
      <text>
        <t xml:space="preserve">[Threaded comment]
 Your version of Excel allows you to read this threaded comment; however, any edits to it will get removed if the file is opened in a newer version of Excel. Learn more: https://go.microsoft.com/fwlink/?linkid=870924
Comment:
	@gs@guidewire.com I don't think Ajanta will be impacted by the Fulfillment Service, so I've set it to "No Dependency." If you see it differently, feel free to add an estimate instead. You can check the One Pager for more details - thanks.
Assigned to gs@guidewire.com
Reply:
	@mzajac@guidewire.com Yes, there is no dependency or impact to Ajanta, we are good here.
</t>
      </text>
    </comment>
    <comment authorId="95" xr:uid="{631cb523-3345-4758-b98b-4347a3c122c8}" ref="AI25">
      <text>
        <t xml:space="preserve">[Threaded comment]
 Your version of Excel allows you to read this threaded comment; however, any edits to it will get removed if the file is opened in a newer version of Excel. Learn more: https://go.microsoft.com/fwlink/?linkid=870924
Comment:
	LSS isolation (star/quadrant tagging)
</t>
      </text>
    </comment>
    <comment authorId="96" xr:uid="{63440168-7964-4fbc-a72b-af52e95919b7}" ref="W8">
      <text>
        <t xml:space="preserve">[Threaded comment]
 Your version of Excel allows you to read this threaded comment; however, any edits to it will get removed if the file is opened in a newer version of Excel. Learn more: https://go.microsoft.com/fwlink/?linkid=870924
Comment:
	@gbouzeid@guidewire.com please drop a line about what changes are needed, thanks.
Reply:
	@gbouzeid@guidewire.com : I am interested to know as well
Reply:
	hi @mzajac@guidewire.com 
this line is about Immutable/Persistent IDs - i am the PM for observability/Atmos Core (not on this initiative)
Reply:
	@gbouzeid@guidewire.com PodIQ lists you as PM for Bolinas with 8 pod-weeks allocated - wanted to check if that's still accurate. If it's not applicable, could you set it to "No Dependency"? Thanks!
Reply:
	starting a slack thread with you and @ppaul@guidewire.com thx
</t>
      </text>
    </comment>
    <comment authorId="97" xr:uid="{64c651d9-5550-42fb-9ab4-aaacd38da7af}" ref="AQ8">
      <text>
        <t xml:space="preserve">[Threaded comment]
 Your version of Excel allows you to read this threaded comment; however, any edits to it will get removed if the file is opened in a newer version of Excel. Learn more: https://go.microsoft.com/fwlink/?linkid=870924
Comment:
	IS:
-&gt; Atlas (SoR for Stars; generate Tenant/Star unique ID; share unique ID with Salesforce; generate missing unique IDs, short names, display names)
-&gt; Voyager (provision Tenant/Star using unique IDs; allow to provision only if Tenant/Star exists in Atlas)
Cassini (accept GRNs with unique IDs)
IS NOT:
-&gt; Enabling Tenant / Star renaming (displayName/shortName)
</t>
      </text>
    </comment>
    <comment authorId="98" xr:uid="{6656b5d5-0f2d-4d54-8dcc-bf8380bf052c}" ref="AG14">
      <text>
        <t xml:space="preserve">[Threaded comment]
 Your version of Excel allows you to read this threaded comment; however, any edits to it will get removed if the file is opened in a newer version of Excel. Learn more: https://go.microsoft.com/fwlink/?linkid=870924
Comment:
	@gbouzeid@guidewire.com I don't think Danville will be impacted by the Fulfillment Service, so I've set it to "No Dependency." If you see it differently, feel free to add an estimate instead. You can check the One Pager for more details - thanks.
Assigned to gbouzeid@guidewire.com
Reply:
	based on the ask i see no dependency either - though i will let @beloy@guidewire.com comment as needed thx
Reassigned to beloy@guidewire.com
</t>
      </text>
    </comment>
    <comment authorId="99" xr:uid="{6824c3fa-d240-427f-9a49-3f69a3780e21}" ref="AK9">
      <text>
        <t xml:space="preserve">[Threaded comment]
 Your version of Excel allows you to read this threaded comment; however, any edits to it will get removed if the file is opened in a newer version of Excel. Learn more: https://go.microsoft.com/fwlink/?linkid=870924
Comment:
	@gs@guidewire.com I think for DB provisioning of RHS applications OAM components will be best suited for provisioning required key ARNs. Please reverify using the updated one pager document
CC: @srajashekaran@guidewire.com
Assigned to gs@guidewire.com
Reply:
	@cpetluri@guidewire.com for DB provisioning it would be good to check with @rasubramanian@guidewire.com and would be in `pod-warrior` scope.
Reassigned to cpetluri@guidewire.com
Reply:
	@gs@guidewire.com Basedon our conversation on Jul 16 on S3, please suggest if "No dependency" is still valid here
Reassigned to gs@guidewire.com
</t>
      </text>
    </comment>
    <comment authorId="100" xr:uid="{68420049-8842-4e3a-88a6-f5e351848d0c}" ref="B4">
      <text>
        <t xml:space="preserve">[Threaded comment]
 Your version of Excel allows you to read this threaded comment; however, any edits to it will get removed if the file is opened in a newer version of Excel. Learn more: https://go.microsoft.com/fwlink/?linkid=870924
Comment:
	@mzawadzka@guidewire.com :  : Can you create a 1 pager in confluence and link it here for the readers to know what this is about and as an expected outcome ?
Reply:
	Sure I will do this today, thx
Reply:
	@agopalakrishnan@guidewire.com I added the link with the Product One-pager
</t>
      </text>
    </comment>
    <comment authorId="101" xr:uid="{68913f1e-819d-42c9-b405-846d247926ae}" ref="AS2">
      <text>
        <t xml:space="preserve">[Threaded comment]
 Your version of Excel allows you to read this threaded comment; however, any edits to it will get removed if the file is opened in a newer version of Excel. Learn more: https://go.microsoft.com/fwlink/?linkid=870924
Comment:
	@suramasamy@guidewire.com Based on the conversation here - https://guidewire.slack.com/archives/C0657SL7YNQ/p1784830812758849 - I am shifting the effort mentioned in MSK CR-DR row here
CC: @dhsharma@guidewire.com @atomar@guidewire.com
Assigned to suramasamy@guidewire.com
</t>
      </text>
    </comment>
    <comment authorId="102" xr:uid="{6ac3f8a2-5678-4b89-ad2f-fff4facecf70}" ref="BJ7">
      <text>
        <t xml:space="preserve">[Threaded comment]
 Your version of Excel allows you to read this threaded comment; however, any edits to it will get removed if the file is opened in a newer version of Excel. Learn more: https://go.microsoft.com/fwlink/?linkid=870924
Comment:
	@jdobson@guidewire.com @atomar@guidewire.com - anything on tenancy improvements? or it is already counted part of Kanata?
Reply:
	No feature work is planned by Vulcan, however we need to ensure whatever we are doing with hub based placement doesn't make the situation worse!
</t>
      </text>
    </comment>
    <comment authorId="103" xr:uid="{6b9cd006-be98-4754-8930-e8ce6557e83f}" ref="BF2">
      <text>
        <t xml:space="preserve">[Threaded comment]
 Your version of Excel allows you to read this threaded comment; however, any edits to it will get removed if the file is opened in a newer version of Excel. Learn more: https://go.microsoft.com/fwlink/?linkid=870924
Comment:
	@apers@guidewire.com Based on the conversation here - https://guidewire.slack.com/archives/C0657SL7YNQ/p1784830812758849 - I am including the dependency mentioned in MSK CR-DR row here
CC: @atomar@guidewire.com @kwcislo@guidewire.com
Assigned to apers@guidewire.com
Reply:
	@cpetluri@guidewire.com  looks like I don't have access to the conversation you mentioned, but ACK 👍🏻
</t>
      </text>
    </comment>
    <comment authorId="104" xr:uid="{6c97d8c2-b6ac-4648-8121-f58aad88f8f0}" ref="AS2">
      <text>
        <t xml:space="preserve">[Threaded comment]
 Your version of Excel allows you to read this threaded comment; however, any edits to it will get removed if the file is opened in a newer version of Excel. Learn more: https://go.microsoft.com/fwlink/?linkid=870924
Comment:
	@dhsharma@guidewire.com @suramasamy@guidewire.com , can you please clarify what is the effort for, is it Mithril to be DR ready?
Assigned to suramasamy@guidewire.com
Reply:
	Yes.
</t>
      </text>
    </comment>
    <comment authorId="105" xr:uid="{6cf99ba7-1835-4b07-a4b5-d463e9b405d2}" ref="AP13">
      <text>
        <t xml:space="preserve">[Threaded comment]
 Your version of Excel allows you to read this threaded comment; however, any edits to it will get removed if the file is opened in a newer version of Excel. Learn more: https://go.microsoft.com/fwlink/?linkid=870924
Comment:
	Depends on:
-&gt; @amkhanna@guidewire.com Bandipur (provide Okta Group to be assigned to the UAA users)
</t>
      </text>
    </comment>
    <comment authorId="106" xr:uid="{70f8aa08-f1d1-453f-9549-721d3cee90af}" ref="BE2">
      <text>
        <t xml:space="preserve">[Threaded comment]
 Your version of Excel allows you to read this threaded comment; however, any edits to it will get removed if the file is opened in a newer version of Excel. Learn more: https://go.microsoft.com/fwlink/?linkid=870924
Comment:
	@msmriti@guidewire.com for LHS Services DR orchestration, Vulcan's workflows will depend on the Nova team to populate configmaps or labels with information about each of the µS's AWS components. I think this is still under discussion with the Nova team, but can you supply a rough estimate here?
</t>
      </text>
    </comment>
    <comment authorId="107" xr:uid="{72230ffe-97bd-4687-a67b-fd6293111319}" ref="BL22">
      <text>
        <t xml:space="preserve">[Threaded comment]
 Your version of Excel allows you to read this threaded comment; however, any edits to it will get removed if the file is opened in a newer version of Excel. Learn more: https://go.microsoft.com/fwlink/?linkid=870924
Comment:
	"Ignite"-like team
</t>
      </text>
    </comment>
    <comment authorId="108" xr:uid="{72df15e4-cf7c-4e1e-9d29-a570fb60a0ec}" ref="BG19">
      <text>
        <t xml:space="preserve">[Threaded comment]
 Your version of Excel allows you to read this threaded comment; however, any edits to it will get removed if the file is opened in a newer version of Excel. Learn more: https://go.microsoft.com/fwlink/?linkid=870924
Comment:
	Based on https://guidewireinternal.ideas.aha.io/ideas/IPI-I-1129
</t>
      </text>
    </comment>
    <comment authorId="109" xr:uid="{74264e87-f056-448d-80e8-8b9f729fb02b}" ref="AF8">
      <text>
        <t xml:space="preserve">[Threaded comment]
 Your version of Excel allows you to read this threaded comment; however, any edits to it will get removed if the file is opened in a newer version of Excel. Learn more: https://go.microsoft.com/fwlink/?linkid=870924
Comment:
	@gbouzeid@guidewire.com I added Michalowice as Danville's dependency, please adjust if needed.
Assigned to gbouzeid@guidewire.com
Reply:
	@beloy@guidewire.com @msherwin@guidewire.com to review/comment thx
Reassigned to beloy@guidewire.com
Reply:
	My sense is that Danville doesn't need to do anything to support this initiative, nor is any of Danville's other work blocked or affected by it. @msherwin@guidewire.com can correct me if I'm wrong about that :)
Reply:
	I agree. It is mostly changing customer tenant Id which is managed by gwcp-tenancy team
Reply:
	Ok, so changing to None. Please adjust the effort if needed, thx.
</t>
      </text>
    </comment>
    <comment authorId="110" xr:uid="{756dee8c-77af-40e4-9532-b89ce684968a}" ref="V8">
      <text>
        <t xml:space="preserve">[Threaded comment]
 Your version of Excel allows you to read this threaded comment; however, any edits to it will get removed if the file is opened in a newer version of Excel. Learn more: https://go.microsoft.com/fwlink/?linkid=870924
Comment:
	@gbouzeid@guidewire.com I added Michalowice as Bolinas's dependency, please adjust if needed.
Assigned to gbouzeid@guidewire.com
Reply:
	thx ! I will let @bsekar@guidewire.com @ppaul@guidewire.com review too
Reassigned to bsekar@guidewire.com
Reply:
	hi @mzajac@guidewire.com, can you help me understand what the dependency on on Michalowice is?
Reassigned to mzajac@guidewire.com
Reply:
	@bsekar@guidewire.com sure, it's simply a result of Bolinas having provided the estimate (8). Unfortunately, I still haven't received an answer to my question about what scope this estimate actually covers. @gbouzeid@guidewire.com could we get this finalized - either mark it as "No dependency" or share a high-level sense of what scope the provided value is based on?
Reply:
	hi @mzajac@guidewire.com 
I do not have additional information to confirm/infirm this dependency - if no additional update from @ppaul@guidewire.com or @bsekar@guidewire.com let's leave it as such for now
Reply:
	@mzajac@guidewire.com We suspect the following work.
- Vector routing of tenant logs need to change based on the tenant_id changes if any
- Datadog tenant configuration changes
- GWCP cost is also with Bolinas and hence updating of tenant tags is also something I suspect bolinas would have to do depending on the changes required.
</t>
      </text>
    </comment>
    <comment authorId="111" xr:uid="{764a6a07-4fc4-4cc3-9e6f-61d5cf7de5f0}" ref="O17">
      <text>
        <t xml:space="preserve">[Threaded comment]
 Your version of Excel allows you to read this threaded comment; however, any edits to it will get removed if the file is opened in a newer version of Excel. Learn more: https://go.microsoft.com/fwlink/?linkid=870924
Comment:
	@amkhanna@guidewire.com Please help us close out here
Assigned to amkhanna@guidewire.com
</t>
      </text>
    </comment>
    <comment authorId="112" xr:uid="{7707a322-5c80-4620-9a6d-b9103b6bcb1a}" ref="O8">
      <text>
        <t xml:space="preserve">[Threaded comment]
 Your version of Excel allows you to read this threaded comment; however, any edits to it will get removed if the file is opened in a newer version of Excel. Learn more: https://go.microsoft.com/fwlink/?linkid=870924
Comment:
	Keti tenant_id changes
Reply:
	@smalladi@guidewire.com @amkhanna@guidewire.com is this really that big a change?
Also are there any dependencies to other teams?
Marked as resolved
</t>
      </text>
    </comment>
    <comment authorId="113" xr:uid="{780e292d-6b13-4f67-9558-8ac2adfa269d}" ref="X8">
      <text>
        <t xml:space="preserve">[Threaded comment]
 Your version of Excel allows you to read this threaded comment; however, any edits to it will get removed if the file is opened in a newer version of Excel. Learn more: https://go.microsoft.com/fwlink/?linkid=870924
Comment:
	@cpetluri@guidewire.com I added Michalowice as Brilliant's dependency, please adjust if needed.
Assigned to cpetluri@guidewire.com
Reply:
	I agree.
</t>
      </text>
    </comment>
    <comment authorId="114" xr:uid="{7c4a5715-3e4c-4629-840d-6dbf8ef5d3ea}" ref="BC12">
      <text>
        <t xml:space="preserve">[Threaded comment]
 Your version of Excel allows you to read this threaded comment; however, any edits to it will get removed if the file is opened in a newer version of Excel. Learn more: https://go.microsoft.com/fwlink/?linkid=870924
Comment:
	IP allowlisting
</t>
      </text>
    </comment>
    <comment authorId="115" xr:uid="{7ee13d37-f7f8-4f8f-9fc0-ec89e70a45bc}" ref="Q24">
      <text>
        <t xml:space="preserve">[Threaded comment]
 Your version of Excel allows you to read this threaded comment; however, any edits to it will get removed if the file is opened in a newer version of Excel. Learn more: https://go.microsoft.com/fwlink/?linkid=870924
Comment:
	Surely this will have some networking impact. I see this scope is design-only.
</t>
      </text>
    </comment>
    <comment authorId="116" xr:uid="{812d6a6e-6cde-4814-a1d7-e55a1c26add1}" ref="B26">
      <text>
        <t xml:space="preserve">[Threaded comment]
 Your version of Excel allows you to read this threaded comment; however, any edits to it will get removed if the file is opened in a newer version of Excel. Learn more: https://go.microsoft.com/fwlink/?linkid=870924
Comment:
	@rasubramanian@guidewire.com : Please add a one pager in confluence and link it here
Assigned to rasubramanian@guidewire.com
Reply:
	will add it.
</t>
      </text>
    </comment>
    <comment authorId="117" xr:uid="{82f46bf4-5c7d-4fa0-b91d-4d89ce4beb9e}" ref="AJ22">
      <text>
        <t xml:space="preserve">[Threaded comment]
 Your version of Excel allows you to read this threaded comment; however, any edits to it will get removed if the file is opened in a newer version of Excel. Learn more: https://go.microsoft.com/fwlink/?linkid=870924
Comment:
	@jguionnet@guidewire.com We do not have a dependency with Kanata for Cluster KEP. Was this added for some other reason?
Reply:
	No my bad. Kanata using OCM will leverage the cluster KEP, so the dependency is the other way around
</t>
      </text>
    </comment>
    <comment authorId="118" xr:uid="{839b066c-f897-48d6-af61-944f5621298b}" ref="AQ24">
      <text>
        <t xml:space="preserve">[Threaded comment]
 Your version of Excel allows you to read this threaded comment; however, any edits to it will get removed if the file is opened in a newer version of Excel. Learn more: https://go.microsoft.com/fwlink/?linkid=870924
Comment:
	Atlas/Voyager may be impacted. Allocating time for design phase participation.
</t>
      </text>
    </comment>
    <comment authorId="119" xr:uid="{8584ea0c-6c87-415d-84aa-e55cbbf67b95}" ref="AK22">
      <text>
        <t xml:space="preserve">[Threaded comment]
 Your version of Excel allows you to read this threaded comment; however, any edits to it will get removed if the file is opened in a newer version of Excel. Learn more: https://go.microsoft.com/fwlink/?linkid=870924
Comment:
	@srajashekaran@guidewire.com Review estimate, it is for Cluster KEP work
Assigned to srajashekaran@guidewire.com
Reply:
	Sounds good.
Reply:
	Can we add Cluster KEP to the description as well? It would become transparent why Gokarna has a stake here.
</t>
      </text>
    </comment>
    <comment authorId="120" xr:uid="{85a1567d-cdd2-4c42-9dc2-ca9a803a3b27}" ref="BA19">
      <text>
        <t xml:space="preserve">[Threaded comment]
 Your version of Excel allows you to read this threaded comment; however, any edits to it will get removed if the file is opened in a newer version of Excel. Learn more: https://go.microsoft.com/fwlink/?linkid=870924
Comment:
	This estimate is to convey the ambiguity and potentially vast impact of the initiative. I'm not convinced the impact on Keti itself will be so huge, but leaving as is pending some documentation / more concrete description of the initiative.
Reply:
	Marking it as TBD, since the scope is unclear at this point in time. We can revisit later.
</t>
      </text>
    </comment>
    <comment authorId="121" xr:uid="{877cce4d-de94-4a4d-bba8-44fde5aaf277}" ref="B7">
      <text>
        <t xml:space="preserve">[Threaded comment]
 Your version of Excel allows you to read this threaded comment; however, any edits to it will get removed if the file is opened in a newer version of Excel. Learn more: https://go.microsoft.com/fwlink/?linkid=870924
Comment:
	Merge with Karpenter? @gbouzeid@guidewire.com
1 total reaction
Messiha Sherwin reacted with 👍 at 07/11/2026, 12:07 AM UTC
Assigned to gbouzeid@guidewire.com
Reply:
	Makes sense to me
Reply:
	We should keep it separate. Karpenter could be one of the aspect, however there could be other items:
- PDB improvements (Danville recently did some)
- Tenancy improvements (Vulcan)
- SRE Plat related improvements (IDK as what at this point, but we certainly can improve)
- Options to optimize WNR? - Hot standby? etc
</t>
      </text>
    </comment>
    <comment authorId="122" xr:uid="{877d6caa-148a-4cea-afba-409ab18ef6a4}" ref="BA27">
      <text>
        <t xml:space="preserve">[Threaded comment]
 Your version of Excel allows you to read this threaded comment; however, any edits to it will get removed if the file is opened in a newer version of Excel. Learn more: https://go.microsoft.com/fwlink/?linkid=870924
Comment:
	@amkhanna@guidewire.com did you added this 11 weeks effort?
Can you share what you are expecting on Keti that is different than today?
1 total reaction
Grzegorz Solinski reacted with ☝️ at 07/16/2026, 10:40 PM UTC
Assigned to amkhanna@guidewire.com
Reply:
	@dhsharma@guidewire.com This is similar exercise as Guard SCIM integration. SCIM bring users and groups and creates them in IS. This estimates, factor in the changes needed in User store to accomodate IS specific information and evoking IS apis. The approach for this is yet to be finalised but we have assumed user store has to modify itself to accomodate IS specific terms and then evoking user management API's from IS . This includes storing additional user attributes in user store like authority limit. Also storing the mapping details (user store first name - &gt; pc_username) and other mappings and evoking IS.
</t>
      </text>
    </comment>
    <comment authorId="123" xr:uid="{89096411-ff44-428c-aecf-7e8fb157a901}" ref="AU6">
      <text>
        <t xml:space="preserve">[Threaded comment]
 Your version of Excel allows you to read this threaded comment; however, any edits to it will get removed if the file is opened in a newer version of Excel. Learn more: https://go.microsoft.com/fwlink/?linkid=870924
Comment:
	@mzawadzka@guidewire.com Please see Slack message, I'm curious what this is for since no work for Okocim is identified here: https://guidewireconfluence.atlassian.net/wiki/spaces/CCS/pages/2430402590/BYOA+-+EA+GA+Deliverables
Reply:
	Hi @jdobson@guidewire.com as KR mention our assumption was that there is still some work needed but if the whole initiative is going to Kanata as it is marked there is no dependency. Thx
</t>
      </text>
    </comment>
    <comment authorId="124" xr:uid="{8a1d2353-a084-484c-a526-7c24d07b1d52}" ref="AW2">
      <text>
        <t xml:space="preserve">[Threaded comment]
 Your version of Excel allows you to read this threaded comment; however, any edits to it will get removed if the file is opened in a newer version of Excel. Learn more: https://go.microsoft.com/fwlink/?linkid=870924
Comment:
	Include SMS to Helios migraion tools and PrivateLink Egress DR
Reply:
	This is for Liberty as far as I understand, why would you need SMS to Helios migration tools? It's already migrated.
Reply:
	The same timeline is for migration The Hartford to Helios and to do this we have to develop tooling for DAD variables. And this is also dependency for the whole DR initiative. And answering to your question, yes LM is already migrated.
Reply:
	Let's follow up offline on this, I'm not aware of any Hartford related dates for this one
Reply:
	@lmakowski@guidewire.com Based on the conversation here - https://guidewire.slack.com/archives/C0657SL7YNQ/p1784830812758849 - I am adding the effort mentioned in MSK CR-DR row here
CC: @atomar@guidewire.com
</t>
      </text>
    </comment>
    <comment authorId="125" xr:uid="{8c3c028b-d1d7-44f3-b8ca-47268b316e3c}" ref="B24">
      <text>
        <t xml:space="preserve">[Threaded comment]
 Your version of Excel allows you to read this threaded comment; however, any edits to it will get removed if the file is opened in a newer version of Excel. Learn more: https://go.microsoft.com/fwlink/?linkid=870924
Comment:
	@atomar@guidewire.com Please add a one pager in confluence and link it here
Reply:
	Yes working on it
</t>
      </text>
    </comment>
    <comment authorId="126" xr:uid="{8c5fa8b8-a307-4db5-b21d-d869940cd381}" ref="AK14">
      <text>
        <t xml:space="preserve">[Threaded comment]
 Your version of Excel allows you to read this threaded comment; however, any edits to it will get removed if the file is opened in a newer version of Excel. Learn more: https://go.microsoft.com/fwlink/?linkid=870924
Comment:
	@gs@guidewire.com I don't think Gokarna will be impacted by the Fulfillment Service, so I've set it to "No Dependency." If you see it differently, feel free to add an estimate instead. You can check the One Pager for more details - thanks.
Assigned to gs@guidewire.com
Reply:
	@mzajac@guidewire.com Yes, there is no dependency or impact to Gokarna, we are good here.
</t>
      </text>
    </comment>
    <comment authorId="127" xr:uid="{8db4b7e9-19bd-4e21-b5e1-924af704ed7c}" ref="BA15">
      <text>
        <t xml:space="preserve">[Threaded comment]
 Your version of Excel allows you to read this threaded comment; however, any edits to it will get removed if the file is opened in a newer version of Excel. Learn more: https://go.microsoft.com/fwlink/?linkid=870924
Comment:
	This estimate in weeks (proposed by Claude) is for the implementation of the change laid out in this RFC: https://guidewireconfluence.atlassian.net/wiki/spaces/CCS/pages/3131801858/rfc-147+User+Lifecycle+Events+Routing+for+all+Isolation+Zones
which is required to enable IZ-local access to the User Lifecycle Events and allow phasing out the cross-IZ MSK connections.
I think the estimate might be a bit exaggerated - I would welcome your input @smalladi@guidewire.com @amkhanna@guidewire.com
Assigned to smalladi@guidewire.com
Reply:
	hi @gsolinski@guidewire.com, we estimated it to be 4 sols/8 weeks. There are few pre reqs that needed to be done.
adding Pavan and Satish @pmandayambheeman@guidewire.com @sapatil@guidewire.com
Reply:
	Thanks Sai. I'm assuming you're referring to the prerequisites as listed in the RFC: https://guidewireconfluence.atlassian.net/wiki/spaces/CCS/pages/3131801858/rfc-147+User+Lifecycle+Events+Routing+for+all+Isolation+Zones#Pre-Requisites
If so, I believe the first one is already in progress (PR from your team) and the rest is on the SCIM side, so you can capture it in your teams's column.
We can leave the 10-week estimate, to account for the work left in Keti (the pending PR) and the IdP tags audit, on top your original estimate.
1 total reaction
Sai Praveen Malladi reacted with 👍 at 07/17/2026, 5:49 AM UTC
Reply:
	Yes Grzegorz, the prerequisites are the same as mentioned in the RFC.
1. supporting v2 groups with Okta groups. 
2. IdP tags back filling. 
Apart from the above, there needs to be some more changes that needs to be done for removing the cross IZ msk dependency and smooth cutover for the consumers.
Reply:
	Thanks for confirming. As for those additional changes, some of that was already included in the 10 week estimate proposed by Claude. As for the switchover of the consumers - the effort / dependency should probably be rather noted on their side (e.g. GUARD / Bandipur column), as this sheet tracks the initiative dependencies across all the teams. FYI @pikumar@guidewire.com
Reassigned to pikumar@guidewire.com
Reply:
	The 10 week estimate I entered 
here only includes the work necessary to deploy the Keti MSK infrastructure the proper way / allow consumers connect to IZ-local topics.
</t>
      </text>
    </comment>
    <comment authorId="128" xr:uid="{8e49d17b-e8d4-4896-bf3f-1fde2a32f0bd}" ref="R15">
      <text>
        <t xml:space="preserve">[Threaded comment]
 Your version of Excel allows you to read this threaded comment; however, any edits to it will get removed if the file is opened in a newer version of Excel. Learn more: https://go.microsoft.com/fwlink/?linkid=870924
Comment:
	@amkhanna@guidewire.com A gentle reminder to mark this. It can be None
Reply:
	Marked as resolved
Reply:
	Since the comment is resolved, I am assuming no dependencies. Please feel free to override if required
Re-opened
</t>
      </text>
    </comment>
    <comment authorId="129" xr:uid="{91054635-afda-4fd5-8149-c10bff5ed00e}" ref="AG7">
      <text>
        <t xml:space="preserve">[Threaded comment]
 Your version of Excel allows you to read this threaded comment; however, any edits to it will get removed if the file is opened in a newer version of Excel. Learn more: https://go.microsoft.com/fwlink/?linkid=870924
Comment:
	- If any outstanding on PDB
- WNR improvements?
- Hot stand-by nodes?
Work collaboratively with SREPlat
</t>
      </text>
    </comment>
    <comment authorId="130" xr:uid="{93386c03-a301-4f62-a638-48ebebd572a7}" ref="B2">
      <text>
        <t xml:space="preserve">[Threaded comment]
 Your version of Excel allows you to read this threaded comment; however, any edits to it will get removed if the file is opened in a newer version of Excel. Learn more: https://go.microsoft.com/fwlink/?linkid=870924
Comment:
	@lmakowski@guidewire.com - SMS to Helios @pdomider@guidewire.com - S3 MRAP, Snapshot Export, Read Replica
@rasubramanian@guidewire.com for universal URL
@jdobson@guidewire.com for Hub DR, LHS DR Orchestrator and Self-Serve Testing
Reply:
	@atomar@guidewire.com : Please add a 1 pager that links to this item and keep the scope in it clear for the outcome. Removing NOTE that was in. the cell to comments.
Reply:
	NOTE: Please exclude anything we are working towards August timelines.
Scope high-level
- Universal URL for PL Ingress (with ARC or Cloudfare)
- SMS to Helios
- IS Read Replica in DR from the DR region
- IS Snapshot export in the DR region (only scheduled, as GH wont be available for instant backup)
- S3 MRAP
- Hub Automated Recovery
- Self-Serve Testing
</t>
      </text>
    </comment>
    <comment authorId="131" xr:uid="{9512421e-3b1c-4cce-86c5-4eed360c9e50}" ref="BO16">
      <text>
        <t xml:space="preserve">[Threaded comment]
 Your version of Excel allows you to read this threaded comment; however, any edits to it will get removed if the file is opened in a newer version of Excel. Learn more: https://go.microsoft.com/fwlink/?linkid=870924
Comment:
	1. Solution for orphaned IS DBs and S3 buckets
</t>
      </text>
    </comment>
    <comment authorId="132" xr:uid="{95197f4e-c0d7-405e-a3fe-b8b60e5557bc}" ref="M9">
      <text>
        <t xml:space="preserve">[Threaded comment]
 Your version of Excel allows you to read this threaded comment; however, any edits to it will get removed if the file is opened in a newer version of Excel. Learn more: https://go.microsoft.com/fwlink/?linkid=870924
Comment:
	@cpetluri@guidewire.com As we spoke, I don't see a direct dependency for BYOK and `pod-ajanta`. Also, in terms of support of S3 OAM &amp; S3 TF for KMS encryption the same is allowed today per https://github.com/gwre-pdo/CCS-atmos-oam-library/blob/main/library/kubevela/components/s3/examples/create-s3-additional-fields.yaml#L47-L49 and https://github.com/gwre-pdo/ccs-atmos-tfmodule-s3-default/blob/f5417c66f199a36f27b62e00ab2f2462cfce9f60/main.tf#L20-L21
In terms, of dynamically fetching the custom managed kms key from an vault, I guess it would be best to leave to the application team consuming S3 OAM/S3 TF.
cc: @srajashekaran@guidewire.com
1 total reaction
Chakravarthy Petluri reacted with 👍 at 07/21/2026, 1:50 PM UTC
</t>
      </text>
    </comment>
    <comment authorId="133" xr:uid="{979edbfa-d7a1-4607-b9ca-b08405761810}" ref="AZ3">
      <text>
        <t xml:space="preserve">[Threaded comment]
 Your version of Excel allows you to read this threaded comment; however, any edits to it will get removed if the file is opened in a newer version of Excel. Learn more: https://go.microsoft.com/fwlink/?linkid=870924
Comment:
	@amkhanna@guidewire.com : Please give comma separate names of the dependency teams alone. Anything else can be put in as a comment. We are doing some automation and non standard input breaks it
Assigned to amkhanna@guidewire.com
</t>
      </text>
    </comment>
    <comment authorId="134" xr:uid="{982ae26f-6635-48bf-99a7-6259b8eb0b6f}" ref="P4">
      <text>
        <t xml:space="preserve">[Threaded comment]
 Your version of Excel allows you to read this threaded comment; however, any edits to it will get removed if the file is opened in a newer version of Excel. Learn more: https://go.microsoft.com/fwlink/?linkid=870924
Comment:
	Customer usage will likely require egress controls -- we successfully prototyped with Cilium L7 egress proxy for DevSummit 2026 but we would need this productized for EA, see also https://guidewireconfluence.atlassian.net/wiki/spaces/~712020bcc00498e48f40e48348bb73f9d77442/pages/2857763108/Managing+VAMOS+network+traffic+with+Cilium+network+policies
cc: @lowen@guidewire.com @rasubramanian@guidewire.com @mzawadzka@guidewire.com @gbouzeid@guidewire.com
Reply:
	@rasubramanian@guidewire.com could you please take a look on the @beloy@guidewire.com comment and let us know what is the estimation
Reply:
	We agree that this will require work from Avondale.
I can't update this sheet now, but I want to set the estimate to TBD for now, then update with an estimate once we have one.
</t>
      </text>
    </comment>
    <comment authorId="135" xr:uid="{999c537e-bc70-4892-92e3-303956f8a3d8}" ref="BM11">
      <text>
        <t xml:space="preserve">[Threaded comment]
 Your version of Excel allows you to read this threaded comment; however, any edits to it will get removed if the file is opened in a newer version of Excel. Learn more: https://go.microsoft.com/fwlink/?linkid=870924
Comment:
	New provisioner for migration DBs
</t>
      </text>
    </comment>
    <comment authorId="136" xr:uid="{9b406bfa-13d6-46db-8246-86459b1cfce8}" ref="B14">
      <text>
        <t xml:space="preserve">[Threaded comment]
 Your version of Excel allows you to read this threaded comment; however, any edits to it will get removed if the file is opened in a newer version of Excel. Learn more: https://go.microsoft.com/fwlink/?linkid=870924
Comment:
	@mzajac@guidewire.com : Please add a one pager in confluence and link it here
Assigned to mzajac@guidewire.com
</t>
      </text>
    </comment>
    <comment authorId="137" xr:uid="{9bab65fb-2112-4315-98c1-738ddc7bef59}" ref="O14">
      <text>
        <t xml:space="preserve">[Threaded comment]
 Your version of Excel allows you to read this threaded comment; however, any edits to it will get removed if the file is opened in a newer version of Excel. Learn more: https://go.microsoft.com/fwlink/?linkid=870924
Comment:
	@amkhanna@guidewire.com I don't think Allepay will be impacted by the Fulfillment Service, so I've set it to "No Dependency." If you see it differently, feel free to add an estimate instead. You can check the One Pager/ping me for more details - thanks.
Assigned to amkhanna@guidewire.com
Reply:
	Hi @mzajac@guidewire.com Alleppey is working on SCIM IS integration and may need to check fulfilment service as to which xcenter the customer is entitled to. The exact solution is yet to
</t>
      </text>
    </comment>
    <comment authorId="138" xr:uid="{9de7cde4-676f-44d3-bac7-3e34b6aa1e66}" ref="R3">
      <text>
        <t xml:space="preserve">[Threaded comment]
 Your version of Excel allows you to read this threaded comment; however, any edits to it will get removed if the file is opened in a newer version of Excel. Learn more: https://go.microsoft.com/fwlink/?linkid=870924
Comment:
	@amkhanna@guidewire.com : Please give comma separate names of the dependency teams alone. Anything else can be put in as a comment. We are doing some automation and non standard input breaks it
Assigned to amkhanna@guidewire.com
Reply:
	Bandipur is dependent on Mossefactory for line item 3 &amp; 4, then on Sausolito for completion of item 1 &amp; 2) 
Onboarding Non GCC Apps - 6
Import GH users - 5 
Scaling Guard - 5 
Planet Level Granularity - 12
Entitlemet - &lt;service doesn't exist we would check if we can use SF API's&gt; 3
Audit - 2
GPR - 4 (for all of the above)
</t>
      </text>
    </comment>
    <comment authorId="139" xr:uid="{9f0791d1-c44d-45f7-93c1-8148ba649bca}" ref="V12">
      <text>
        <t xml:space="preserve">[Threaded comment]
 Your version of Excel allows you to read this threaded comment; however, any edits to it will get removed if the file is opened in a newer version of Excel. Learn more: https://go.microsoft.com/fwlink/?linkid=870924
Comment:
	@gbouzeid@guidewire.com I took the liberty to add ourselves as the dependency. The docs says you would need Postgres extension (pgAudit), which is done on the database level, which is on Wola. We can sync on details later/offline, but don't forget about us.
Reply:
	oh great! yep thx @pdomider@guidewire.com have you already in the dependencies list. thx
</t>
      </text>
    </comment>
    <comment authorId="140" xr:uid="{9f569737-90cc-4b40-a565-91e354ab605d}" ref="AG17">
      <text>
        <t xml:space="preserve">[Threaded comment]
 Your version of Excel allows you to read this threaded comment; however, any edits to it will get removed if the file is opened in a newer version of Excel. Learn more: https://go.microsoft.com/fwlink/?linkid=870924
Comment:
	@gbouzeid@guidewire.com Please help us out here
Assigned to gbouzeid@guidewire.com
Reply:
	I am not aware of MSK dependency for Danville - i will update as such - though @beloy@guidewire.com @msherwin@guidewire.com please confirm thx
Reassigned to beloy@guidewire.com
</t>
      </text>
    </comment>
    <comment authorId="141" xr:uid="{9fae879b-72d8-48e5-ac60-248e934a516c}" ref="BI8">
      <text>
        <t xml:space="preserve">[Threaded comment]
 Your version of Excel allows you to read this threaded comment; however, any edits to it will get removed if the file is opened in a newer version of Excel. Learn more: https://go.microsoft.com/fwlink/?linkid=870924
Comment:
	Based on rfc-31: Globally unique keys to identify tenant/star/planet
Reply:
	Tymbark (accept unique ID in deployment/un-deployment via ISDO) (Not sure (?))
</t>
      </text>
    </comment>
    <comment authorId="142" xr:uid="{a185fc47-2184-463d-b65f-3110d913a05e}" ref="BG8">
      <text>
        <t xml:space="preserve">[Threaded comment]
 Your version of Excel allows you to read this threaded comment; however, any edits to it will get removed if the file is opened in a newer version of Excel. Learn more: https://go.microsoft.com/fwlink/?linkid=870924
Comment:
	@apers@guidewire.com please drop a line about what changes you meant, thanks.
Reply:
	@mzajac@guidewire.com This was mainly driven by the fact that the scope of this topic is not entirely clear to us. Based on our teams' experience, it seemed possible that we might be affected. After today's discussions, we think there may be a need to use different properties in our pipelines depending on the business need - unique id vs short name.
Reply:
	@apers@guidewire.com please validate against this https://guidewireconfluence.atlassian.net/wiki/spaces/KDC/pages/3402468441/Immutable+ID+Initiative+One+Pager#What-this-means-for-your-service, thx
Reply:
	@mzajac@guidewire.com Done. Taking into account the information from the one-pager, as well as what we discussed yesterday about the potential impact on public APIs, Tychy pod has asked me to extend our estimate to 8. Of course, once we complete a more detailed deep dive, this may change.
</t>
      </text>
    </comment>
    <comment authorId="143" xr:uid="{a2be4ae6-4eb3-4a05-b84a-a9ac3ccfc15f}" ref="B3">
      <text>
        <t xml:space="preserve">[Threaded comment]
 Your version of Excel allows you to read this threaded comment; however, any edits to it will get removed if the file is opened in a newer version of Excel. Learn more: https://go.microsoft.com/fwlink/?linkid=870924
Comment:
	@amkhanna@guidewire.com – What are the timelines for deprecation? Shouldn't this be separated into:
Guard rollout for LM-dependent LHS services
Deprecation of AD groups – Guard adoption
If #2 is not in scope for FY27, can you please specify that deprecation is out of scope for FY27?
Reply:
	Hi @ssandebiksham@guidewire.co from Guard perspective the work required for both is similar. Once Guard is ready to onboard  any application can onboard. Certain apps are a priority as they are a security threat and are needed urgently by customer. But if only few apps onboard and other don't, customer has to manage certain permissions from AD group but other from Guard creating a friction in user experience and distributed experience. Therefore if the app is not waiting for Guard to resolve any feature gap we would prefer to have it onboard. As it helps us move away from AD groups.
</t>
      </text>
    </comment>
    <comment authorId="144" xr:uid="{a36f1065-e053-4d9f-ae84-5103ef8e4a3d}" ref="AA12">
      <text>
        <t xml:space="preserve">[Threaded comment]
 Your version of Excel allows you to read this threaded comment; however, any edits to it will get removed if the file is opened in a newer version of Excel. Learn more: https://go.microsoft.com/fwlink/?linkid=870924
Comment:
	@bsekar@guidewire.com I don't see any changes required from MSK perspective in the doc. Please confirm the effort you gave here (as per edit history)
CC: @ssandebiksham@guidewire.com
Assigned to bsekar@guidewire.com
</t>
      </text>
    </comment>
    <comment authorId="145" xr:uid="{a6350e47-a4bf-4e48-b3ed-a91ed88adebd}" ref="BM16">
      <text>
        <t xml:space="preserve">[Threaded comment]
 Your version of Excel allows you to read this threaded comment; however, any edits to it will get removed if the file is opened in a newer version of Excel. Learn more: https://go.microsoft.com/fwlink/?linkid=870924
Comment:
	Quota work captured in Kubernetes Quota line item
</t>
      </text>
    </comment>
    <comment authorId="146" xr:uid="{a6b11e33-6489-4d30-b274-b7546e357eb2}" ref="AQ6">
      <text>
        <t xml:space="preserve">[Threaded comment]
 Your version of Excel allows you to read this threaded comment; however, any edits to it will get removed if the file is opened in a newer version of Excel. Learn more: https://go.microsoft.com/fwlink/?linkid=870924
Comment:
	IS:
- Automating de-provisioning of Lightweight Tenant (non-IS Carriers only)
IS NOT:
- Automating provisioning of Lightweight Tenant (already done; non-IS Carriers only)
- Converting LWT Tenant to GWCP Tenant (e.g. provisioning PrC at first then adding PC)
</t>
      </text>
    </comment>
    <comment authorId="147" xr:uid="{a7643ca7-5d0f-4183-a61d-43787dc61e30}" ref="BM22">
      <text>
        <t xml:space="preserve">[Threaded comment]
 Your version of Excel allows you to read this threaded comment; however, any edits to it will get removed if the file is opened in a newer version of Excel. Learn more: https://go.microsoft.com/fwlink/?linkid=870924
Comment:
	Warrior scope- Aurora, DynamoDB resources limits/quotas and related Kubevela/Crossplane limits
Reply:
	Updated estimate based on the linked Confluence doc.
Section A (limits): 2 weeks
Section B (data migration across accounts/regions): 18 weeks
</t>
      </text>
    </comment>
    <comment authorId="148" xr:uid="{ab65d65b-76be-4056-bddf-e8c667b045ad}" ref="BG2">
      <text>
        <t xml:space="preserve">[Threaded comment]
 Your version of Excel allows you to read this threaded comment; however, any edits to it will get removed if the file is opened in a newer version of Excel. Learn more: https://go.microsoft.com/fwlink/?linkid=870924
Comment:
	@apers@guidewire.com Based on the conversation here - https://guidewire.slack.com/archives/C0657SL7YNQ/p1784830812758849 - I am adding the effort mentioned in MSK CR-DR row here
CC: @atomar@guidewire.com
Assigned to apers@guidewire.com
Reply:
	@cpetluri@guidewire.com looks like I don't have access to the conversation you mentioned, but ACK 👍🏻
</t>
      </text>
    </comment>
    <comment authorId="149" xr:uid="{ac8ef17e-6e61-4459-881f-6615659bf5ea}" ref="BM2">
      <text>
        <t xml:space="preserve">[Threaded comment]
 Your version of Excel allows you to read this threaded comment; however, any edits to it will get removed if the file is opened in a newer version of Excel. Learn more: https://go.microsoft.com/fwlink/?linkid=870924
Comment:
	Assuming no architectural changes, such as for rfc-149.
</t>
      </text>
    </comment>
    <comment authorId="150" xr:uid="{ae7509fd-4c28-493a-987f-1e4cadcc9a40}" ref="AG2">
      <text>
        <t xml:space="preserve">[Threaded comment]
 Your version of Excel allows you to read this threaded comment; however, any edits to it will get removed if the file is opened in a newer version of Excel. Learn more: https://go.microsoft.com/fwlink/?linkid=870924
Comment:
	@gbouzeid@guidewire.com @bsekar@guidewire.com 
what is this effort for in relation to CR DR? If not required could you please remove this?
Assigned to gbouzeid@guidewire.com
Reply:
	This is to support CRDr request / in the past Danville have been allocation additional capacity for any upcoming CRDR ask (including cluster creation, ECR, etc.) I will let @beloy@guidewire.com comment further on this if needed thx
Reply:
	@beloy@guidewire.com if this work is planned for August Demo, then it should not be here, this is strictly FY27
Reassigned to beloy@guidewire.com
</t>
      </text>
    </comment>
    <comment authorId="151" xr:uid="{aeda7e8c-dd84-4379-bccb-6e09b888e9b3}" ref="AQ2">
      <text>
        <t xml:space="preserve">[Threaded comment]
 Your version of Excel allows you to read this threaded comment; however, any edits to it will get removed if the file is opened in a newer version of Excel. Learn more: https://go.microsoft.com/fwlink/?linkid=870924
Comment:
	IS:
-&gt; Voyager (provisioning/deprovisioning Star/Tenant; Tier support; Primary vs Failover infra drift detection; GA readiness)
-&gt; Atlas (DR resilience; Q-release+migrated to Helios canFailover rules; Tier support; Failover changes lock; observability; GA readiness; OAM adoption)
-&gt; Cassini (Universal URL (registration validation; mTLS); LHS Failover Orchestrator support)
IS NOT:
-&gt; Supporting DR on NPE /PPE
DR-related access model extension
-&gt; Supporting Private-Link
</t>
      </text>
    </comment>
    <comment authorId="152" xr:uid="{afc657ee-a99e-46a3-b1c1-1449950c2ba6}" ref="B18">
      <text>
        <t xml:space="preserve">[Threaded comment]
 Your version of Excel allows you to read this threaded comment; however, any edits to it will get removed if the file is opened in a newer version of Excel. Learn more: https://go.microsoft.com/fwlink/?linkid=870924
Comment:
	@rasubramanian@guidewire.com : Please add a one pager in confluence and link it here
Assigned to rasubramanian@guidewire.com
Reply:
	will add it.
</t>
      </text>
    </comment>
    <comment authorId="153" xr:uid="{b1ef8eda-e357-4f40-aa8c-f74cd7bc1193}" ref="BO26">
      <text>
        <t xml:space="preserve">[Threaded comment]
 Your version of Excel allows you to read this threaded comment; however, any edits to it will get removed if the file is opened in a newer version of Excel. Learn more: https://go.microsoft.com/fwlink/?linkid=870924
Comment:
	Complete redesign of DB Service
</t>
      </text>
    </comment>
    <comment authorId="154" xr:uid="{b427bf42-74a2-41a1-bbf0-dd71ab7ec9ef}" ref="BM7">
      <text>
        <t xml:space="preserve">[Threaded comment]
 Your version of Excel allows you to read this threaded comment; however, any edits to it will get removed if the file is opened in a newer version of Excel. Learn more: https://go.microsoft.com/fwlink/?linkid=870924
Comment:
	Depends on how we approach this. Decoupling of migration DBs (captured in "Finish TMD") will reduce tenant infra time slightly, but only for quadrants and tenants with migration DBs. Cepheid (captured in "Aurora Cluster OAM Components") will likely reduce tenant infra time significantly.
</t>
      </text>
    </comment>
    <comment authorId="155" xr:uid="{b45088e1-3475-41fd-b2c9-c34453dfbb22}" ref="BK14">
      <text>
        <t xml:space="preserve">[Threaded comment]
 Your version of Excel allows you to read this threaded comment; however, any edits to it will get removed if the file is opened in a newer version of Excel. Learn more: https://go.microsoft.com/fwlink/?linkid=870924
Comment:
	@atomar@guidewire.com I don't think Vulcan will be impacted by the Fulfillment Service, so I've set it to "No Dependency." If you see it differently, feel free to add an estimate instead. You can check the One Pager for more details - thanks.
Assigned to atomar@guidewire.com
</t>
      </text>
    </comment>
    <comment authorId="156" xr:uid="{b6812607-dfe7-46e3-b2ca-528a4a5c7e21}" ref="L8">
      <text>
        <t xml:space="preserve">[Threaded comment]
 Your version of Excel allows you to read this threaded comment; however, any edits to it will get removed if the file is opened in a newer version of Excel. Learn more: https://go.microsoft.com/fwlink/?linkid=870924
Comment:
	Updated to "None," based on the "No Dependency" setting.
</t>
      </text>
    </comment>
    <comment authorId="157" xr:uid="{b72ebed4-84db-41be-9af6-cea46426af82}" ref="AP8">
      <text>
        <t xml:space="preserve">[Threaded comment]
 Your version of Excel allows you to read this threaded comment; however, any edits to it will get removed if the file is opened in a newer version of Excel. Learn more: https://go.microsoft.com/fwlink/?linkid=870924
Comment:
	Depends on:
-&gt; @mzawadzka@guidewire.com Okocim (accept unique ID in provisioning/deprovisioning via ProjectService/PlanetService)
-&gt; @kwcislo@guidewire.com Tymbark (accept unique ID in deployment/un-deployment via ISDO)
-&gt; @apers@guidewire.com Zakopane (handle unique ID/short name in TeamCity, Bitbucket URLs)
-&gt; @cpetluri@guidewire.com Brilliant (handle unique IDs in Helios)
-&gt; @amkhanna@guidewire.com Bandipur (handle unique IDs in Guard)
-&gt; @dhsharma@guidewire.com Sausalito (handle unique IDs in Okta Groups)
-&gt; @lmakowski@guidewire.com Solina (handle unique ID/short name in URLs created via AGCS)
- Dependencies outside CCS exist
Reply:
	@mzajac@guidewire.com please confirm what you mean by handle unique IDs in Helios context.
Reply:
	@cpetluri@guidewire.com please validate against this https://guidewireconfluence.atlassian.net/wiki/spaces/KDC/pages/3402468441/Immutable+ID+Initiative+One+Pager#What-this-means-for-your-service, thx
Reply:
	@mzajac@guidewire.com I already talked to @llinville@guidewire.com and we updated the estimates. Thank you
</t>
      </text>
    </comment>
    <comment authorId="158" xr:uid="{b7d4ccff-9950-45cb-9c5d-635af4f717fc}" ref="BE17">
      <text>
        <t xml:space="preserve">[Threaded comment]
 Your version of Excel allows you to read this threaded comment; however, any edits to it will get removed if the file is opened in a newer version of Excel. Learn more: https://go.microsoft.com/fwlink/?linkid=870924
Comment:
	@msmriti@guidewire.com Based on the conversation here - https://guidewire.slack.com/archives/C0657SL7YNQ/p1784831007527559- I am adding the effort mentioned in SPIRE here
CC: @bsekar@guidewire.com
Assigned to msmriti@guidewire.com
</t>
      </text>
    </comment>
    <comment authorId="159" xr:uid="{b83b4343-a694-4bb9-8d7f-e7f8652fcf26}" ref="AI21">
      <text>
        <t xml:space="preserve">[Threaded comment]
 Your version of Excel allows you to read this threaded comment; however, any edits to it will get removed if the file is opened in a newer version of Excel. Learn more: https://go.microsoft.com/fwlink/?linkid=870924
Comment:
	Ragging in RDS OAM components (feature parity with tags introduced for LSS isolation)
</t>
      </text>
    </comment>
    <comment authorId="160" xr:uid="{b9b64d3f-ce7a-49ab-98af-293dbd632bf6}" ref="B28">
      <text>
        <t xml:space="preserve">[Threaded comment]
 Your version of Excel allows you to read this threaded comment; however, any edits to it will get removed if the file is opened in a newer version of Excel. Learn more: https://go.microsoft.com/fwlink/?linkid=870924
Comment:
	@gbouzeid@guidewire.com :  : Can you create a 1 pager in confluence and link it here for the readers to know what this is about and as an expected outcome ?
Reply:
	sure i will follow on this - will update thx
Reply:
	Added https://guidewireconfluence.atlassian.net/wiki/spaces/CCS/pages/3404595752/DB+Monitoring+with+Query+Performance+with+OTEL+GA @ppaul@guidewire.com @lkota@guidewire.com will be reviewing too thx
</t>
      </text>
    </comment>
    <comment authorId="161" xr:uid="{bb77686f-5554-4f9e-9421-d680ca231f58}" ref="B22">
      <text>
        <t xml:space="preserve">[Threaded comment]
 Your version of Excel allows you to read this threaded comment; however, any edits to it will get removed if the file is opened in a newer version of Excel. Learn more: https://go.microsoft.com/fwlink/?linkid=870924
Comment:
	@jguionnet@guidewire.com @beloy@guidewire.com BYOA has a serious dependency on the capability to systematically provide information what is the availability of resources (based on quota and limits) so that customers can real time purchase compute and provision resources as they deploy apps.
2 total reactions
Jerome Guionnet reacted with 👍 at 07/20/2026, 8:30 AM UTC
Ben Eloy reacted with 👍 at 07/28/2026, 4:39 PM UTC
Assigned to jguionnet@guidewire.com
</t>
      </text>
    </comment>
    <comment authorId="162" xr:uid="{bbf005cc-3403-4495-a422-b15018bf1f5f}" ref="AO8">
      <text>
        <t xml:space="preserve">[Threaded comment]
 Your version of Excel allows you to read this threaded comment; however, any edits to it will get removed if the file is opened in a newer version of Excel. Learn more: https://go.microsoft.com/fwlink/?linkid=870924
Comment:
	@atomar@guidewire.com I don't think Kanata will be impacted by the Unique ID, so I've set it to "No Dependency." If you see it differently, feel free to add an estimate instead. You can check the One Pager for more details - thanks.
Assigned to atomar@guidewire.com
Reply:
	@jdobson@guidewire.com could you check if my "No Dependency" assumption is correct? thx
1 total reaction
James Dobson reacted with 👀 at 07/15/2026, 4:07 PM UTC
Reassigned to jdobson@guidewire.com
Reply:
	Apart from ensuring the immutable ID gets passed down through the tenant module to all submodules, there isn't anything in existing code. However, we think we will have to do something for Asteroids so that the immutable ID is adopted by everything deployed in there: given that we don't control what customers will deploy, we have to ensure that the abstractions we give them set up the immutable ID appropriately.
</t>
      </text>
    </comment>
    <comment authorId="163" xr:uid="{bd1aa074-2d2c-41f3-80ff-c167c1738098}" ref="AG21">
      <text>
        <t xml:space="preserve">[Threaded comment]
 Your version of Excel allows you to read this threaded comment; however, any edits to it will get removed if the file is opened in a newer version of Excel. Learn more: https://go.microsoft.com/fwlink/?linkid=870924
Comment:
	Tag enforcements through Kyverno
</t>
      </text>
    </comment>
    <comment authorId="164" xr:uid="{bd1b2051-5f50-4aca-8b04-9e65ad7790c1}" ref="Q25">
      <text>
        <t xml:space="preserve">[Threaded comment]
 Your version of Excel allows you to read this threaded comment; however, any edits to it will get removed if the file is opened in a newer version of Excel. Learn more: https://go.microsoft.com/fwlink/?linkid=870924
Comment:
	@mrusso@guidewire.com can we consider this estimation already included as part of the BYOA line item (AWS Tenant isolation)?
Reply:
	Are you suggesting we remove estimates from here? I'd rather have estimates on this more granular item than on BYOA.
Reply:
	ok, then we can remove the estimate from the BYOA.
2 total reactions
Michael Russo reacted with 👍 at 07/06/2026, 10:34 PM UTC
Michael Russo reacted with ✅ at 07/06/2026, 10:36 PM UTC
</t>
      </text>
    </comment>
    <comment authorId="165" xr:uid="{bdaf521c-26cc-4777-8fb8-b55c29c3629f}" ref="B3">
      <text>
        <t xml:space="preserve">[Threaded comment]
 Your version of Excel allows you to read this threaded comment; however, any edits to it will get removed if the file is opened in a newer version of Excel. Learn more: https://go.microsoft.com/fwlink/?linkid=870924
Comment:
	@amkhanna@guidewire.com: Please add a 1 pager in confluence on this feature and then link it here
Assigned to amkhanna@guidewire.com
</t>
      </text>
    </comment>
    <comment authorId="166" xr:uid="{be35527f-bf2d-48e3-82dd-1b1b2908a129}" ref="BM21">
      <text>
        <t xml:space="preserve">[Threaded comment]
 Your version of Excel allows you to read this threaded comment; however, any edits to it will get removed if the file is opened in a newer version of Excel. Learn more: https://go.microsoft.com/fwlink/?linkid=870924
Comment:
	Depends on implementation. Estimate is based on the assumption that Warrior will be provided with a reliable source of information which we only need to retrieve and then push into AWS tags (removing need for user input).
</t>
      </text>
    </comment>
    <comment authorId="167" xr:uid="{beb8f0cf-4bae-484e-a893-6d0de5f044cd}" ref="Q2">
      <text>
        <t xml:space="preserve">[Threaded comment]
 Your version of Excel allows you to read this threaded comment; however, any edits to it will get removed if the file is opened in a newer version of Excel. Learn more: https://go.microsoft.com/fwlink/?linkid=870924
Comment:
	CRDR - Universal URL, Privatelink
Reply:
	@lowen@guidewire.com @mrusso@guidewire.com Include the high level sols for Cloudfare/Other solution to support the Universal URL &amp; Privatelink
</t>
      </text>
    </comment>
    <comment authorId="168" xr:uid="{c0574e78-393b-4418-bf30-f9b3b80e39c3}" ref="AO17">
      <text>
        <t xml:space="preserve">[Threaded comment]
 Your version of Excel allows you to read this threaded comment; however, any edits to it will get removed if the file is opened in a newer version of Excel. Learn more: https://go.microsoft.com/fwlink/?linkid=870924
Comment:
	@atomar@guidewire.com Please help us out here
Assigned to atomar@guidewire.com
Reply:
	Kanata does not store any Okta credentials in Helios and does not operate any microservices, dependency should be none.
1 total reaction
Chakravarthy Petluri reacted with 👍 at 07/15/2026, 5:01 PM UTC
</t>
      </text>
    </comment>
    <comment authorId="169" xr:uid="{c12cbe8a-4830-411d-bf4f-f420f7e8272a}" ref="BA2">
      <text>
        <t xml:space="preserve">[Threaded comment]
 Your version of Excel allows you to read this threaded comment; however, any edits to it will get removed if the file is opened in a newer version of Excel. Learn more: https://go.microsoft.com/fwlink/?linkid=870924
Comment:
	@bsekar@guidewire.com @dhsharma@guidewire.com I am assuming this is for Keti to be DR ready?
Assigned to bsekar@guidewire.com
Reply:
	Yes.
</t>
      </text>
    </comment>
    <comment authorId="170" xr:uid="{c1907e11-56b7-4548-a6f1-34e53c128a74}" ref="AY14">
      <text>
        <t xml:space="preserve">[Threaded comment]
 Your version of Excel allows you to read this threaded comment; however, any edits to it will get removed if the file is opened in a newer version of Excel. Learn more: https://go.microsoft.com/fwlink/?linkid=870924
Comment:
	@kjayachandran@guidewire.com I don't think Sagara will be impacted by the Fulfillment Service, so I've set it to "No Dependency." If you see it differently, feel free to add an estimate instead. You can check the One Pager for more details - thanks.
Assigned to kjayachandran@guidewire.com
</t>
      </text>
    </comment>
    <comment authorId="171" xr:uid="{c2f11987-cd2f-47f7-92b5-a76deb75f6e8}" ref="BA2">
      <text>
        <t xml:space="preserve">[Threaded comment]
 Your version of Excel allows you to read this threaded comment; however, any edits to it will get removed if the file is opened in a newer version of Excel. Learn more: https://go.microsoft.com/fwlink/?linkid=870924
Comment:
	@dhsharma@guidewire.com Based on the conversation here - https://guidewire.slack.com/archives/C0657SL7YNQ/p1784830812758849 - I am adding the effort mentioned in MSK CR-DR row here
CC: @atomar@guidewire.com
Assigned to dhsharma@guidewire.com
</t>
      </text>
    </comment>
    <comment authorId="172" xr:uid="{c3f913b7-e973-4359-8bc7-183d299bd022}" ref="AM14">
      <text>
        <t xml:space="preserve">[Threaded comment]
 Your version of Excel allows you to read this threaded comment; however, any edits to it will get removed if the file is opened in a newer version of Excel. Learn more: https://go.microsoft.com/fwlink/?linkid=870924
Comment:
	@kjayachandran@guidewire.com I don't think Kabini will be impacted by the Fulfillment Service, so I've set it to "No Dependency." If you see it differently, feel free to add an estimate instead. You can check the One Pager for more details - thanks.
Assigned to kjayachandran@guidewire.com
</t>
      </text>
    </comment>
    <comment authorId="173" xr:uid="{c5103691-f8d0-483c-ace7-d0672090713b}" ref="BA9">
      <text>
        <t xml:space="preserve">[Threaded comment]
 Your version of Excel allows you to read this threaded comment; however, any edits to it will get removed if the file is opened in a newer version of Excel. Learn more: https://go.microsoft.com/fwlink/?linkid=870924
Comment:
	@dhsharma@guidewire.com I am not sure if the comment mentioned for Moosefactory will be applicable here. Please verify
Assigned to dhsharma@guidewire.com
</t>
      </text>
    </comment>
    <comment authorId="174" xr:uid="{c565052e-6b9f-46b2-ab45-c95bcb394001}" ref="Q6">
      <text>
        <t xml:space="preserve">[Threaded comment]
 Your version of Excel allows you to read this threaded comment; however, any edits to it will get removed if the file is opened in a newer version of Excel. Learn more: https://go.microsoft.com/fwlink/?linkid=870924
Comment:
	Avondale scope - Kubevela Networking Trait, AWS Resources Network isolation
Reply:
	@mrusso@guidewire.com , All the BYOA related estimates are added to this line item. I assume this 16 includes the AWS Tenant Isolation and Kubevela related implementation.
Reply:
	Based on last comment from @mrusso@guidewire.com I am changing it to 16 CC: @rasubramanian@guidewire.com
</t>
      </text>
    </comment>
    <comment authorId="175" xr:uid="{c5c39f25-57fe-4336-9658-ccd85204ea50}" ref="W14">
      <text>
        <t xml:space="preserve">[Threaded comment]
 Your version of Excel allows you to read this threaded comment; however, any edits to it will get removed if the file is opened in a newer version of Excel. Learn more: https://go.microsoft.com/fwlink/?linkid=870924
Comment:
	@gbouzeid@guidewire.com I don't think Bolinas will be impacted by the Fulfillment Service, so I've set it to "No Dependency." If you see it differently, feel free to add an estimate instead. You can check the One Pager for more details - thanks.
Assigned to gbouzeid@guidewire.com
Reply:
	Based on the ask i see no dependency though i will let @bsekar@guidewire.com comment as needed thx
Reassigned to bsekar@guidewire.com
</t>
      </text>
    </comment>
    <comment authorId="176" xr:uid="{c961714a-866f-4a05-97e9-2a2f2e231aeb}" ref="AR8">
      <text>
        <t xml:space="preserve">[Threaded comment]
 Your version of Excel allows you to read this threaded comment; however, any edits to it will get removed if the file is opened in a newer version of Excel. Learn more: https://go.microsoft.com/fwlink/?linkid=870924
Comment:
	@dhsharma@guidewire.com We noticed Avondale has "No Dependency" selected. Should that be reviewed and updated, or is that still accurate?
Reply:
	We have removed the Avondale dependency
</t>
      </text>
    </comment>
    <comment authorId="177" xr:uid="{ca45e26e-9c0f-453e-a977-df8501da1e8c}" ref="BP19">
      <text>
        <t xml:space="preserve">[Threaded comment]
 Your version of Excel allows you to read this threaded comment; however, any edits to it will get removed if the file is opened in a newer version of Excel. Learn more: https://go.microsoft.com/fwlink/?linkid=870924
Comment:
	Unknown, pending design of constraint mechanism and reliable source of truth.
</t>
      </text>
    </comment>
    <comment authorId="178" xr:uid="{cada88fb-a4a5-49dc-b8a8-9e745682b26b}" ref="BK17">
      <text>
        <t xml:space="preserve">[Threaded comment]
 Your version of Excel allows you to read this threaded comment; however, any edits to it will get removed if the file is opened in a newer version of Excel. Learn more: https://go.microsoft.com/fwlink/?linkid=870924
Comment:
	@atomar@guidewire.com Please help us out here
Assigned to atomar@guidewire.com
Reply:
	@cpetluri@guidewire.com We need to move RHSDR provisioner to using SPIRE to talk to Helios, right now we use an Okta credential to talk to Helios.
I'm not sure if I should put this estimate here or under the SPIRE line (line 31), so I'm putting it here for now and setting the other one to no dependency. Feel free to change it.
Reply:
	I moved it to SPIRE dependency. Thank you
Reply:
	@jdobson@guidewire.com Based on the conversation here - https://guidewire.slack.com/archives/C0657SL7YNQ/p1784831007527559- I am adding the effort mentioned in SPIRE here
CC: @atomar@guidewire.com
Reassigned to jdobson@guidewire.com
</t>
      </text>
    </comment>
    <comment authorId="179" xr:uid="{cb2a0496-f374-4b99-b320-bed23b330132}" ref="BK22">
      <text>
        <t xml:space="preserve">[Threaded comment]
 Your version of Excel allows you to read this threaded comment; however, any edits to it will get removed if the file is opened in a newer version of Excel. Learn more: https://go.microsoft.com/fwlink/?linkid=870924
Comment:
	@jdobson@guidewire.com Please review, I made it up
Updated estimate based on the linked Confluence doc.
Section A (provide/validate usage source and soft/hard limits for resources owned by Vulcan): x weeks
Section B (Hub-driven cross-region migration trigger): y weeks
Assigned to jdobson@guidewire.com
</t>
      </text>
    </comment>
    <comment authorId="180" xr:uid="{cbc8e323-a415-465e-8123-6003350b4b6c}" ref="O8">
      <text>
        <t xml:space="preserve">[Threaded comment]
 Your version of Excel allows you to read this threaded comment; however, any edits to it will get removed if the file is opened in a newer version of Excel. Learn more: https://go.microsoft.com/fwlink/?linkid=870924
Comment:
	@amkhanna@guidewire.com @bsekar@guidewire.com @smalladi@guidewire.com : Is this change a big one?
Reply:
	I haven't had a chance to talk to Amrit, Sai yet. This was a guesstimate based on the following.
- Automations to IdP configuration  that sets the tenant_id in Okta/Keti with Atlas/Salesforce integration
- Group mapping configurations based on the tenant_id prefix, including migration of existing data
- tenant_id validation logic in Nova commons. This was community contribution but the auth team should own this.
- GUARD design changes and data migration should also be part of this plan.
Reply:
	hi @bsekar@guidewire.com, we plan to do tenant_id validation as part of Self serve IdP (17) by integrating with Atlas, but lets sync to understand more on the requirement here and the other asks, i.e. groups configs and tenant validation in nova commons. 
GUARD is owned by pod bandipur.
</t>
      </text>
    </comment>
    <comment authorId="181" xr:uid="{cc3facaa-4189-42b8-ad56-23555cbc6042}" ref="AO16">
      <text>
        <t xml:space="preserve">[Threaded comment]
 Your version of Excel allows you to read this threaded comment; however, any edits to it will get removed if the file is opened in a newer version of Excel. Learn more: https://go.microsoft.com/fwlink/?linkid=870924
Comment:
	There shouldn't be anything for Tenancy, however we will have to define quotas for Asteroid.
</t>
      </text>
    </comment>
    <comment authorId="182" xr:uid="{cc75ecf2-eb65-41b4-844e-dc7fd2c6104b}" ref="BD17">
      <text>
        <t xml:space="preserve">[Threaded comment]
 Your version of Excel allows you to read this threaded comment; however, any edits to it will get removed if the file is opened in a newer version of Excel. Learn more: https://go.microsoft.com/fwlink/?linkid=870924
Comment:
	@msmriti@guidewire.com Based on the conversation here - https://guidewire.slack.com/archives/C0657SL7YNQ/p1784831007527559- I am including the dependency mentioned in SPIRE here
CC: @bsekar@guidewire.com @amkhanna@guidewire.com
1 total reaction
Medha Smriti reacted with 👍 at 07/24/2026, 5:23 PM UTC
Assigned to msmriti@guidewire.com
</t>
      </text>
    </comment>
    <comment authorId="183" xr:uid="{ccfc27c4-29f6-4d16-9c31-68ac241a1b72}" ref="S2">
      <text>
        <t xml:space="preserve">[Threaded comment]
 Your version of Excel allows you to read this threaded comment; however, any edits to it will get removed if the file is opened in a newer version of Excel. Learn more: https://go.microsoft.com/fwlink/?linkid=870924
Comment:
	@amkhanna@guidewire.com Based on the conversation here - https://guidewire.slack.com/archives/C0657SL7YNQ/p1784830812758849 - I am shifting the effort mentioned in MSK CR-DR row here
Assigned to amkhanna@guidewire.com
</t>
      </text>
    </comment>
    <comment authorId="184" xr:uid="{cd5a674a-7e5d-441a-a4f2-a44bee55ca0b}" ref="BA17">
      <text>
        <t xml:space="preserve">[Threaded comment]
 Your version of Excel allows you to read this threaded comment; however, any edits to it will get removed if the file is opened in a newer version of Excel. Learn more: https://go.microsoft.com/fwlink/?linkid=870924
Comment:
	@dhsharma@guidewire.com Please help us out here
Assigned to dhsharma@guidewire.com
Reply:
	I looked at the details on the page, it looks like you would need API from Keti, which already exist https://keti.api.staging.ccs.guidewire.net/swagger-ui/preview-index.html#/applications/postSecret
Is there anything else in scope you see for Keti?
Reply:
	From our perspective, if there are no Okta secrets that you need for auto-rotation (that should be migrated to Helios), SPIRE adoption for connecting to Helios will be the only requirement going forrward
Reply:
	@cpetluri@guidewire.com @dhsharma@guidewire.com I added 3 weeks of effort to the original 1 week, to account for the necessary redesign of the way the `lastUsed` property is supplied in the Keti Secrets API, to improve scalability.
1 total reaction
Chakravarthy Petluri reacted with 👍 at 07/17/2026, 4:20 PM UTC
</t>
      </text>
    </comment>
    <comment authorId="185" xr:uid="{cf3501b2-d3fb-465e-93fc-e2c855968cfd}" ref="AU14">
      <text>
        <t xml:space="preserve">[Threaded comment]
 Your version of Excel allows you to read this threaded comment; however, any edits to it will get removed if the file is opened in a newer version of Excel. Learn more: https://go.microsoft.com/fwlink/?linkid=870924
Comment:
	@mzawadzka@guidewire.com please drop a line about what changes you meant, thanks.
Reply:
	@mzajac@guidewire.com My assumption is that maybe we will need to take some info from Fulfillment Service into Project Service my assumption was that there might some impact on CBC or anything else in Project Provisioning, If you cannot see any dependencies I will change it as No dependency
Reply:
	@mzawadzka@guidewire.com Understood — since it's a rough estimate at this stage, let's leave it as is. As we plan to decommission Voyager for Star provisioning and replace it with the "Fulfillment" Service, there will definitely be a touchpoint with ProjectService. That said, we're currently assuming PS won't need immediate API changes because of this.
</t>
      </text>
    </comment>
    <comment authorId="186" xr:uid="{d194f3ad-eca1-47dc-88c4-43fa2cb9cd16}" ref="BC2">
      <text>
        <t xml:space="preserve">[Threaded comment]
 Your version of Excel allows you to read this threaded comment; however, any edits to it will get removed if the file is opened in a newer version of Excel. Learn more: https://go.microsoft.com/fwlink/?linkid=870924
Comment:
	@lmakowski@guidewire.com @kmarcinkaczor@guidewire.com , can you please clarify what is the effort for?
Assigned to lmakowski@guidewire.com
Reply:
	@atomar@guidewire.com we have to implement full scope for Universal URL
Reassigned to atomar@guidewire.com
Reply:
	@lmakowski@guidewire.com could  you please add details on this page https://guidewireconfluence.atlassian.net/wiki/spaces/CCS/pages/3451945323/CR-DR+Scope+for+FY-27
Reassigned to lmakowski@guidewire.com
Reply:
	@lmakowski@guidewire.com Based on the conversation here - https://guidewire.slack.com/archives/C0657SL7YNQ/p1784830812758849 - I am adding the effort mentioned in MSK CR-DR row here
CC: @atomar@guidewire.com
</t>
      </text>
    </comment>
    <comment authorId="187" xr:uid="{d1dc2ec7-2e36-4431-8c08-f42384382486}" ref="AY17">
      <text>
        <t xml:space="preserve">[Threaded comment]
 Your version of Excel allows you to read this threaded comment; however, any edits to it will get removed if the file is opened in a newer version of Excel. Learn more: https://go.microsoft.com/fwlink/?linkid=870924
Comment:
	@kjayachandran@guidewire.com Please help us out here
Assigned to kjayachandran@guidewire.com
</t>
      </text>
    </comment>
    <comment authorId="188" xr:uid="{d1f0de43-0b7b-4240-9138-29468fcf364c}" ref="AO7">
      <text>
        <t xml:space="preserve">[Threaded comment]
 Your version of Excel allows you to read this threaded comment; however, any edits to it will get removed if the file is opened in a newer version of Excel. Learn more: https://go.microsoft.com/fwlink/?linkid=870924
Comment:
	Assuming Sagara implements the sharded Crossplane Terraform Provider, to speed up tenant applies, Kanata will have to do some work to thoroughly test it, and potentially some work to properly adopt it. @bsekar@guidewire.com if you agree this should be included, I have put an estimate of 2 here.
Assigned to bsekar@guidewire.com
</t>
      </text>
    </comment>
    <comment authorId="189" xr:uid="{d23eb0f8-94ad-4239-a4f4-b8c78b611934}" ref="AS14">
      <text>
        <t xml:space="preserve">[Threaded comment]
 Your version of Excel allows you to read this threaded comment; however, any edits to it will get removed if the file is opened in a newer version of Excel. Learn more: https://go.microsoft.com/fwlink/?linkid=870924
Comment:
	@dhsharma@guidewire.com I don't think Moose Factory will be impacted by the Fulfillment Service, so I've set it to "No Dependency." If you see it differently, feel free to add an estimate instead. You can check the One Pager for more details - thanks.
1 total reaction
Dhruv Sharma reacted with 👍 at 07/13/2026, 2:01 PM UTC
Assigned to dhsharma@guidewire.com
</t>
      </text>
    </comment>
    <comment authorId="190" xr:uid="{d33a66a8-333a-4ab4-8646-3d4332643f0a}" ref="B29">
      <text>
        <t xml:space="preserve">[Threaded comment]
 Your version of Excel allows you to read this threaded comment; however, any edits to it will get removed if the file is opened in a newer version of Excel. Learn more: https://go.microsoft.com/fwlink/?linkid=870924
Comment:
	@lmakowski@guidewire.com : Please add a one pager in confluence and link it here
Assigned to lmakowski@guidewire.com
</t>
      </text>
    </comment>
    <comment authorId="191" xr:uid="{d3c7bed6-d89c-4207-a7b3-b9150519e1a3}" ref="B22">
      <text>
        <t xml:space="preserve">[Threaded comment]
 Your version of Excel allows you to read this threaded comment; however, any edits to it will get removed if the file is opened in a newer version of Excel. Learn more: https://go.microsoft.com/fwlink/?linkid=870924
Comment:
	To be merged with 22 "Kubernetes Quotas" ? @ujain@guidewire.com
Assigned to ujain@guidewire.com
Reply:
	@jguionnet@guidewire.com : is this the same as item 22? can we merge? Would you be able to put a 1 pager on this?
Reassigned to jguionnet@guidewire.com
Reply:
	@agopalakrishnan@guidewire.com @bsekar@guidewire.com I think it is the same. I created this full kit doc that I posted on the channel as I wanted team to validate my dependencies: https://guidewireconfluence.atlassian.net/wiki/spaces/CCS/pages/3383855607/Full+Kit+Pod+Allocation+Limits+Tracking+and+Growth+Mechanism+for+Platform+Scalability#Pod-reference-(subset)
Reassigned to agopalakrishnan@guidewire.com
Reply:
	@jguionnet@guidewire.com : should we delete this row and ask folks to move their estimates?
Reassigned to jguionnet@guidewire.com
Reply:
	Deleted row 22
</t>
      </text>
    </comment>
    <comment authorId="192" xr:uid="{d540cb08-f56f-4680-a5a1-60d255ab6513}" ref="BM26">
      <text>
        <t xml:space="preserve">[Threaded comment]
 Your version of Excel allows you to read this threaded comment; however, any edits to it will get removed if the file is opened in a newer version of Excel. Learn more: https://go.microsoft.com/fwlink/?linkid=870924
Comment:
	Warrior scope (MVP + Day 2 features) for CNPG support in Postgres OAM
Reply:
	Estimate excludes dynamic volume resizing and IS feature parity (proposal states LHS MVP)
Reply:
	@liking@guidewire.com, I assume the 4 weeks estimation includes backup &amp; restore too.
Reply:
	@rasubramanian@guidewire.com Yes, assuming basic Bash scripts are acceptable for the MVP, same as what we currently offer for Aurora via OAM Postgres.
Reply:
	1. MVP - support for Nova services in dev environments + basic backup/restore: 4 weeks
2. Remaining features to support production use (including dynamic resizing, dedicated node groups, and observability): 10 weeks
3. Remaining features to support InsuranceSuite (not including Dobra's work): 8 weeks
Note: estimates assume each of these are done in sequence, i.e. supporting IS would be 4 + 10 + 8 = 22.
</t>
      </text>
    </comment>
    <comment authorId="193" xr:uid="{d724c1f3-49a3-4f50-b2e6-5901391393c9}" ref="BN26">
      <text>
        <t xml:space="preserve">[Threaded comment]
 Your version of Excel allows you to read this threaded comment; however, any edits to it will get removed if the file is opened in a newer version of Excel. Learn more: https://go.microsoft.com/fwlink/?linkid=870924
Comment:
	In my (Piotr D the PM) opinion it shall be postponed after Cepheid
</t>
      </text>
    </comment>
    <comment authorId="194" xr:uid="{d76ceaba-f4d4-4d72-bac7-ebb38572f584}" ref="W15">
      <text>
        <t xml:space="preserve">[Threaded comment]
 Your version of Excel allows you to read this threaded comment; however, any edits to it will get removed if the file is opened in a newer version of Excel. Learn more: https://go.microsoft.com/fwlink/?linkid=870924
Comment:
	@gbouzeid@guidewire.com I assume there is no MSK usage here. If yes, please mark this as no dependency
Reply:
	not aware of MSK usage for Bolinas - adding @bsekar@guidewire.com to comment as needed thx
Reply:
	Marked as resolved
Reply:
	Based on Gilbert's comments and Bharat's resolution, I marked it "No dependency"
Re-opened
</t>
      </text>
    </comment>
    <comment authorId="195" xr:uid="{d8e2b422-97b5-41d4-be3c-cbf4dc68ace5}" ref="M6">
      <text>
        <t xml:space="preserve">[Threaded comment]
 Your version of Excel allows you to read this threaded comment; however, any edits to it will get removed if the file is opened in a newer version of Excel. Learn more: https://go.microsoft.com/fwlink/?linkid=870924
Comment:
	Ajanta scope (MVP + Day 2 features) for BYOA - S3 OAM, EFS OAM and OAM Library Modularization RFC109b
Reply:
	I'm curious, what is the dependency on Kanata?
Reply:
	Also, I'm going to adjust this to 6 since the RFC-109b item is targeted for "NA" in https://guidewireconfluence.atlassian.net/wiki/spaces/CCS/pages/2430402590/BYOA+-+EA+GA+Deliverables
Reply:
	There would be some soft dependency but we can work independently. 
Example, KubeVela features that Gokarna would ship like add-on KEP and Model API versioning would be pushed to Atmos cluster or Host cluster KubeVela. 
We would need those features or flags or latest version updated on vClusters. Hence, added Kanata as soft dependency.
Reply:
	As long as there is no hard dependency for which Kanata must plan to do work otherwise Ajanta will be blocked, we can put None here.
Reply:
	@gs@guidewire.com @jdobson@guidewire.com is this 12 or 6 weeks?
Reply:
	@atomar@guidewire.com It is 12 weeks, I have updated both this sheet and also the BYOA confluence. Based on this input https://guidewire.slack.com/archives/C0B1QQ65ASC/p1783713950876809 , had to change it to 12 weeks from 6 weeks
</t>
      </text>
    </comment>
    <comment authorId="196" xr:uid="{d9a37b15-c21f-4f10-a62e-11f607ec5ce2}" ref="AA15">
      <text>
        <t xml:space="preserve">[Threaded comment]
 Your version of Excel allows you to read this threaded comment; however, any edits to it will get removed if the file is opened in a newer version of Excel. Learn more: https://go.microsoft.com/fwlink/?linkid=870924
Comment:
	All teams currently using MSK (services that are NOT DR critical)
</t>
      </text>
    </comment>
    <comment authorId="197" xr:uid="{d9fedb62-fd7d-40c9-a018-70686648af24}" ref="B25">
      <text>
        <t xml:space="preserve">[Threaded comment]
 Your version of Excel allows you to read this threaded comment; however, any edits to it will get removed if the file is opened in a newer version of Excel. Learn more: https://go.microsoft.com/fwlink/?linkid=870924
Comment:
	@rasubramanian@guidewire.com : Please add a one pager in confluence and link it here
Assigned to rasubramanian@guidewire.com
Reply:
	will add it.
</t>
      </text>
    </comment>
    <comment authorId="198" xr:uid="{dab7678b-f17a-4ffb-86fc-6c4e7f26bf78}" ref="BN9">
      <text>
        <t xml:space="preserve">[Threaded comment]
 Your version of Excel allows you to read this threaded comment; however, any edits to it will get removed if the file is opened in a newer version of Excel. Learn more: https://go.microsoft.com/fwlink/?linkid=870924
Comment:
	Warrior: tf/OAM components, Brilliant: KMS/Key Service
</t>
      </text>
    </comment>
    <comment authorId="199" xr:uid="{dc30c620-2196-4b92-883d-d261a5c1f6ca}" ref="AA3">
      <text>
        <t xml:space="preserve">[Threaded comment]
 Your version of Excel allows you to read this threaded comment; however, any edits to it will get removed if the file is opened in a newer version of Excel. Learn more: https://go.microsoft.com/fwlink/?linkid=870924
Comment:
	@amkhanna@guidewire.com Can you please clarify if MSK Amdin as an LHS service is in scope for this initiative? It's confusing because the initiative name specifies for LM and "the Ask" in the one pager specifies for all LHS services.
Also, we would like to know the scope of work from MSK Admin perspective expected. Is it 100% replacement in FY27 itself?
Assigned to amkhanna@guidewire.com
Reply:
	Hi Chakri, LM specific apps are must have and highest priority. Other LHS are good to have and must also follow unless they have a stronger priority. Because until all apps onboard we can't deprecate AD groups. If MSK in a LHS app in GH it is in scope.
Reply:
	FYI - @ssandebiksham@guidewire.com 
@amkhanna@guidewire.com Two points to note:
1. "MSK Admin" - not MSK, is LM critical service for Guard, as MSK admin is internal
2. Please confirm the scope for FY27 here. Ex: Some of the AD groups must be moved to GUARD. I understand that it can be vague, but I want to double check here
Reply:
	@amkhanna@guidewire.com – What are the timelines for deprecation? Shouldn't this be separated into:
Guard rollout for LM-dependent LHS services
Deprecation of AD groups – Guard adoption
If #2 is not in scope for FY27, can you please specify that deprecation is out of scope for FY27?
</t>
      </text>
    </comment>
    <comment authorId="200" xr:uid="{dd13a7b8-70b8-433c-b9d6-9b7747418350}" ref="BI14">
      <text>
        <t xml:space="preserve">[Threaded comment]
 Your version of Excel allows you to read this threaded comment; however, any edits to it will get removed if the file is opened in a newer version of Excel. Learn more: https://go.microsoft.com/fwlink/?linkid=870924
Comment:
	@kwcislo@guidewire.com please drop a line about what changes you meant, thanks.
Reply:
	Hi @mzajac@guidewire.com team can’t really say yet what exactly needs to be done here, but we know there will definitely be “something”, so we put 4 as a safe buffer
Reply:
	@kwcislo@guidewire.com Understood. Since this is just a rough estimate for now, let's leave it as is. Please let me know if you need any additional context on what the FulfillmentService entails. Thanks!
</t>
      </text>
    </comment>
    <comment authorId="201" xr:uid="{de87e472-fd7f-47b0-a4f9-7bafcff275fb}" ref="BO12">
      <text>
        <t xml:space="preserve">[Threaded comment]
 Your version of Excel allows you to read this threaded comment; however, any edits to it will get removed if the file is opened in a newer version of Excel. Learn more: https://go.microsoft.com/fwlink/?linkid=870924
Comment:
	1. Add pgAudit postgres extension for logging to Aurora setup.
Reply:
	2. Audit/event logs for DB backup/restore (with assumption that we just connect to existing logger)
</t>
      </text>
    </comment>
    <comment authorId="202" xr:uid="{df072ebb-1976-457d-ab0d-9fa102d744ee}" ref="AM8">
      <text>
        <t xml:space="preserve">[Threaded comment]
 Your version of Excel allows you to read this threaded comment; however, any edits to it will get removed if the file is opened in a newer version of Excel. Learn more: https://go.microsoft.com/fwlink/?linkid=870924
Comment:
	@kjayachandran@guidewire.com I don't think Kabini will be impacted by the Unique ID, so I've set it to "No Dependency." If you see it differently, feel free to add an estimate instead. You can check the One Pager for more details - thanks.
Assigned to kjayachandran@guidewire.com
</t>
      </text>
    </comment>
    <comment authorId="203" xr:uid="{df38473e-e311-4660-ad2f-ca82f972b8aa}" ref="AQ1">
      <text>
        <t xml:space="preserve">[Threaded comment]
 Your version of Excel allows you to read this threaded comment; however, any edits to it will get removed if the file is opened in a newer version of Excel. Learn more: https://go.microsoft.com/fwlink/?linkid=870924
Comment:
	@krosner@guidewire.com @ujain@guidewire.com : Why do we have two columns for Michalowice  and they both have estimates?
Assigned to ujain@guidewire.com
Reply:
	I think KR is experimenting with his example estimation ... to see how the data would look different..
Reply:
	yes, that's what I was trying to explain here: https://guidewire.slack.com/archives/C0B1QQ65ASC/p1784801723590689?thread_ts=1783709916.332589&amp;cid=C0B1QQ65ASC and what would happen if we moved to the man weeks for teams that are not pairing. I used Michalowice as an example to showcase that. So that you could see the pod weeks in the old "Michalowice" column and man weeks in the "Michalowice dev weeks example" and decide which really helps you see it better
Reply:
	The man weeks is obviously much higher than pod weeks as it doesn't account for parallelization so I was trying to explain that it will make it harder with understanding which initiatives or pods are above capacity (50 weeks a year). I guess my point was that you can pick whatever you want based on this example and I'll adjust the rest of the teams
</t>
      </text>
    </comment>
    <comment authorId="204" xr:uid="{dfba2b59-9d95-4eb1-8e2d-a7888209b042}" ref="BQ8">
      <text>
        <t xml:space="preserve">[Threaded comment]
 Your version of Excel allows you to read this threaded comment; however, any edits to it will get removed if the file is opened in a newer version of Excel. Learn more: https://go.microsoft.com/fwlink/?linkid=870924
Comment:
	We're considering here not only changes to Bitbucket and TeamCity URLs, but also the potential introduction of v2 for all our public APIs (Build Management APIs and the Build Promotion API) to comply with the tenantID/ short name/ display name convention.
</t>
      </text>
    </comment>
    <comment authorId="205" xr:uid="{e24732ba-4cdc-4afb-93b2-f852f9db8d03}" ref="N17">
      <text>
        <t xml:space="preserve">[Threaded comment]
 Your version of Excel allows you to read this threaded comment; however, any edits to it will get removed if the file is opened in a newer version of Excel. Learn more: https://go.microsoft.com/fwlink/?linkid=870924
Comment:
	@amkhanna@guidewire.com Please help us out here
Assigned to amkhanna@guidewire.com
Reply:
	@amkhanna@guidewire.com Gentle reminder here
</t>
      </text>
    </comment>
    <comment authorId="206" xr:uid="{e4bb87dd-ade2-49b2-ae20-d7562a7912c3}" ref="V28">
      <text>
        <t xml:space="preserve">[Threaded comment]
 Your version of Excel allows you to read this threaded comment; however, any edits to it will get removed if the file is opened in a newer version of Excel. Learn more: https://go.microsoft.com/fwlink/?linkid=870924
Comment:
	@gbouzeid@guidewire.com double-checking, what do you need from Wola here? We can help to reuse tagging &amp; dbobsuser approach from DBM approach and continue star-isolation work for RDS (which would be needed to enable/charge monitoring on star level). Also PostgreSQL plugin enablement that we talked about can be included as well. But is there anything more than that? Especially the point of 'Integration with Guidewire Home' this would be done by Bolinas, right?
Assigned to gbouzeid@guidewire.com
Reply:
	hi @pdomider@guidewire.com yep thinking along the same lines - in more details the dependency on POD Wola as far as i know them are:
- tenant and start tagging
- db user enablement
- PostgreSQL plugins enablement
- I was hoping that the self service flag in GH would be driven by POD Wola too
let me know 
Adding on this thread @ppaul@guidewire.com in case he would like to comment further thx
Reassigned to pdomider@guidewire.com
Reply:
	Hi @gbouzeid@guidewire.com Agreed on the first three (we still have to iron out the details, but they make sense). Unfortunately I cannot agree with putting UI on Wola (nor Dobra). Rationale is this - the only UI that we have (related to DBs) is DB Backup/restore, which is not good fit for purpose for this flag. In my opinion it would ideally need to be added to Cepheid UI (but this is beyond FY27) or (looking at options for FY27) either by the dedicated UI (new tile) or maybe ISDO UI (similar to APM, but this would need to be agreed with @kwcislo@guidewire.com ). Happy to help conceptually, but for the time being please DO NOT assume that Wola would deliver this. UI piece is also not included in our estimates.
Reassigned to gbouzeid@guidewire.com
Reply:
	thanks @pdomider@guidewire.com for the update!
about ISDO UI (similar to APM)" that should work too - Adding    @kwcislo@guidewire.com (from your message) to comment further - also wondering if i should setup a quick call between the 3 of us / finalizing the details!
Reassigned to kwcislo@guidewire.com
Reply:
	Hi @gbouzeid@guidewire.com, We are reluctant to add dedicated database related stuff to ISDO UI (alternatively it can always be Helios?)
Reassigned to gbouzeid@guidewire.com
Reply:
	hey folks, has this been discussed with the UX? I don't think KDC owns today any UI for that kind of feature. @krosner@guidewire.com @jcwik@guidewire.com have you guys estimated building a new UI service to manage RDS-related settings as a self-service for customers? I doubt it
</t>
      </text>
    </comment>
    <comment authorId="207" xr:uid="{e60bc800-d22c-42e9-a78c-3998d1ab057b}" ref="B11">
      <text>
        <t xml:space="preserve">[Threaded comment]
 Your version of Excel allows you to read this threaded comment; however, any edits to it will get removed if the file is opened in a newer version of Excel. Learn more: https://go.microsoft.com/fwlink/?linkid=870924
Comment:
	@jdobson@guidewire.com will add or I will input by Tuesday
Reply:
	Could you plz add description - what is TMD
1 total reaction
Michael Russo reacted with 👍 at 07/06/2026, 2:54 PM UTC
Reply:
	TMD = Tenant Module Decomposition
Reply:
	@atomar@guidewire.com : Please add a one pager in confluence and link here for scope
Reply:
	@atomar@guidewire.com , a one pager please
</t>
      </text>
    </comment>
    <comment authorId="208" xr:uid="{e807c196-8683-4854-a522-f7ec7e82177e}" ref="BC18">
      <text>
        <t xml:space="preserve">[Threaded comment]
 Your version of Excel allows you to read this threaded comment; however, any edits to it will get removed if the file is opened in a newer version of Excel. Learn more: https://go.microsoft.com/fwlink/?linkid=870924
Comment:
	@lmakowski@guidewire.com This 2 weeks is for the complete UI self service implementation of PL Ingress?
Assigned to lmakowski@guidewire.com
Reply:
	@rasubramanian@guidewire.com  I don't know anything about self-service for PrivateLink Ingress. We've set aside two weeks just in case there are dependencies on the Solina POD and, for example, work would be needed at AGCS.
Reassigned to rasubramanian@guidewire.com
Reply:
	https://docs.google.com/spreadsheets/d/1fJOnMTGebMdsd6tQtukruhoIyUMRuYZFb2S-DFuoyjg/edit?gid=0#gid=0&amp;range=D97
Reply:
	@lmakowski@guidewire.com, I will create a onepager and share it with you.. For now, please review the high level what and why in the main proposal to consider sheet and provide a high level estimate. This should be very similar to what we have done for PL Egress
Reply:
	https://guidewireconfluence.atlassian.net/wiki/spaces/ORANGE/pages/3406168190/PrivateLink+Ingress+Self-Service+-+One+Pager
Reply:
	@rasubramanian@guidewire.com @agopalakrishnan@guidewire.com  based on on-page I had to update our estimation from 2 to 20
Reassigned to agopalakrishnan@guidewire.com
</t>
      </text>
    </comment>
    <comment authorId="209" xr:uid="{e9dacff7-d3c7-4362-83d2-c32168cfdf8a}" ref="BA22">
      <text>
        <t xml:space="preserve">[Threaded comment]
 Your version of Excel allows you to read this threaded comment; however, any edits to it will get removed if the file is opened in a newer version of Excel. Learn more: https://go.microsoft.com/fwlink/?linkid=870924
Comment:
	@jguionnet@guidewire.com , can you confirm if Okta Org rearchitecting is part of this effort?
Assigned to jguionnet@guidewire.com
Reply:
	@dhsharma@guidewire.com no Okta Org Provisioning was presented as mainly a pod only initiative and as such need to be prioritized in the pod Backlog
This team is about AI Workload security only. With impact on Infra with Sandboxing AI agent, and on AuthN/Z for AI agent Identity and permissions
Reassigned to dhsharma@guidewire.com
Reply:
	@jguionnet@guidewire.com row #6 is also same then about "AI Workload"?
Reassigned to jguionnet@guidewire.com
Reply:
	@dhsharma@guidewire.com sorry, wrong row
It is only about tracking Okta limits and Sausalito/Keti should just be a dependency, so provide input on how to query that to report in a central GWCP limit dashboard
The Okta Org Provisioning was presented as mainly a pod only initiative and as such need to be prioritized in the pod Backlog
Reassigned to dhsharma@guidewire.com
</t>
      </text>
    </comment>
    <comment authorId="210" xr:uid="{eccdcf22-bc50-4112-aaee-48f24f339bd4}" ref="Q18">
      <text>
        <t xml:space="preserve">[Threaded comment]
 Your version of Excel allows you to read this threaded comment; however, any edits to it will get removed if the file is opened in a newer version of Excel. Learn more: https://go.microsoft.com/fwlink/?linkid=870924
Comment:
	@mrusso@guidewire.com, Avondale might have little to no work, including 2 weeks to support Solina for the implementation.
</t>
      </text>
    </comment>
    <comment authorId="211" xr:uid="{ecf79049-5378-43d0-978c-06754d6a7912}" ref="BA24">
      <text>
        <t xml:space="preserve">[Threaded comment]
 Your version of Excel allows you to read this threaded comment; however, any edits to it will get removed if the file is opened in a newer version of Excel. Learn more: https://go.microsoft.com/fwlink/?linkid=870924
Comment:
	Validation of this estimate is pending, we need a one-pager to understand the idea and implications in Keti. @atomar@guidewire.com
Assigned to atomar@guidewire.com
Reply:
	@gsolinski@guidewire.com , there is one pager linked to the initiative under column B, please review and update the estimates
Reassigned to gsolinski@guidewire.com
</t>
      </text>
    </comment>
    <comment authorId="212" xr:uid="{ed08e0d2-bf73-4a1f-a34e-5e2f3cb88d73}" ref="BM6">
      <text>
        <t xml:space="preserve">[Threaded comment]
 Your version of Excel allows you to read this threaded comment; however, any edits to it will get removed if the file is opened in a newer version of Excel. Learn more: https://go.microsoft.com/fwlink/?linkid=870924
Comment:
	Warrior scope (MVP + Day 2 features) for BYOA - Postgres OAM, DynamoDB
Reply:
	Included in estimate:
- Implementing tenant isolation and other security guardrails in the Postgres and Dynamo components: roughly 10 weeks, highly dependent on permission model design from Vulcan
- Securing and exposing backup/restore scripts for Postgres and Dynamo components: roughly 5 weeks, also dependent on permission model design from Vulcan as well as the decision on how customers will trigger such operations
- New Redis component + securing + wiring with Postgres component: roughly 8 weeks
</t>
      </text>
    </comment>
    <comment authorId="213" xr:uid="{ef35d713-756a-4bf2-ae0a-d9678bc2fa67}" ref="B10">
      <text>
        <t xml:space="preserve">[Threaded comment]
 Your version of Excel allows you to read this threaded comment; however, any edits to it will get removed if the file is opened in a newer version of Excel. Learn more: https://go.microsoft.com/fwlink/?linkid=870924
Comment:
	@gs@guidewire.com :  : Can you create a 1 pager in confluence and link it here for the readers to know what this is about and as an expected outcome ?
Assigned to gs@guidewire.com
Reply:
	@agopalakrishnan@guidewire.com , I have updated the one pager for the initiative. Adding the same here for reference https://guidewireconfluence.atlassian.net/wiki/spaces/CCS/pages/3383951388/OAM+Adoption+and+Integration+with+Nova+Polaris
</t>
      </text>
    </comment>
    <comment authorId="214" xr:uid="{f0b1b83e-6250-4a56-b892-f5dfeeb7c203}" ref="B23">
      <text>
        <t xml:space="preserve">[Threaded comment]
 Your version of Excel allows you to read this threaded comment; however, any edits to it will get removed if the file is opened in a newer version of Excel. Learn more: https://go.microsoft.com/fwlink/?linkid=870924
Comment:
	@jguionnet@guidewire.com do we have any more detailed documentation on this topic beyond slides?
Slides speaks about a Summary of "some type" of analysis. That analysis is more important to understand the details.
Assigned to jguionnet@guidewire.com
Reply:
	For AuthN/Z, the scope is mainly LLM06, so something around
- Delegated Authorization: Implement an AuthZ proxy layer (such as Mithril using OPA/Rego) to ensure agents cannot exceed the permission scope of the user invoking them
- Human-in-the-Loop (HITL): Mandate explicit human approval before agents can execute high-stakes, destructive, or write actions
- Strict Tool Governance: Use a centralized Model Context Protocol (MCP) server registry and enforce least-privilege tool exposure via strict admission policies
- Cryptographic Identity: Replace static API keys with dynamic, instance-level workload identities (like SPIFFE/SPIRE) to securely authenticate agent connections
- Advanced Sandboxing: Isolate agents that run untrusted, LLM-generated code by utilizing advanced sandboxing technologies like WebAssembly (Wasm) or the Kubernetes Agent Sandbox
</t>
      </text>
    </comment>
    <comment authorId="215" xr:uid="{f0bb74e2-ed02-442f-b411-fa6a469de5d9}" ref="P11">
      <text>
        <t xml:space="preserve">[Threaded comment]
 Your version of Excel allows you to read this threaded comment; however, any edits to it will get removed if the file is opened in a newer version of Excel. Learn more: https://go.microsoft.com/fwlink/?linkid=870924
Comment:
	Needed for TenantOption-compatible status check
</t>
      </text>
    </comment>
    <comment authorId="216" xr:uid="{f0f056f2-3bcc-44c6-9036-772606ca35f0}" ref="AS8">
      <text>
        <t xml:space="preserve">[Threaded comment]
 Your version of Excel allows you to read this threaded comment; however, any edits to it will get removed if the file is opened in a newer version of Excel. Learn more: https://go.microsoft.com/fwlink/?linkid=870924
Comment:
	@dhsharma@guidewire.com could you check the One Pager to assess the impact on Moose Factory - thanks.
Assigned to dhsharma@guidewire.com
Reply:
	Added
</t>
      </text>
    </comment>
    <comment authorId="217" xr:uid="{f196e23f-91db-4e14-92da-e6e4d295ab32}" ref="Q4">
      <text>
        <t xml:space="preserve">[Threaded comment]
 Your version of Excel allows you to read this threaded comment; however, any edits to it will get removed if the file is opened in a newer version of Excel. Learn more: https://go.microsoft.com/fwlink/?linkid=870924
Comment:
	@ujain@guidewire.com , can you please either unlock this cell for editing or set the value to TBD?
For justification, please see the cell directly to the left of this one.
Assigned to ujain@guidewire.com
</t>
      </text>
    </comment>
    <comment authorId="218" xr:uid="{f28da837-91ad-431f-8ed8-30cc3d3e3a42}" ref="BP2">
      <text>
        <t xml:space="preserve">[Threaded comment]
 Your version of Excel allows you to read this threaded comment; however, any edits to it will get removed if the file is opened in a newer version of Excel. Learn more: https://go.microsoft.com/fwlink/?linkid=870924
Comment:
	@apers@guidewire.com Based on the conversation here - https://guidewire.slack.com/archives/C0657SL7YNQ/p1784830812758849 - I am including the dependency mentioned in MSK CR-DR row here
CC: @atomar@guidewire.com @kwcislo@guidewire.com
Assigned to apers@guidewire.com
Reply:
	Depends on the DR demo scope for each stage
Reply:
	@cpetluri@guidewire.com looks like I don't have access to the conversation you mentioned, but ACK 👍🏻
</t>
      </text>
    </comment>
    <comment authorId="219" xr:uid="{f331398f-b3cf-4fab-acca-b95211c921e8}" ref="B15">
      <text>
        <t xml:space="preserve">[Threaded comment]
 Your version of Excel allows you to read this threaded comment; however, any edits to it will get removed if the file is opened in a newer version of Excel. Learn more: https://go.microsoft.com/fwlink/?linkid=870924
Comment:
	@cpetluri@guidewire.com : Please add a one pager in confluence and link it here
Assigned to cpetluri@guidewire.com
Reply:
	Done
</t>
      </text>
    </comment>
    <comment authorId="220" xr:uid="{f59e09ca-4326-4caf-af18-e37eecce0c1e}" ref="W22">
      <text>
        <t xml:space="preserve">[Threaded comment]
 Your version of Excel allows you to read this threaded comment; however, any edits to it will get removed if the file is opened in a newer version of Excel. Learn more: https://go.microsoft.com/fwlink/?linkid=870924
Comment:
	@gbouzeid@guidewire.com As Ignite is gone, a team will haveto build the GWCP limits tracking app/dashboard and I feel it is in Bolinas domain. See the link to the confluence page for details and we can then chat online/offline. I am planning to create an RFC for it to
Assigned to gbouzeid@guidewire.com
Reply:
	thanks @jguionnet@guidewire.com for the update - in this case yep we need an estimate for Bolinas - including @ppaul@guidewire.com @bsekar@guidewire.com on this thread to review the ask/provide an estimate
Reassigned to ppaul@guidewire.com
</t>
      </text>
    </comment>
    <comment authorId="221" xr:uid="{f946d7d0-6658-4529-869a-3e0d9091ac28}" ref="BK8">
      <text>
        <t xml:space="preserve">[Threaded comment]
 Your version of Excel allows you to read this threaded comment; however, any edits to it will get removed if the file is opened in a newer version of Excel. Learn more: https://go.microsoft.com/fwlink/?linkid=870924
Comment:
	@atomar@guidewire.com I don't think Vulcan will be impacted by the Unique ID, so I've set it to "No Dependency." If you see it differently, feel free to add an estimate instead. You can check the One Pager for more details - thanks.
Assigned to atomar@guidewire.com
</t>
      </text>
    </comment>
    <comment authorId="222" xr:uid="{fb5d142d-ca62-4d12-af60-53d30b5748c1}" ref="B17">
      <text>
        <t xml:space="preserve">[Threaded comment]
 Your version of Excel allows you to read this threaded comment; however, any edits to it will get removed if the file is opened in a newer version of Excel. Learn more: https://go.microsoft.com/fwlink/?linkid=870924
Comment:
	@cpetluri@guidewire.com : Please add a one pager in confluence and link it here
Assigned to cpetluri@guidewire.com
Reply:
	Done
</t>
      </text>
    </comment>
    <comment authorId="223" xr:uid="{ffb3e0be-0ba9-4487-ad68-d221d8a5bf6c}" ref="S14">
      <text>
        <t xml:space="preserve">[Threaded comment]
 Your version of Excel allows you to read this threaded comment; however, any edits to it will get removed if the file is opened in a newer version of Excel. Learn more: https://go.microsoft.com/fwlink/?linkid=870924
Comment:
	@amkhanna@guidewire.com I think Guard would only be consuming entitlements here, which makes this more of a benefit than a dependency — so it's really "No dependency" rather than "TBD." Could you update it accordingly? If you see it differently, feel free to add an estimate instead.
Assigned to amkhanna@guidewire.com
Reply:
	Hi @amkhanna@guidewire.com @pikumar@guidewire.com, yours is the only feedback still outstanding for this initiative - could you please share it when you get a chance? If you need any additional information beyond what's in the One Pager, just let me know.
Reassigned to pikumar@guidewire.com
Reply:
	@ujain@guidewire.com please help mark no dependency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tc={9a9b6c38-cffb-4d72-8353-97a7d8869850}</author>
    <author>tc={a9ee83fa-8f38-4c17-a8ec-9d8ee4b36a60}</author>
  </authors>
  <commentList>
    <comment authorId="0" xr:uid="{9a9b6c38-cffb-4d72-8353-97a7d8869850}" ref="B28">
      <text>
        <t xml:space="preserve">[Threaded comment]
 Your version of Excel allows you to read this threaded comment; however, any edits to it will get removed if the file is opened in a newer version of Excel. Learn more: https://go.microsoft.com/fwlink/?linkid=870924
Comment:
	Check with Medha on estimate
</t>
      </text>
    </comment>
    <comment authorId="1" xr:uid="{a9ee83fa-8f38-4c17-a8ec-9d8ee4b36a60}" ref="L4">
      <text>
        <t xml:space="preserve">[Threaded comment]
 Your version of Excel allows you to read this threaded comment; however, any edits to it will get removed if the file is opened in a newer version of Excel. Learn more: https://go.microsoft.com/fwlink/?linkid=870924
Comment:
	@asridhar@guidewire.com
Assigned to asridhar@guidewire.com
</t>
      </text>
    </comment>
  </commentList>
</comments>
</file>

<file path=xl/sharedStrings.xml><?xml version="1.0" encoding="utf-8"?>
<sst xmlns="http://schemas.openxmlformats.org/spreadsheetml/2006/main" count="2741" uniqueCount="610">
  <si>
    <t xml:space="preserve">Round 1 </t>
  </si>
  <si>
    <t>Prioriies as of Aug 25</t>
  </si>
  <si>
    <t>S. No</t>
  </si>
  <si>
    <t xml:space="preserve">Initiative </t>
  </si>
  <si>
    <t>PM Lead</t>
  </si>
  <si>
    <t>Engg Lead</t>
  </si>
  <si>
    <t>Architect lead</t>
  </si>
  <si>
    <t>PgM Lead</t>
  </si>
  <si>
    <t>CarryOver from FY26</t>
  </si>
  <si>
    <t xml:space="preserve">Status </t>
  </si>
  <si>
    <t xml:space="preserve">Due Date/ Milestones </t>
  </si>
  <si>
    <t>August 2026</t>
  </si>
  <si>
    <t>Sept 2026</t>
  </si>
  <si>
    <t>Oct 2026</t>
  </si>
  <si>
    <t>Nov 2026</t>
  </si>
  <si>
    <t>Dec 2026</t>
  </si>
  <si>
    <t>Jan 2027</t>
  </si>
  <si>
    <t>Feb 2027</t>
  </si>
  <si>
    <t>March 2027</t>
  </si>
  <si>
    <t>Apr 2027</t>
  </si>
  <si>
    <t xml:space="preserve">Not Assigned </t>
  </si>
  <si>
    <t xml:space="preserve">CR-DR Nov 2026 in Prod </t>
  </si>
  <si>
    <t>Requestor / Evangelist</t>
  </si>
  <si>
    <t xml:space="preserve">Secondary Requestor </t>
  </si>
  <si>
    <t xml:space="preserve">What should we consider prioritizing ? Technical Initiative, Architectural Change, Customer requested Feature, Dependency from other Apps teams. </t>
  </si>
  <si>
    <t>Priority</t>
  </si>
  <si>
    <t>Priority Fixed</t>
  </si>
  <si>
    <t>Cost of Delay</t>
  </si>
  <si>
    <t>To do indicator 
(0 is ideal)</t>
  </si>
  <si>
    <t xml:space="preserve">Why (Contracts / Cost of Delay) - if there is any explicit contract OR $$$$ amounts associated with our ability to not deliver, please call this out. </t>
  </si>
  <si>
    <t>Estimate in Weeks across teams required for Full Kit
This value is derived</t>
  </si>
  <si>
    <r>
      <rPr>
        <rFont val="Arial"/>
        <b/>
        <color theme="1"/>
      </rPr>
      <t xml:space="preserve">What is the last date </t>
    </r>
    <r>
      <rPr>
        <rFont val="Arial"/>
        <b/>
        <color rgb="FF4A86E8"/>
      </rPr>
      <t xml:space="preserve">[mm/dd/yyyy] </t>
    </r>
    <r>
      <rPr>
        <rFont val="Arial"/>
        <b/>
        <color theme="1"/>
      </rPr>
      <t xml:space="preserve">by when this MUST BE DONE. ?
If there are no explicit dates that apply, please use </t>
    </r>
    <r>
      <rPr>
        <rFont val="Arial"/>
        <b/>
        <color rgb="FFFF0000"/>
      </rPr>
      <t>N/A</t>
    </r>
  </si>
  <si>
    <t>Ashish Tomar</t>
  </si>
  <si>
    <t>Ajanta Dependencies</t>
  </si>
  <si>
    <t>Other Links and Notes and Considerations</t>
  </si>
  <si>
    <t xml:space="preserve">Triage at Offsite  (UJ) </t>
  </si>
  <si>
    <t>Ajanta</t>
  </si>
  <si>
    <t xml:space="preserve">Priority order </t>
  </si>
  <si>
    <t>Alleppey Dependencies</t>
  </si>
  <si>
    <t xml:space="preserve"> </t>
  </si>
  <si>
    <t>Alleppey</t>
  </si>
  <si>
    <t xml:space="preserve"> Avondale Dependencies</t>
  </si>
  <si>
    <t>Avondale</t>
  </si>
  <si>
    <t>Bandipur Dependencies</t>
  </si>
  <si>
    <t>Bandipur</t>
  </si>
  <si>
    <t>Biala Dependencies</t>
  </si>
  <si>
    <t>Biala</t>
  </si>
  <si>
    <t>Bolinas Dependencies</t>
  </si>
  <si>
    <t>Piotr Domider</t>
  </si>
  <si>
    <t>Bolinas</t>
  </si>
  <si>
    <t>Brilliant Dependencies</t>
  </si>
  <si>
    <t>Brilliant</t>
  </si>
  <si>
    <t>Cahawba Dependencies</t>
  </si>
  <si>
    <t>Cahawba</t>
  </si>
  <si>
    <t>Capitola Dependencies</t>
  </si>
  <si>
    <t>Capitola</t>
  </si>
  <si>
    <t>Cooperstown Dependencies</t>
  </si>
  <si>
    <t>Cooperstown</t>
  </si>
  <si>
    <t>James Dobson</t>
  </si>
  <si>
    <t>COUNTA of Requestor / Evangelist</t>
  </si>
  <si>
    <t>Danville Dependencies</t>
  </si>
  <si>
    <t>Danville</t>
  </si>
  <si>
    <t>Dobra Dependencies</t>
  </si>
  <si>
    <t>Dobra</t>
  </si>
  <si>
    <t>Gokarna Dependencies</t>
  </si>
  <si>
    <t>Gokarna</t>
  </si>
  <si>
    <t>Kabini Dependencies</t>
  </si>
  <si>
    <t>Piotr Flasiński</t>
  </si>
  <si>
    <t>Kabini</t>
  </si>
  <si>
    <t>Kanata Dependencies</t>
  </si>
  <si>
    <t>Kanata</t>
  </si>
  <si>
    <t>Michalowice Dependencies</t>
  </si>
  <si>
    <t>Michalowice</t>
  </si>
  <si>
    <t>Consider for FY 27</t>
  </si>
  <si>
    <t>Moose Factory Dependencies</t>
  </si>
  <si>
    <t>Moose Factory</t>
  </si>
  <si>
    <t>Duplicate</t>
  </si>
  <si>
    <t xml:space="preserve">Local Product Initiative </t>
  </si>
  <si>
    <t>Okocim Dependencies</t>
  </si>
  <si>
    <t>Needs Review</t>
  </si>
  <si>
    <t>Not in FY 2027</t>
  </si>
  <si>
    <t>Quinton McCombs</t>
  </si>
  <si>
    <t>Okocim</t>
  </si>
  <si>
    <t>Grand Total</t>
  </si>
  <si>
    <t>Aurora Cluster OAM Components
Database Cluster self-service management (Cepheid)</t>
  </si>
  <si>
    <t>Piatek Dependencies</t>
  </si>
  <si>
    <t>Piatek</t>
  </si>
  <si>
    <t>Amrit Khanna</t>
  </si>
  <si>
    <t>Sagara Dependencies</t>
  </si>
  <si>
    <t>Sagara</t>
  </si>
  <si>
    <t>Sausalito Dependencies</t>
  </si>
  <si>
    <t>Sausalito</t>
  </si>
  <si>
    <t>Solina Dependencies</t>
  </si>
  <si>
    <t>Michael Gage</t>
  </si>
  <si>
    <t>Solina</t>
  </si>
  <si>
    <t xml:space="preserve">https://docs.google.com/document/d/1sGAXnIbOqPrNpPqY1ObRSAGC5h0Z4x8_T1Bg1RjcvDk/edit?tab=t.0  </t>
  </si>
  <si>
    <t>Sunnyvale Dependencies</t>
  </si>
  <si>
    <t>Sunnyvale</t>
  </si>
  <si>
    <t>Tychy Dependencies</t>
  </si>
  <si>
    <t>Tychy</t>
  </si>
  <si>
    <t>Tymbark Dependencies</t>
  </si>
  <si>
    <t>Tymbark</t>
  </si>
  <si>
    <t>Vulcan Dependencies</t>
  </si>
  <si>
    <t>Yes</t>
  </si>
  <si>
    <t>Vulcan</t>
  </si>
  <si>
    <t xml:space="preserve"> Warrior Dependencies</t>
  </si>
  <si>
    <t>Warrior</t>
  </si>
  <si>
    <t>Wola Dependencies</t>
  </si>
  <si>
    <t>In Progress (In Dev)</t>
  </si>
  <si>
    <t>Wola</t>
  </si>
  <si>
    <t>Zakopane Dependencies</t>
  </si>
  <si>
    <t>Zakopane</t>
  </si>
  <si>
    <r>
      <rPr>
        <rFont val="Arial"/>
        <b/>
        <color rgb="FF4A86E8"/>
      </rPr>
      <t xml:space="preserve">August 25, 2026 </t>
    </r>
    <r>
      <rPr>
        <rFont val="Arial"/>
        <b/>
        <color theme="1"/>
      </rPr>
      <t>-</t>
    </r>
    <r>
      <rPr>
        <rFont val="Arial"/>
        <color theme="1"/>
      </rPr>
      <t xml:space="preserve"> LM Demo
</t>
    </r>
    <r>
      <rPr>
        <rFont val="Arial"/>
        <b/>
        <color theme="1"/>
      </rPr>
      <t xml:space="preserve">Nov 28, 2026 </t>
    </r>
    <r>
      <rPr>
        <rFont val="Arial"/>
        <color theme="1"/>
      </rPr>
      <t>- CRDR EA</t>
    </r>
  </si>
  <si>
    <t>N/A</t>
  </si>
  <si>
    <r>
      <rPr>
        <color rgb="FF1155CC"/>
        <u/>
      </rPr>
      <t>Guard Complete Roll out to all LHS Services at physical star system granularity for Liberty Mutual</t>
    </r>
    <r>
      <rPr/>
      <t xml:space="preserve">
</t>
    </r>
    <r>
      <rPr>
        <color rgb="FF0000FF"/>
        <u/>
      </rPr>
      <t>Project Plan</t>
    </r>
  </si>
  <si>
    <t xml:space="preserve">GGS (Sheena) </t>
  </si>
  <si>
    <t>Gilbert Bouzeid</t>
  </si>
  <si>
    <t>Gowtham S</t>
  </si>
  <si>
    <r>
      <rPr>
        <rFont val="Arial"/>
        <strike/>
        <color theme="1"/>
      </rPr>
      <t xml:space="preserve">Audit Events and Access logs in DD - CI/CD and other self-services
</t>
    </r>
    <r>
      <rPr>
        <rFont val="Arial"/>
        <color theme="1"/>
      </rPr>
      <t xml:space="preserve">Ability to raise audit events/ access logs into logs for system action of interest  </t>
    </r>
    <r>
      <rPr>
        <rFont val="Arial"/>
        <color rgb="FFFF0000"/>
      </rPr>
      <t>(GB, PF redcue the scope to adjust what team discussed</t>
    </r>
    <r>
      <rPr>
        <rFont val="Arial"/>
        <color theme="1"/>
      </rPr>
      <t>)</t>
    </r>
  </si>
  <si>
    <t>Jerome Guionnet</t>
  </si>
  <si>
    <t>Satish Patil</t>
  </si>
  <si>
    <r>
      <rPr/>
      <t xml:space="preserve">That's a functionality our platorms is missing for a long time. It comes up during almost every customer interaction / contract / requirements negotiations. Customers asking for this:
- </t>
    </r>
    <r>
      <rPr>
        <color rgb="FF1155CC"/>
        <u/>
      </rPr>
      <t>https://guidewire.aha.io/ideas/IPI-I-1233</t>
    </r>
    <r>
      <rPr/>
      <t xml:space="preserve">
- https://guidewire.aha.io/ideas/IPI-I-532
- https://guidewire.aha.io/ideas/ideas/IPI-I-1149
- https://guidewire.aha.io/ideas/IPI-I-789
- https://guidewire.aha.io/ideas/ideas/IPI-I-500
- </t>
    </r>
    <r>
      <rPr>
        <color rgb="FF1155CC"/>
        <u/>
      </rPr>
      <t xml:space="preserve">https://guidewire.aha.io/ideas/IPI-I-1562
</t>
    </r>
    <r>
      <rPr/>
      <t xml:space="preserve">- </t>
    </r>
    <r>
      <rPr>
        <color rgb="FF1155CC"/>
        <u/>
      </rPr>
      <t>https://guidewire.aha.io/ideas/IPI-I-616</t>
    </r>
    <r>
      <rPr/>
      <t xml:space="preserve"> 
- </t>
    </r>
    <r>
      <rPr>
        <color rgb="FF1155CC"/>
        <u/>
      </rPr>
      <t>https://guidewireinternal.ideas.aha.io/ideas/IPI-I-1234</t>
    </r>
    <r>
      <rPr/>
      <t xml:space="preserve">  
Liberty Mutual is pushing on exposing audit logs to the DD subaccount too (for GUARD, etc.)
European customers are pushing on this too - DORA requirements.
Huge demand from our French customers (recent official letter shared with Guidewire) 
DB Access and Audit logs (from French and EA customers audit, compliance and regulatory purposes): </t>
    </r>
    <r>
      <rPr>
        <color rgb="FF1155CC"/>
        <u/>
      </rPr>
      <t>https://docs.google.com/document/d/1sGAXnIbOqPrNpPqY1ObRSAGC5h0Z4x8_T1Bg1RjcvDk/edit?tab=t.0</t>
    </r>
    <r>
      <rPr/>
      <t xml:space="preserve">  
S3 Access and Audit logs (from French and EA customers audit, compliance and regulatory purposes): 
</t>
    </r>
    <r>
      <rPr>
        <color rgb="FF1155CC"/>
        <u/>
      </rPr>
      <t>https://docs.google.com/document/d/1sGAXnIbOqPrNpPqY1ObRSAGC5h0Z4x8_T1Bg1RjcvDk/edit?tab=t.0</t>
    </r>
    <r>
      <rPr/>
      <t xml:space="preserve"> 
c.f. also </t>
    </r>
    <r>
      <rPr>
        <color rgb="FF1155CC"/>
        <u/>
      </rPr>
      <t>https://guidewire.aha.io/ideas/IPI-I-616</t>
    </r>
    <r>
      <rPr/>
      <t xml:space="preserve"> </t>
    </r>
  </si>
  <si>
    <t>Łukasz Makowski</t>
  </si>
  <si>
    <t>Srinivas Gunda</t>
  </si>
  <si>
    <t>Medha Smriti</t>
  </si>
  <si>
    <t>Dependent teams:
- GPR: including SRE, GGS, InfoSEC, etc.
- Database / Data Platform: Provide access to raw Postgres logs (login/logout, DDL, slow queries); define service account exclusion criteria; validate obfuscation approach before automation is built.
- Atmos Networking / Oort: Expose Oort (gateway) access logs with customer-relevant attributes in the Datadog subaccount (GWCP-88255 is open and directly related).
- Storage: Enable S3 server access logging and CloudTrail data events per tenant bucket.
- CI/CD Pod: Provide CI/CD pipeline audit events (who triggered what, when, on which environment) to be surfaced in Datadog or secure storage for compliance.
- Guard / IAM: Liberty Mutual specifically asked for audit logs in their DD subaccount for GUARD. Guard team needs to expose relevant access events (user actions, permission changes) to the customer-facing Datadog instance.
- GH: Surface self-service action audit trails (deployments, DB drops, config changes) to customer (i.e.CI/CD and other services)</t>
  </si>
  <si>
    <t>Michal Zajac</t>
  </si>
  <si>
    <r>
      <rPr>
        <rFont val="Arial"/>
        <b/>
        <color rgb="FF38761D"/>
      </rPr>
      <t>July 30 -</t>
    </r>
    <r>
      <rPr>
        <rFont val="Arial"/>
        <color theme="1"/>
      </rPr>
      <t xml:space="preserve"> Guard IDP integration + GCC Onboarding
</t>
    </r>
    <r>
      <rPr>
        <rFont val="Arial"/>
        <b/>
        <color rgb="FF4A86E8"/>
      </rPr>
      <t xml:space="preserve">Sept 15 </t>
    </r>
    <r>
      <rPr>
        <rFont val="Arial"/>
        <color theme="1"/>
      </rPr>
      <t xml:space="preserve">- CDPO Onboarding  
</t>
    </r>
    <r>
      <rPr>
        <rFont val="Arial"/>
        <b/>
        <color theme="1"/>
      </rPr>
      <t xml:space="preserve">Oct 30 </t>
    </r>
    <r>
      <rPr>
        <rFont val="Arial"/>
        <color theme="1"/>
      </rPr>
      <t xml:space="preserve">- Increase granularity of Manage permission for all GCC services
</t>
    </r>
    <r>
      <rPr>
        <rFont val="Arial"/>
        <b/>
        <color theme="1"/>
      </rPr>
      <t xml:space="preserve">December 31 - </t>
    </r>
    <r>
      <rPr>
        <rFont val="Arial"/>
        <color theme="1"/>
      </rPr>
      <t xml:space="preserve">feature Gaps to onboard Non GCC Services. 
</t>
    </r>
    <r>
      <rPr>
        <rFont val="Arial"/>
        <b/>
        <color theme="1"/>
      </rPr>
      <t>Q1 2027</t>
    </r>
    <r>
      <rPr>
        <rFont val="Arial"/>
        <color theme="1"/>
      </rPr>
      <t xml:space="preserve"> - Onboard All Non GCC Servies to Guard. </t>
    </r>
  </si>
  <si>
    <t>Snapshot Export Self-Service</t>
  </si>
  <si>
    <r>
      <rPr>
        <color rgb="FF1F1F1F"/>
      </rPr>
      <t xml:space="preserve">Currently Snapshot Export functionality is a backend only (no UI) process owned by Infrastructure team. Goal of this work is to transfer the ownership to the GWCP Tooling space and provide self-service layer integrated with PPP platform. This would reduce manual tasks related with DB Snapshot, currently done by Ops.
</t>
    </r>
    <r>
      <rPr>
        <color rgb="FF1155CC"/>
        <u/>
      </rPr>
      <t xml:space="preserve">https://guidewire.aha.io/epics/GCCDBISO-E-28
</t>
    </r>
    <r>
      <rPr>
        <color rgb="FF1F1F1F"/>
      </rPr>
      <t>Related ideas:
https://guidewire.aha.io/ideas/ideas/IPI-I-1188
https://guidewire.aha.io/ideas/ideas/IPI-I-684
https://guidewire.aha.io/ideas/ideas/IPI-I-1102</t>
    </r>
  </si>
  <si>
    <r>
      <rPr>
        <rFont val="Arial"/>
        <color rgb="FF1155CC"/>
        <u/>
      </rPr>
      <t>DevSpace/VAMOS EA &amp; GA</t>
    </r>
    <r>
      <rPr>
        <rFont val="Arial"/>
        <color rgb="FF1F1F1F"/>
      </rPr>
      <t xml:space="preserve">. 
</t>
    </r>
    <r>
      <rPr>
        <rFont val="Arial"/>
        <color rgb="FF1155CC"/>
        <u/>
      </rPr>
      <t xml:space="preserve">Rollout strategy </t>
    </r>
  </si>
  <si>
    <t>Ram Subramanian</t>
  </si>
  <si>
    <t>Implementation-wise it would be easier to implement it as a part of Cepheid, but this would delay go-to-market by additional year at least. So timing and dependencies would need to be considered.   Monetization is a big deal. Current ARR for SE is 1.44M (for non-PPP 17 customers), ARR for RR is 3.5M (for non PPP ~30 customers). PPP customers generates additional revenue.</t>
  </si>
  <si>
    <t>Security</t>
  </si>
  <si>
    <t>Marta Zawadzka</t>
  </si>
  <si>
    <r>
      <rPr>
        <rFont val="Arial"/>
        <color theme="1"/>
      </rPr>
      <t xml:space="preserve">Aurora 18 upgrade- Ensure the </t>
    </r>
    <r>
      <rPr>
        <rFont val="Arial"/>
        <b/>
        <color theme="1"/>
      </rPr>
      <t>backups</t>
    </r>
    <r>
      <rPr>
        <rFont val="Arial"/>
        <color theme="1"/>
      </rPr>
      <t xml:space="preserve"> also work after the upgrade</t>
    </r>
  </si>
  <si>
    <t>Krzysztof Rosner</t>
  </si>
  <si>
    <t>https://guidewireconfluence.atlassian.net/wiki/spaces/ORANGE/pages/2890563810/Aurora+PostgreSQL+Upgrade+Plan+v15+v18</t>
  </si>
  <si>
    <t>Ben Eloy</t>
  </si>
  <si>
    <t>Yoga (Primary)
Ashwij Sridhar</t>
  </si>
  <si>
    <r>
      <rPr>
        <rFont val="Arial"/>
        <b/>
        <color rgb="FF0000FF"/>
      </rPr>
      <t xml:space="preserve">August - </t>
    </r>
    <r>
      <rPr>
        <rFont val="Arial"/>
        <color theme="1"/>
      </rPr>
      <t>Synergy Demo</t>
    </r>
    <r>
      <rPr>
        <rFont val="Arial"/>
        <b/>
        <color rgb="FF0000FF"/>
      </rPr>
      <t xml:space="preserve"> 
Sept 15 </t>
    </r>
    <r>
      <rPr>
        <rFont val="Arial"/>
        <b/>
        <color theme="1"/>
      </rPr>
      <t>-</t>
    </r>
    <r>
      <rPr>
        <rFont val="Arial"/>
        <color theme="1"/>
      </rPr>
      <t xml:space="preserve"> IS and Extention Layer (Internal User) 
</t>
    </r>
    <r>
      <rPr>
        <rFont val="Arial"/>
        <b/>
        <color rgb="FFFF0000"/>
      </rPr>
      <t>TBD</t>
    </r>
    <r>
      <rPr>
        <rFont val="Arial"/>
        <color theme="1"/>
      </rPr>
      <t xml:space="preserve"> - Jutro/ Education other internal users. 
</t>
    </r>
    <r>
      <rPr>
        <rFont val="Arial"/>
        <b/>
        <color theme="1"/>
      </rPr>
      <t xml:space="preserve">Nov 2026 </t>
    </r>
    <r>
      <rPr>
        <rFont val="Arial"/>
        <color theme="1"/>
      </rPr>
      <t xml:space="preserve">- External Customers EA 
</t>
    </r>
    <r>
      <rPr>
        <rFont val="Arial"/>
        <b/>
        <color rgb="FFFF0000"/>
      </rPr>
      <t xml:space="preserve">TBD </t>
    </r>
    <r>
      <rPr>
        <rFont val="Arial"/>
        <color theme="1"/>
      </rPr>
      <t>- External Customers GA</t>
    </r>
  </si>
  <si>
    <t>Upgrade Window: 2027 → Early 2028
v15 End of Support: 29 Feb 2028</t>
  </si>
  <si>
    <t xml:space="preserve">Work with Global DB on this </t>
  </si>
  <si>
    <t>Self-service initiatives to Reduce DB Case Load
(Prioritize the ones that ABSOLUTLEY MUST DO this year)</t>
  </si>
  <si>
    <t xml:space="preserve">Scopes Self Service </t>
  </si>
  <si>
    <r>
      <rPr/>
      <t xml:space="preserve">Aim is to reduce the workload for GGS (especially GGS DBAs) by providing the self-service capabilies that would reduce the amount of tickets/cases risen by the customers. Exact scope is based on GGS feedback (from Jim Sciarra, Raphael Pessoa and Leo Drobnis), to make sure we're targetting and reducing workload exactly where they find things to be the most challenging.
List of ideas/related features:
https://guidewire.aha.io/ideas/ideas/IPI-I-999
https://guidewire.aha.io/ideas/ideas/IPI-I-1647
https://guidewire.aha.io/ideas/ideas/IPI-I-601
</t>
    </r>
    <r>
      <rPr>
        <color rgb="FF1155CC"/>
        <u/>
      </rPr>
      <t>https://guidewire.aha.io/ideas/ideas/IPI-I-1698</t>
    </r>
    <r>
      <rPr/>
      <t xml:space="preserve">
https://guidewire.aha.io/ideas/ideas/IPI-I-1695
</t>
    </r>
    <r>
      <rPr>
        <color rgb="FF1155CC"/>
        <u/>
      </rPr>
      <t>https://guidewire.aha.io/ideas/GCCDBISO-I-2
https://guidewire.aha.io/epics/GCCDBISO-E-83
https://guidewire.aha.io/epics/GCCDBISO-E-46
https://guidewire.aha.io/epics/GCCDBISO-E-75</t>
    </r>
  </si>
  <si>
    <t>Dhruv Sharma</t>
  </si>
  <si>
    <t>Muralicharan Gurumoorthy</t>
  </si>
  <si>
    <t xml:space="preserve">COUNTA of What should we consider prioritizing ? Technical Initiative, Architectural Change, Customer requested Feature, Dependency from other Apps teams. </t>
  </si>
  <si>
    <t>TBD</t>
  </si>
  <si>
    <t>Based on the email exchange ('Fwd: Initiatives to Reduce DB Case Load') between Jim Sciarra, Krzysztof Rosner and Anoop</t>
  </si>
  <si>
    <t>No- New Initiative</t>
  </si>
  <si>
    <t>Not Started</t>
  </si>
  <si>
    <r>
      <rPr>
        <rFont val="Arial"/>
        <b/>
        <color theme="1"/>
      </rPr>
      <t>Sept end</t>
    </r>
    <r>
      <rPr>
        <rFont val="Arial"/>
        <color theme="1"/>
      </rPr>
      <t xml:space="preserve"> - Internal Demo
</t>
    </r>
    <r>
      <rPr>
        <rFont val="Arial"/>
        <b/>
        <color theme="1"/>
      </rPr>
      <t>Oct end</t>
    </r>
    <r>
      <rPr>
        <rFont val="Arial"/>
        <color theme="1"/>
      </rPr>
      <t xml:space="preserve"> - EA
</t>
    </r>
    <r>
      <rPr>
        <rFont val="Arial"/>
        <b/>
        <color theme="1"/>
      </rPr>
      <t>Nov end</t>
    </r>
    <r>
      <rPr>
        <rFont val="Arial"/>
        <color theme="1"/>
      </rPr>
      <t xml:space="preserve"> - GA</t>
    </r>
  </si>
  <si>
    <t>Revisit</t>
  </si>
  <si>
    <t>New</t>
  </si>
  <si>
    <t xml:space="preserve">Make Security Fixing easier with AI (Anoop to write one pager) </t>
  </si>
  <si>
    <t>Anna Pers</t>
  </si>
  <si>
    <t>API Gateway Log/Telemetry Streaming to customers/DD sub account</t>
  </si>
  <si>
    <r>
      <rPr/>
      <t xml:space="preserve">Critical Market &amp; Regulatory Demand: There is a high priority requirement from tier-one customers (including USAA, MACIF, AXA, and BPCE) to enable API Gateway and OTel Log Streaming to their own Datadog sub-accounts and external environments. This is a prerequisite for their Regulatory and Compliance frameworks—specifically DORA and other global financial mandates—which require centralized, customer-managed audit trails for all gateway traffic and application events.
Also c.f. </t>
    </r>
    <r>
      <rPr>
        <color rgb="FF1155CC"/>
        <u/>
      </rPr>
      <t>https://guidewire.aha.io/ideas/ideas/IPI-I-1789</t>
    </r>
    <r>
      <rPr/>
      <t xml:space="preserve"> </t>
    </r>
  </si>
  <si>
    <t>None</t>
  </si>
  <si>
    <t>Bring-Your-Own Application (Asteroids) EA&amp;GA
(Project Tracker)</t>
  </si>
  <si>
    <t>Anoop Gopalakrishnan</t>
  </si>
  <si>
    <t>No Dependency</t>
  </si>
  <si>
    <t>Dependencies:
- GPR: including SRE, GGS, InfoSEC, etc.
- Atmos Networking (Oort Pod): Expose Oort/API Gateway access logs (HTTP request/response data passing through the gateway) to the customer's Datadog instance with proper attributes.</t>
  </si>
  <si>
    <t>DORA metrics For DataDog/TC</t>
  </si>
  <si>
    <r>
      <rPr/>
      <t>"</t>
    </r>
    <r>
      <rPr>
        <color rgb="FF1155CC"/>
        <u/>
      </rPr>
      <t>https://guidewire.aha.io/ideas/ideas/IPI-I-1129</t>
    </r>
    <r>
      <rPr/>
      <t xml:space="preserve">  
</t>
    </r>
    <r>
      <rPr>
        <color rgb="FF1155CC"/>
        <u/>
      </rPr>
      <t>https://guidewire.slack.com/archives/C0B29SW2T96/p1777990615967379</t>
    </r>
    <r>
      <rPr/>
      <t xml:space="preserve"> </t>
    </r>
  </si>
  <si>
    <t>Chakravarthy Petluri</t>
  </si>
  <si>
    <t>Dependencies:
- GPR: including SRE, GGS, InfoSEC, etc.
- TeamCity Pod (CI/CD): Emit structured build/deployment events from TeamCity (build success, failure, promotion to production) that can be ingested by Datadog. 
- BitBucket: Provide commit timestamps (code commit events) needed to calculate Lead Time for Changes — the clock starts at commit and ends at production deployment. Bitbucket webhooks or API integration into the metrics
pipeline needed</t>
  </si>
  <si>
    <t>Umang Jain</t>
  </si>
  <si>
    <t>OTEL Telemetry Streaming GA</t>
  </si>
  <si>
    <t>- With 14 customers already in the EA program, demand is active and high-intent rather than theoretical.
- Customers in highly regulated markets (e.g., EU/DORA) require telemetry streaming to integrate logs and traces into their own stacks for audit and operational purposes
- GA allows us to package and price it explicitly (e.g., as a usage‑based or tiered add‑on) and start monetizing a capability customers have already signaled they are willing to adopt.</t>
  </si>
  <si>
    <t>Dependencies:
- GPR: including SRE, GGS, InfoSEC, etc.
- Solaris and pricing teams
- GH: Self-service enablement of OTEL Streaming
Also needed for BYOA</t>
  </si>
  <si>
    <t>NONE</t>
  </si>
  <si>
    <t>Krishnendu Jayachandran</t>
  </si>
  <si>
    <r>
      <rPr>
        <rFont val="Arial"/>
        <b/>
        <color theme="1"/>
      </rPr>
      <t>Oct/Nov -</t>
    </r>
    <r>
      <rPr>
        <rFont val="Arial"/>
        <color theme="1"/>
      </rPr>
      <t xml:space="preserve"> Connections scope 
</t>
    </r>
    <r>
      <rPr>
        <rFont val="Arial"/>
        <b/>
        <color theme="1"/>
      </rPr>
      <t>Feb 26, 2027</t>
    </r>
    <r>
      <rPr>
        <rFont val="Arial"/>
        <color theme="1"/>
      </rPr>
      <t xml:space="preserve">- EA- External Customers 
</t>
    </r>
    <r>
      <rPr>
        <rFont val="Arial"/>
        <b/>
        <color theme="1"/>
      </rPr>
      <t>June 28, 2027</t>
    </r>
    <r>
      <rPr>
        <rFont val="Arial"/>
        <color theme="1"/>
      </rPr>
      <t>- GA-  External Customers 
If Security drives a reprioritization then these dates can change</t>
    </r>
  </si>
  <si>
    <t>Diego Devalle</t>
  </si>
  <si>
    <t>Kanata, Vulcan, Avondale, Solina, Wola</t>
  </si>
  <si>
    <t xml:space="preserve">Security </t>
  </si>
  <si>
    <t>Customer Gosu Code Security Scanning in GCH (Checkmarx Gosu Scanner) — Customer-requested Feature + Technical Initiative.</t>
  </si>
  <si>
    <t>Vulcan, Cooperstown, Cahawba</t>
  </si>
  <si>
    <r>
      <rPr>
        <rFont val="Arial"/>
        <b/>
        <color theme="1"/>
      </rPr>
      <t xml:space="preserve">Direct Liberty Mutual ask </t>
    </r>
    <r>
      <rPr>
        <rFont val="Arial"/>
        <color theme="1"/>
      </rPr>
      <t xml:space="preserve">— LM (and PZU) have active demand for in-pipeline security scanning of their custom code; No generic SAST tool covers Gosu.                                                                                                                         </t>
    </r>
    <r>
      <rPr>
        <rFont val="Arial"/>
        <b/>
        <color theme="1"/>
      </rPr>
      <t xml:space="preserve">Cost of delay: </t>
    </r>
    <r>
      <rPr>
        <rFont val="Arial"/>
        <color theme="1"/>
      </rPr>
      <t xml:space="preserve">continued exposure of customer-introduced vulnerabilities reaching production; InfoSec constraint: Guidewire-layer vulns must never be shown to customers — so this depends on the customer-layer segregation work already in flight.
</t>
    </r>
    <r>
      <rPr>
        <rFont val="Arial"/>
        <b/>
        <color theme="1"/>
      </rPr>
      <t>Why this investment matters
What success looks like
What needle it moves</t>
    </r>
  </si>
  <si>
    <t xml:space="preserve">Ensure maintenance can be completed within 6 hours despite our growing customer base. </t>
  </si>
  <si>
    <t>Tentative GA Date (Oct -2026) , Scope is still getting finalised. Depends on how early CheckMarx can deliver the scanning tool</t>
  </si>
  <si>
    <t>Functional proposal: guidewireconfluence.atlassian.net/wiki/x/4IAXwg.</t>
  </si>
  <si>
    <t>Dima Kravchenko</t>
  </si>
  <si>
    <t xml:space="preserve">Muralicharan Gurumoorthy </t>
  </si>
  <si>
    <t>Ashwij Sridhar</t>
  </si>
  <si>
    <t>NA</t>
  </si>
  <si>
    <t>Gal Josefsberg</t>
  </si>
  <si>
    <t>Ability to support Immutable ID / Persistent ID. It could be a Tag or a value that stays persistent.</t>
  </si>
  <si>
    <t>Platform Scalability and Limits Management</t>
  </si>
  <si>
    <t>Plan for
- Organic growth, ie more RHS Tenant
   - Cluster as cattle and tenant migration
- DR doubling the number of RHS tenant and LHS cluster
- OAM based application delivery increase AWS API load, K8s Load
- Business Functions challenging for example OORT/Rte 53
- AI Agent impact TBD
- Broker center will introduce 100th of like "LHS/Atmos" tenant but nore managed by a Guidewire pod or µS team
- ...</t>
  </si>
  <si>
    <t>Sunnyvale,
Tymbark</t>
  </si>
  <si>
    <t>Isolation: infra, Authn/Z/Security for AI Workload</t>
  </si>
  <si>
    <t>Dhruv Sharma / Helios Team  (SPIFFE/SPIRE) / Architecture (See below) / Security Team (any tenant)
Infra:
- microVM/Kata sandbox + dedicated tainted node pools + default-deny egress for any model-code/tool-driven workload; 
- Asteroids/vCluster as the middle isolation tier.
AuthN/Z (extends the Vision): 
- EKS Pod Identity, one role per SA; 
- SPIFFE/SPIRE cross-boundary; 
- OAuth on-behalf-of so an agent acts within the user's scope. 
- Plan for non-human-identity sprawl (agent count, not service count).</t>
  </si>
  <si>
    <t>Sunnyvale, Michalowice, Wola</t>
  </si>
  <si>
    <t>Glenda Andes</t>
  </si>
  <si>
    <t>FY 27</t>
  </si>
  <si>
    <t>KTLO and day 2 Automation</t>
  </si>
  <si>
    <t>Ignite team in FY 26 was critical to improve the situation but I am not sure they will be done by end of FY 26
- operations as a product not a process
  - Vector Continuous release
  - ...
- AI: AGS/gwcp (wiz) for GGS (need SRE prod cluster support)
OAM component should become OAM class including full SDLC and not only day 1 concerns, they should include support for common day 2 operations
- Ceipheid as an example?
- Warrior OMA CLI as an example?</t>
  </si>
  <si>
    <t>Michael Dykes</t>
  </si>
  <si>
    <r>
      <rPr>
        <color rgb="FF1155CC"/>
        <u/>
      </rPr>
      <t>Guard Complete Roll out to all LHS Services for Liberty</t>
    </r>
    <r>
      <rPr/>
      <t xml:space="preserve">
</t>
    </r>
  </si>
  <si>
    <t>Marek Cabaj</t>
  </si>
  <si>
    <t>Jeff Cooper</t>
  </si>
  <si>
    <t>Kamil Wcisło</t>
  </si>
  <si>
    <t>BYOK</t>
  </si>
  <si>
    <t xml:space="preserve">Onboard EMR (Predict)  to Atmos 
(100k costs per month running siloed infra) unblocks other things on their end. </t>
  </si>
  <si>
    <r>
      <rPr/>
      <t xml:space="preserve">Refer to Slack </t>
    </r>
    <r>
      <rPr>
        <color rgb="FF1155CC"/>
        <u/>
      </rPr>
      <t>thread</t>
    </r>
    <r>
      <rPr/>
      <t xml:space="preserve"> 
Stakeholders: @Sourabh Govil @Subha Sathiam @Praveen Vukkadala @Charles Francis 
</t>
    </r>
    <r>
      <rPr>
        <color rgb="FF1155CC"/>
        <u/>
      </rPr>
      <t>https://guidewireconfluence.atlassian.net/wiki/spaces/PA/pages/2967339010/Predict+-+Build+Atmos+Migration+Plan</t>
    </r>
    <r>
      <rPr/>
      <t xml:space="preserve"> 
</t>
    </r>
    <r>
      <rPr>
        <color rgb="FF1155CC"/>
        <u/>
      </rPr>
      <t xml:space="preserve">Zoom Recording 
</t>
    </r>
  </si>
  <si>
    <t>Infrom Jan Gaddi of the decision</t>
  </si>
  <si>
    <t>David Denton</t>
  </si>
  <si>
    <t xml:space="preserve">Ability to support Immutable ID / Persistent ID. It could be a Tag or a value that stays persistent. </t>
  </si>
  <si>
    <t>Rahul Bhadoriya</t>
  </si>
  <si>
    <r>
      <rPr/>
      <t xml:space="preserve">The resources should be tagged with immutable IDs or mapped (e.g. via a mapping table) to the immutable IDs. In the same way I can change the name of a Slack channel or the name of an AWS account alias or the name of an Account in Salesforce or the name of a Slide presentation in Google without breaking the relational integrity of those systems, we should be able to track costs of stars, planet, and quadrant types in our systems (Salesforce, Oracle, AWS CUR, etc.).
In today's world, people routinely use variations in capitalization of the "star ID" in Salesforce that breaks joins to the CUR:  one might be upper case and the other lower.
Or, simply misspelled.
Or, the customer wants to rename the star.
</t>
    </r>
    <r>
      <rPr>
        <color rgb="FF1155CC"/>
        <u/>
      </rPr>
      <t xml:space="preserve">https://guidewireconfluence.atlassian.net/wiki/spaces/~qmccombs/pages/1170341911/Tenant+v3 
</t>
    </r>
    <r>
      <rPr/>
      <t xml:space="preserve">  
</t>
    </r>
    <r>
      <rPr>
        <color rgb="FF1155CC"/>
        <u/>
      </rPr>
      <t>https://guidewireconfluence.atlassian.net/wiki/spaces/CCS/pages/1379008513/rfc-31+Globally+unique+keys+to+identify+tenant+star+planet</t>
    </r>
    <r>
      <rPr/>
      <t xml:space="preserve"> 
We also need multiole Systems like SF to use that same immutable id across Guidewire systems.</t>
    </r>
  </si>
  <si>
    <t>No deliverable in FY 27 but customer may ask for progress</t>
  </si>
  <si>
    <t>roll under OAM nova etc</t>
  </si>
  <si>
    <r>
      <rPr>
        <color rgb="FF1155CC"/>
        <u/>
      </rPr>
      <t xml:space="preserve">Aurora Cluster OAM Components
</t>
    </r>
    <r>
      <rPr>
        <strike/>
        <color rgb="FF1155CC"/>
        <u/>
      </rPr>
      <t>Database Cluster self-service management (Cepheid)</t>
    </r>
  </si>
  <si>
    <t>Bandipur, Bolinas, Moose Factory, Michalowice, Sausalito</t>
  </si>
  <si>
    <r>
      <rPr/>
      <t xml:space="preserve">Depends on </t>
    </r>
    <r>
      <rPr>
        <color rgb="FF1155CC"/>
        <u/>
      </rPr>
      <t>Tenant renaming/immutability</t>
    </r>
    <r>
      <rPr/>
      <t xml:space="preserve"> for immutable id generation
KR, to drive meeting with jeff and Glenda to understand the Why </t>
    </r>
  </si>
  <si>
    <t>Jan Ćwik</t>
  </si>
  <si>
    <t>New KDC PgM (TBD)</t>
  </si>
  <si>
    <t>OAM Adoption and Integration with Nova, Polaris</t>
  </si>
  <si>
    <t>DB Monitoring with Query Performance with OTEL GA</t>
  </si>
  <si>
    <r>
      <rPr/>
      <t xml:space="preserve">LM and large customers needing it
</t>
    </r>
    <r>
      <rPr>
        <color rgb="FF1155CC"/>
        <u/>
      </rPr>
      <t>https://guidewireinternal.ideas.aha.io/ideas/IPI-I-933</t>
    </r>
    <r>
      <rPr/>
      <t xml:space="preserve"> </t>
    </r>
  </si>
  <si>
    <t>DevSpace/VAMOS EA &amp; GA</t>
  </si>
  <si>
    <t>End of year 2026</t>
  </si>
  <si>
    <t>Dependencies:
- GPR: including SRE, GGS, InfoSEC, etc.
- Solaris / Pricing
- GH: Self Service enablement
- DB Service: DBM monitoring enablement</t>
  </si>
  <si>
    <t>Sreejith Rajashekaran</t>
  </si>
  <si>
    <t>Telemetry Architving / Streaming Telemetry to Customer S3 buckets</t>
  </si>
  <si>
    <t>- Many customer want to access the archived logs for different Audit, Regulatory and Compliance reason and for a defined duration (i.e. 5, 7, 10, etc. years)</t>
  </si>
  <si>
    <t>Dependencies:
- GPR: including SRE, GGS, InfoSEC, etc.</t>
  </si>
  <si>
    <t>Brian Kane</t>
  </si>
  <si>
    <r>
      <rPr>
        <rFont val="Arial"/>
        <strike/>
        <color theme="1"/>
      </rPr>
      <t xml:space="preserve">Ensuring Star tag is available / valid on all telemtry
</t>
    </r>
    <r>
      <rPr>
        <rFont val="Arial"/>
        <b/>
        <strike val="0"/>
        <color rgb="FF0000FF"/>
      </rPr>
      <t xml:space="preserve">Could be covered with Tagging initiative </t>
    </r>
  </si>
  <si>
    <t>Based on original calculatation, and since billing for observability is driven from Solaris based on Star system, we are currently loosing about 50K a month to missing Star tag!</t>
  </si>
  <si>
    <t>Dependencies:
- GPR: including SRE, GGS, InfoSEC, etc.
- All application PODs (cross-cutting)
Each pod owning AWS resources (MSK, EFS, OAM components, etc.) must ensure their provisioning code applies the star:id tag.</t>
  </si>
  <si>
    <t>Finish Tenant Module Decomposition</t>
  </si>
  <si>
    <t>Karpenter</t>
  </si>
  <si>
    <t>Currently, deploying and scaling workloads within GWCP environments is inefficient, leading to potential cost overruns due to over-provisioning and increased provisioning latency. The use of traditional Auto-Scaling Groups limits the ability to dynamically select optimal instance types and manage spot instances effectively. This results in slower deployment cycles, jeopardizing our goal of bi-weekly Atmos releases, and potentially impacting resource utilization and cost efficiency.</t>
  </si>
  <si>
    <t>Dependencies:
- GPR: including SRE, GGS, InfoSEC, etc.
- Atmos Networking / Oort Pod: The prior Karpenter work (GWCP-73249) explicitly referenced HAProxy decommissioning as an RHS dependency.
- CDP / IS App Teams: IS app workloads need to be validated against Karpenter's dynamic node selection</t>
  </si>
  <si>
    <t>Paused</t>
  </si>
  <si>
    <t>Marta Zawadzka Piotr Flasiński Krzysztof Szczurek</t>
  </si>
  <si>
    <r>
      <rPr>
        <color rgb="FF1155CC"/>
        <u/>
      </rPr>
      <t xml:space="preserve">Ability to raise audit events/ access logs into logs for system action of interest </t>
    </r>
    <r>
      <rPr/>
      <t xml:space="preserve">
</t>
    </r>
  </si>
  <si>
    <t>VAMOS EA &amp; GA</t>
  </si>
  <si>
    <t>Vamos is currently highly requested feature by our customers - we have around 10 customers on EA wishlist, with even more of them expressing interest in the product.
At same time Vamos 2.0 brings design changes that seems to be not aligned with some of requirements identified during market research. Early Access program allows us to validate assumptions in practise, leading to conscious decision about the GA.
Value of Vamos: Huge speed-up of development processes (enabled "local development" in the Cloud) and lower total cost of ownership due to maintanance by Guidewire. 
Vamos is a cost-saving opportunity for customers (speed-up and reduced number of planets), but at the same time a revenue opportunity for GW (money spent outside of GWCP will be moved to Guidewire, which will cover potential reduction in planets revenue).</t>
  </si>
  <si>
    <t>August 1, 2026 - Available for Internal customers
August 16, 2026- Demo in Synergy through GH
Oct 1, 2026 - EA for customers</t>
  </si>
  <si>
    <t>Dependencies:
- GPR: including SRE, GGS, InfoSEC, etc.
- Networking
- KDC
- TRUE</t>
  </si>
  <si>
    <t>Migrate all Log Forwarding enablements to OTEL Log Streaming</t>
  </si>
  <si>
    <r>
      <rPr>
        <color rgb="FF1155CC"/>
        <u/>
      </rPr>
      <t>https://guidewirejira.atlassian.net/browse/GWCP-71718</t>
    </r>
    <r>
      <rPr/>
      <t xml:space="preserve">  </t>
    </r>
  </si>
  <si>
    <t>Bharath Sekar</t>
  </si>
  <si>
    <t>Enable Guard by December 2026</t>
  </si>
  <si>
    <t>Dependencies
- Customer Communication
- TAMs
- SRE/GGS</t>
  </si>
  <si>
    <t>Self Serve Idp Experience</t>
  </si>
  <si>
    <r>
      <rPr>
        <rFont val="Arial"/>
        <color theme="1"/>
      </rPr>
      <t xml:space="preserve">Enable OTEL Instrumentation in GWCP
</t>
    </r>
    <r>
      <rPr>
        <rFont val="Arial"/>
        <b/>
        <color rgb="FF0000FF"/>
      </rPr>
      <t>Anoop to check with L3s and PDO VPMOM for FY 2027</t>
    </r>
  </si>
  <si>
    <r>
      <rPr>
        <color rgb="FF1155CC"/>
        <u/>
      </rPr>
      <t>https://guidewireconfluence.atlassian.net/wiki/spaces/ORANGE/pages/2392523671/The+Future+of+GWCP+Platform</t>
    </r>
    <r>
      <rPr/>
      <t xml:space="preserve"> 
1. Vendor Independence: Datadog should shift to a primarily visualization-layer role to reduce lock-in, with OTEL handling the API and distribution layers.
2. GWCP Observability Instrumentation: Transitioning telemetry collection to standard OpenTelemetry (OTEL) collectors rather than vendor-specific agents.</t>
    </r>
  </si>
  <si>
    <t xml:space="preserve">Scopes Self Service for Keti </t>
  </si>
  <si>
    <t>Dependencies:
- GPR: including SRE, GGS, InfoSEC, etc.
- IS / Apps Teams: need to be instrumented with OTEL SDKs to emit logs, metrics and traces in OTLP format</t>
  </si>
  <si>
    <t>Bharath Sekar Gilbert Bouzeid</t>
  </si>
  <si>
    <r>
      <rPr>
        <color rgb="FF1155CC"/>
        <u/>
      </rPr>
      <t>Fulfillment Service (Voyager dependency inversion)</t>
    </r>
    <r>
      <rPr/>
      <t xml:space="preserve">
Refer to the ask under Glenda. </t>
    </r>
  </si>
  <si>
    <t>Date</t>
  </si>
  <si>
    <t>Topic</t>
  </si>
  <si>
    <t xml:space="preserve">Decision </t>
  </si>
  <si>
    <t xml:space="preserve">Need decision on ownership of SPIRE. It fits more under Auth module. </t>
  </si>
  <si>
    <t xml:space="preserve">Open </t>
  </si>
  <si>
    <t xml:space="preserve">Enforce constraints around tagging so that we can get better reliable values in our tags to make faster decisions
- Help with cost attribution to L3s + Customers. (SedAi)
- Reduce Toil in attributing container vulns in Shared AWS accounts byt allowing Security to directly reach out to the teams. 
- Identify orphan resources and clean up. </t>
  </si>
  <si>
    <t>https://guidewire.aha.io/ideas/IPI-I-732</t>
  </si>
  <si>
    <t>Dependencies:
- GPR: including SRE, GGS, InfoSEC, etc.
- All application PODs (cross-cutting)
Each pod owning AWS resources (MSK, EFS, OAM components, etc.) must ensure their provisioning code applies the proper tags</t>
  </si>
  <si>
    <t>MSK Express Brokers - adoption (TLS/certs deprecation)</t>
  </si>
  <si>
    <t>Enable Telemtry Filtering in GWCP Observability Pipeline for customers/GA</t>
  </si>
  <si>
    <r>
      <rPr/>
      <t xml:space="preserve">i.e. </t>
    </r>
    <r>
      <rPr>
        <color rgb="FF1155CC"/>
        <u/>
      </rPr>
      <t>https://guidewireinternal.ideas.aha.io/ideas/IPI-I-915</t>
    </r>
    <r>
      <rPr/>
      <t xml:space="preserve"> </t>
    </r>
  </si>
  <si>
    <t>Dependencies:
- GPR: including SRE, GGS, InfoSEC, etc.
- GH: Self-service</t>
  </si>
  <si>
    <r>
      <rPr>
        <rFont val="Arial"/>
        <strike/>
        <color theme="1"/>
      </rPr>
      <t>Sensitive Data Scanner GA</t>
    </r>
    <r>
      <rPr>
        <rFont val="Arial"/>
        <color theme="1"/>
      </rPr>
      <t xml:space="preserve">
perhapos we need to check with Diego if this is really needed to be GA</t>
    </r>
  </si>
  <si>
    <r>
      <rPr/>
      <t xml:space="preserve">Datadog Sensitive Data Scanner GA 
</t>
    </r>
    <r>
      <rPr>
        <color rgb="FF1155CC"/>
        <u/>
      </rPr>
      <t>https://guidewire.aha.io/features/LNM-201</t>
    </r>
    <r>
      <rPr/>
      <t xml:space="preserve"> </t>
    </r>
  </si>
  <si>
    <r>
      <rPr/>
      <t xml:space="preserve">Accountable Resource Lifecycles, Productization - </t>
    </r>
    <r>
      <rPr>
        <color rgb="FF1155CC"/>
        <u/>
      </rPr>
      <t>https://guidewireconfluence.atlassian.net/wiki/spaces/CCS/pages/2953904216/rfc-141+Accountable+Resource+Lifecycles</t>
    </r>
  </si>
  <si>
    <t xml:space="preserve">Bring-Your-Own Application (Asteroids) EA&amp;GA
</t>
  </si>
  <si>
    <t>Dependencies:
- GPR: including SRE, GGS, InfoSEC, etc.
- Solaris / Pricing</t>
  </si>
  <si>
    <t>Okta secrets rotation (labeled as "Secrets Rotation" in the Proposals-to-consider tab)</t>
  </si>
  <si>
    <t>Platform stability and KubeVela/OAM Scalability</t>
  </si>
  <si>
    <r>
      <rPr>
        <rFont val="Arial"/>
        <b/>
        <color theme="1"/>
      </rPr>
      <t xml:space="preserve">Multi-controller strategy for ATMOS KubeVela OAM </t>
    </r>
    <r>
      <rPr>
        <rFont val="Arial"/>
        <color theme="1"/>
      </rPr>
      <t xml:space="preserve">
</t>
    </r>
    <r>
      <rPr>
        <rFont val="Arial"/>
        <b/>
        <color theme="1"/>
      </rPr>
      <t xml:space="preserve"> Why this investment matters
</t>
    </r>
    <r>
      <rPr>
        <rFont val="Arial"/>
        <color theme="1"/>
      </rPr>
      <t xml:space="preserve">
  Crossplane reconciliation under KubeVela OAM is now the scaling ceiling for our entire OAM delivery path. Continuous reconcile loops drive EKS API-server load, etcd pressure, and AWS rate-limit breaches — which
  today caps tenant density per cluster and intermittently stalls provisioning. Because OAM is the delivery mechanism for BYOA, Nova, Polaris, and Asteroids, this is not an infra detail — it directly constrains
  onboarding velocity and the revenue tied to those initiatives. Tuning has bought headroom but not a new ceiling; the cause is structural, so the fix must be too.
  The proposal: a reconciliation-profile split behind an unchanged OAM contract — keep Crossplane for low-frequency, composition-heavy resources; adopt ACK for high-frequency AWS-native primitives. Developers see
  no change; only the controller behind the abstraction changes.
</t>
    </r>
    <r>
      <rPr>
        <rFont val="Arial"/>
        <b/>
        <color theme="1"/>
      </rPr>
      <t xml:space="preserve"> What success looks like
</t>
    </r>
    <r>
      <rPr>
        <rFont val="Arial"/>
        <color theme="1"/>
      </rPr>
      <t xml:space="preserve">- AWS throttle events on migrated resource classes
- Tenants safely onboarded per cluster
- Avoiding Provisioning stalls from reconcile/throttle, achieve near zero. 
- EKS API-server &amp; etcd load as resources scale yo sub-liner level and no degratation of performance
- Throttle-firefighting toil across Pods and achieve near zero steady state
- No change in OAM, no migration asked of tenants. We manage scalability of platform with plug-in of controllers with no change to developers or tenants or customers. 
</t>
    </r>
    <r>
      <rPr>
        <rFont val="Arial"/>
        <b/>
        <color theme="1"/>
      </rPr>
      <t xml:space="preserve">  What needle it moves
</t>
    </r>
    <r>
      <rPr>
        <rFont val="Arial"/>
        <color theme="1"/>
      </rPr>
      <t xml:space="preserve">
  - Revenue / onboarding velocity — raises the per-cluster tenant ceiling that today gates BYOA and Asteroids; converts deferred onboarding into recognized revenue.
  - Reliability / SLA — removes the leading structural cause of provisioning stalls, shifting us from reactive throttle-tuning to a predictable provisioning SLA.
  - Engineering leverage — returns recurring firefighting toil to roadmap capacity.
  - Strategic optionality — Crossplane is the reconciliation layer for the whole OAM strategy; removing this single ceiling unblocks Nova, Polaris, and every future OAM adopter at once.</t>
    </r>
  </si>
  <si>
    <r>
      <rPr/>
      <t xml:space="preserve">Reference: </t>
    </r>
    <r>
      <rPr>
        <color rgb="FF1155CC"/>
        <u/>
      </rPr>
      <t>https://guidewire.slack.com/archives/G01CVBB1K16/p1776268926217409</t>
    </r>
    <r>
      <rPr/>
      <t xml:space="preserve"> </t>
    </r>
  </si>
  <si>
    <r>
      <rPr/>
      <t xml:space="preserve">PrivateLink Ingress Self Service - </t>
    </r>
    <r>
      <rPr>
        <color rgb="FF1155CC"/>
        <u/>
      </rPr>
      <t>https://guidewireconfluence.atlassian.net/wiki/spaces/ORANGE/pages/3406168190/PrivateLink+Ingress+Self-Service+-+One+Pager</t>
    </r>
  </si>
  <si>
    <t>OAM Adoption and Integration with BYOA, Nova, Polaris</t>
  </si>
  <si>
    <r>
      <rPr>
        <rFont val="Arial"/>
        <b/>
        <color theme="1"/>
      </rPr>
      <t xml:space="preserve"> Why this investment matters
</t>
    </r>
    <r>
      <rPr>
        <rFont val="Arial"/>
        <color theme="1"/>
      </rPr>
      <t xml:space="preserve">
  OAM will be the common application-delivery flow for our Platform — but its value is realized only when the initiatives that depend on it actually deliver through it rather than around it. Today BYOA, Nova, and Polaris each
  sit at a different point on the adoption curve: each carries some volume of bespoke deployment glue, direct-to-Crossplane wiring, or rolled via TF paths that bypass the OAM abstraction. Every one of those bypasses is a parallel
  surface we own forever — duplicated infra logic, divergent encryption/backup/tagging defaults, and an onboarding experience that differs per initiative instead of being uniform.
  The cost of partial adoption compounds. Each initiative that integrates halfway forces the platform team to support both the OAM path and its bespoke escape hatch, which dilutes the leverage OAM was built to create: define a capability once
  (EFS OAM, S3 OAM, a ComponentDefinition) and every adopter inherits it. Fragmented adoption also fragments the security and FinOps story — encryption posture, object-lock, DR replication, and chargeback tagging only hold platform-wide if they
  flow through one contract. This is not a per-initiative integration detail; it is the question of whether OAM becomes the single load-bearing abstraction or one of several competing ones.
</t>
    </r>
    <r>
      <rPr>
        <rFont val="Arial"/>
        <b/>
        <color theme="1"/>
      </rPr>
      <t xml:space="preserve">  What success looks like
</t>
    </r>
    <r>
      <rPr>
        <rFont val="Arial"/>
        <color theme="1"/>
      </rPr>
      <t xml:space="preserve">
  - BYOA, Nova, and Polaris workloads provisioned exclusively through the OAM contract — bespoke deployment glue and direct-to-controller wiring retired to near zero.
  - Time-to-onboard a new initiative or tenant onto OAM drops to a golden-path, days-not-quarters motion — no per-initiative platform engineering.
  - One uniform posture for encryption, backup/restore, DR, object-lock, and FinOps tagging across all three initiatives, inherited from OAM defaults rather than re-implemented per adopter.
  - Single supported delivery surface — platform team maintains the OAM path only, not OAM plus N escape hatches.
  - New platform capabilities (a ComponentDefinition, an XRD, a storage integration) reach all adopters simultaneously the moment they ship to the OAM library.
  - Zero contract-breaking changes asked of adopters during integration — migration complexity is absorbed at the platform layer.
</t>
    </r>
    <r>
      <rPr>
        <rFont val="Arial"/>
        <b/>
        <color theme="1"/>
      </rPr>
      <t xml:space="preserve">  What needle it moves
</t>
    </r>
    <r>
      <rPr>
        <rFont val="Arial"/>
        <color theme="1"/>
      </rPr>
      <t xml:space="preserve">
  - Revenue / onboarding velocity — converts OAM from an available abstraction into the default one for BYOA, Nova, and Polaris, collapsing per-initiative onboarding cost and turning deferred adoption into recognized capacity.
  - Reliability / SLA — a single delivery surface with uniform defaults removes the divergence (drifting encryption, inconsistent backup, ad-hoc tagging) that turns into incidents and audit findings; posture becomes guaranteed-by-contract
  instead of verified-per-initiative.
  - Engineering leverage — retiring bespoke deployment paths returns the recurring cost of maintaining N parallel surfaces to roadmap capacity; capabilities are built once and inherited everywhere.
  - Strategic optionality — proving full adoption across three flagship initiatives makes OAM the unambiguous integration point for every future adopter (Asteroids and beyond), so the next initiative onboards onto a hardened path instead of
  negotiating a fresh integration.</t>
    </r>
  </si>
  <si>
    <t xml:space="preserve">This was part of FY26 VPMOM and needle did not move because of other high priority initiatives </t>
  </si>
  <si>
    <t>Cluster Infrastructure Abstraction</t>
  </si>
  <si>
    <t>Larry Owen</t>
  </si>
  <si>
    <r>
      <rPr>
        <rFont val="Arial"/>
        <color theme="1"/>
      </rPr>
      <t xml:space="preserve">Cluster Infrastructure Abstraction for ATMOS using KubeVela OAM
</t>
    </r>
    <r>
      <rPr>
        <rFont val="Arial"/>
        <b/>
        <color theme="1"/>
      </rPr>
      <t xml:space="preserve">Why this investment matters
</t>
    </r>
    <r>
      <rPr>
        <rFont val="Arial"/>
        <color theme="1"/>
      </rPr>
      <t xml:space="preserve">
The OAM `Application` path assumes the cluster already exists. Everything beneath it — VPC/EKS, CNI/ingress, security, observability — is duct-taped with Terraform, Helm, GitOps, and scripts, with no model for composition, ownership, or safe rollout. That seam is where fleet growth stalls: every new cluster for Atmos or Tenants or Asteroids is hand-assembled, and infra changes hit the whole fleet at once. The cause is structural, so the fix must be too.
The proposal: model cluster infrastructure in OAM — a `Cluster`, team-owned `ClusterPlane`s, versioned `ClusterBlueprint`s, and a `ClusterRolloutStrategy` with health gates and auto-rollback. Provisioning is delegated to controllers. Developers see no change; the hub becomes one pane of glass for the fleet.
</t>
    </r>
    <r>
      <rPr>
        <rFont val="Arial"/>
        <b/>
        <color theme="1"/>
      </rPr>
      <t xml:space="preserve">What success looks like
</t>
    </r>
    <r>
      <rPr>
        <rFont val="Arial"/>
        <color theme="1"/>
      </rPr>
      <t xml:space="preserve">
- Cluster stand-up moves from scripts to a single declarative blueprint.
- Fleet-wide infra changes roll progressively with auto-rollback — no all-or-nothing applies.
- Networking, security, and observability are owned and versioned by their teams independently.
- No change to the OAM contract; no migration asked of developers or tenants.
</t>
    </r>
    <r>
      <rPr>
        <rFont val="Arial"/>
        <b/>
        <color theme="1"/>
      </rPr>
      <t xml:space="preserve">What needle it moves
</t>
    </r>
    <r>
      <rPr>
        <rFont val="Arial"/>
        <color theme="1"/>
      </rPr>
      <t xml:space="preserve">
-  Revenue / onboarding velocity — repeatable blueprints shorten time-to-first-workload for every new Atmos clusters &amp; tenants.
-  Reliability / SLA  — gated, health-aware rollouts remove a leading cause of fleet-wide infra incidents.
-  Engineering leverage — clear plane ownership ends cluster-layer firefighting; build once, every cluster consumes.
-  Strategic optionality — provisioner-agnostic, so it unblocks adopters and consumers to an one model.</t>
    </r>
  </si>
  <si>
    <t>https://github.com/anoop2811/kubevela/blob/kep-cluster-planes/design/vela-core/kep-cluster-infrastructure.md</t>
  </si>
  <si>
    <t>French Customers asking and DORA which empowers customers to get out of Guidewire with their data. We may have to support it. 
Enable customers on vclusters. ??
or just do this manually?</t>
  </si>
  <si>
    <t>Avondale, Michalowice, Warrior, Ajanta, Brilliant, Bolinas, Sunnyvale</t>
  </si>
  <si>
    <t>Upgrade-readiness automation and ATMOS EKS lifecycle assurance</t>
  </si>
  <si>
    <r>
      <rPr>
        <rFont val="Arial"/>
        <b/>
        <color theme="1"/>
      </rPr>
      <t xml:space="preserve">Adopt AWS EKS upgrade-readiness skill as a pre-upgrade gate for ATMOS
</t>
    </r>
    <r>
      <rPr>
        <rFont val="Arial"/>
        <color theme="1"/>
      </rPr>
      <t xml:space="preserve">
</t>
    </r>
    <r>
      <rPr>
        <rFont val="Arial"/>
        <b/>
        <color theme="1"/>
      </rPr>
      <t xml:space="preserve">  Why this investment matters
</t>
    </r>
    <r>
      <rPr>
        <rFont val="Arial"/>
        <color theme="1"/>
      </rPr>
      <t xml:space="preserve">
  EKS follows AWS's roughly annual release train, and GWCP commits to staying on a supported version — so every bump (1.34 → 1.35 → 1.36 …) lands on the GWCP roadmap regardless of Pod Danville's capacity.
  Today each bump forces a manual per-cluster compatibility review — deprecated APIs, add-on versions, node AMI, workload risks — across all PD environments (scratch, dev, mdev, int, mint, mint2) plus staging,
  all by hand. That review absorbs multiple sprints per cycle, drawn directly from planned Ski release commitments. The blast radius is tenant-visible: a missed deprecated-API call, an undetected add-on
  incompatibility, or an unscanned workload risk (single-replica, missing PDB, missing probe) becomes a post-upgrade incident. And every quarter of delay compounds AWS extended-support pricing and weakens our
  security posture.
  The proposal: adopt aws-samples/sample-eks-upgrade-skill — a read-only Claude Code skill that connects via the EKS MCP server, scans 8 readiness areas, and emits a Markdown report with a 0–100 readiness score
  and pre-filled upgrade commands. Upgrade prep collapses from a multi-sprint manual cycle into one readiness report + a small set of Terraform/Flux PRs. It is strong on core EKS add-ons and deprecated-API scans;
  the known gap is ATMOS NG awareness (OAM Library, Crossplane providers, KubeVela, custom controllers aren't covered out of the box), which we close with a thin ATMOS-specific extension. It pairs with the
  Managed Add-on initiative: that one reduces what needs maintaining each upgrade; this one reduces how long validating the rest takes.
</t>
    </r>
    <r>
      <rPr>
        <rFont val="Arial"/>
        <b/>
        <color theme="1"/>
      </rPr>
      <t xml:space="preserve">  What success looks like
</t>
    </r>
    <r>
      <rPr>
        <rFont val="Arial"/>
        <color theme="1"/>
      </rPr>
      <t xml:space="preserve">
  EKS upgrade readiness becomes a same-sprint automated gate, not a multi-sprint manual effort.
-  Upgrade-readiness review effort per EKS bump from  multi-sprint to same-sprint automated gate
-  Environments reviewed by hand - single or multiple skills run per cluster &amp; scored report.
-  Deprecated-API / add-on incompatibilities reaching prod , caught pre-upgrade by the gate. 
-  Zero Post-upgrade tenant-visible incident.
-  EKS extended-support pricing exposure, avoided and upgrade stau on cadence. 
- ATMOS NG coverage gap (OAM/Crossplane/KubeVela) , closed via ATMOS specific Claude skill scan extension. 
</t>
    </r>
    <r>
      <rPr>
        <rFont val="Arial"/>
        <b/>
        <color theme="1"/>
      </rPr>
      <t xml:space="preserve">  What needle it moves
</t>
    </r>
    <r>
      <rPr>
        <rFont val="Arial"/>
        <color theme="1"/>
      </rPr>
      <t xml:space="preserve">
  - Release-cadence efficiency — turns a non-negotiable, capacity-draining upgrade review into a repeatable automated gate, returning multiple sprints per cycle to planned Ski commitments.
  - Tenant-visible reliability — surfaces deprecated APIs and workload risks (PDBs, probes, replicas) before the bump, removing the leading cause of post-upgrade incidents at multi-cluster scale.
  - AWS cost &amp; security posture — keeps us on supported EKS versions, avoiding extended-support pricing, and feeds deprecated-API/add-on findings straight into the Security Champion's prioritized backlog instead
  of relying on hand-checks under deadline pressure.
  - Compounding leverage — alone it's incremental; together with Managed Add-ons it collapses the entire EKS upgrade cycle from multi-sprint manual work to a same-sprint gate.</t>
    </r>
  </si>
  <si>
    <r>
      <rPr/>
      <t xml:space="preserve">Reference: </t>
    </r>
    <r>
      <rPr>
        <color rgb="FF1155CC"/>
        <u/>
      </rPr>
      <t>https://github.com/aws-samples/sample-eks-upgrade-skill</t>
    </r>
    <r>
      <rPr/>
      <t xml:space="preserve"> </t>
    </r>
  </si>
  <si>
    <r>
      <rPr>
        <rFont val="Roboto, RobotoDraft, Helvetica, Arial, sans-serif"/>
        <color rgb="FF1F1F1F"/>
        <sz val="11.0"/>
      </rPr>
      <t xml:space="preserve">Complete Atmos NG decomposition - </t>
    </r>
    <r>
      <rPr>
        <rFont val="Roboto, RobotoDraft, Helvetica, Arial, sans-serif"/>
        <color rgb="FF1155CC"/>
        <sz val="11.0"/>
        <u/>
      </rPr>
      <t>https://guidewireconfluence.atlassian.net/wiki/x/iQAGyw</t>
    </r>
  </si>
  <si>
    <t>Kanata, Okocim</t>
  </si>
  <si>
    <t>Piotr Flasiński Krzysztof Szczurek</t>
  </si>
  <si>
    <t>Build Time Optimization - Upgrade EC2 machines to reduce build times in TC by 50%</t>
  </si>
  <si>
    <t>Long build times are becoming a major pain point for both customers and Guidewire leadership. Average build times for customer implementations are currently around 40 minutes, with some builds taking up to 3 hours. This is significantly behind market standards and creates a perception that our tooling is outdated, impacting our position as a modern engineering platform.
At the same time, AWS now provides access to much more powerful infrastructure than was available when the current setup was designed. Internal testing showed that upgrading EC2 instance types can reduce build times by 50% or more.
This also creates a strong business opportunity. Faster builds could become part of a “CI/CD Premium Tier,” enabling us to monetize improved pipeline performance. While we already offer features that optimize CI/CD workflows, we previously lacked a strong justification for additional charges. The EC2 upgrade introduces both measurable customer value and higher infrastructure costs, creating a clear rationale for premium pricing.</t>
  </si>
  <si>
    <t>Not Required</t>
  </si>
  <si>
    <t>AI in DevOps - code review assistant, CI/CD assistant</t>
  </si>
  <si>
    <t>Currently Guidewire focus its AI revolution on accelerating Dev experience, while the DevOps experience is being omitted.
Customers are looking for our leadership and guidance in that area, requesting capabilities that can reduce their overall development pipeline time.
Code review assistant and CI/CD assistant can improve reaction time and reduce time spent on manual tasks done today. It impacts developer efficiency, which results in cost savings and shorter time to market.</t>
  </si>
  <si>
    <r>
      <rPr/>
      <t xml:space="preserve">Enforce constraints around tagging so that we can get better reliable values in our tags to make faster decisions
- Help with cost attribution to L3s + Customers. (SedAi)
- Reduce Toil in attributing container vulns in Shared AWS accounts byt allowing Security to directly reach out to the teams. 
- Identify orphan resources and clean up. 
Some scope - </t>
    </r>
    <r>
      <rPr>
        <color rgb="FF1155CC"/>
        <u/>
      </rPr>
      <t>https://guidewireconfluence.atlassian.net/wiki/spaces/CCS/pages/2211315756/rfc-96+Less+Intrusive+AWS+Tagging+Value+Management</t>
    </r>
  </si>
  <si>
    <t>CI/CD Management Center</t>
  </si>
  <si>
    <t>Problem: 
Scattered Information = Missing Context -&gt; It's hard for customers to map existing CI/CD features for a tailored solution.
Context Switching Increases Complexity -&gt; Triaging in case of errors takes a long time as existing experiences is scattered across different tools.
Missing Pieces -&gt; We provide "huge chunks" of CI/CD, but customers have features gaps in details between them.
Solution:
Unified view (or AI?) allowing customers to track status of CI/CD changes, quickly triage in case of issues, and configure their own CI/CD experience in a simple way (similar to PrC visual flow)</t>
  </si>
  <si>
    <t>TBD (TDC PgM)</t>
  </si>
  <si>
    <t>Canary Relases for InsuranceSuite</t>
  </si>
  <si>
    <r>
      <rPr>
        <rFont val="Arial"/>
      </rPr>
      <t xml:space="preserve">Platform Scalability and Limits Management
Kubernetes Quotas. Visibility on resource limits
- AWS limits
- K8s limits
- First, provide visibility on resource limits.
- Alerts on reaching specific limits
See mainly </t>
    </r>
    <r>
      <rPr>
        <rFont val="Arial"/>
        <color rgb="FF1155CC"/>
        <u/>
      </rPr>
      <t>https://guidewireconfluence.atlassian.net/wiki/spaces/CCS/pages/3383855607/Full+Kit+Pod+Allocation+Limits+Tracking+and+Growth+Mechanism+for+Platform+Scalability#Pod-reference-(subset)</t>
    </r>
    <r>
      <rPr>
        <rFont val="Arial"/>
      </rPr>
      <t xml:space="preserve">
and for K8s 
</t>
    </r>
    <r>
      <rPr>
        <rFont val="Arial"/>
        <color rgb="FF1155CC"/>
        <u/>
      </rPr>
      <t>https://guidewireconfluence.atlassian.net/wiki/spaces/CCS/pages/2268070095/rfc-106+WIP+Kubernetes+Object+Quotas</t>
    </r>
  </si>
  <si>
    <t>Lack of canary releases support is considered as a setback for many customers. They have to invest into their own workaround using 3rd party tooling (e.g. Launch Darkly) to allow themselves with segmented deployments.
Supporting canary releases out of the box can ease their experience, improve satisfaction and allow for cost savings.</t>
  </si>
  <si>
    <t>Danville, Vulcan, Kanata</t>
  </si>
  <si>
    <t>Piotr Flasiński Krzysztof Szczurek Marta Zawadzka</t>
  </si>
  <si>
    <t>Bring-Your-Own Application (Asteroids) EA and GA</t>
  </si>
  <si>
    <t xml:space="preserve">
</t>
  </si>
  <si>
    <t>Even though customers seems reluctant to use Asteroids, there is a common theme of those conversations - prove it before I use it. Early Access program seems to be the best way to validate our assumptions in practise.
At the same time we have other factors that justify high investment in Asteroids: 
-There are multiple internal use-cases.
-Professional Services and Solution Consulting members are expressing interest - Asteroids are going to ease cloud migration conversations, enabling customers with an environment to host their legacy workloads, or customized apps requested in the contract (PZU case).
-Huge interest expressed by SI partners and Solution Vendors.
-Three customers potentially interested in the EA (Hartford - the most interested one, Hollard, PZU (via PS)).
Early Access with a success story of any of the above parties, can bring us a strong leverage in conversations with other customers in the future. If Asteroids succeeds, it has the potential to become a significant long-term revenue opportunity for the company.</t>
  </si>
  <si>
    <t>No immediate date commitment</t>
  </si>
  <si>
    <r>
      <rPr/>
      <t xml:space="preserve">Isolation: infra, Authn/Z/Security for AI Workload
Danville: Ephemeral Sandbox container
Sausalito/Brilliant: Agent Identity: SPIFFE/SPIRE
Moose Factory/Guard: Agent permissions. Agent flow/context aware?
See </t>
    </r>
    <r>
      <rPr>
        <color rgb="FF1155CC"/>
        <u/>
      </rPr>
      <t>https://docs.google.com/presentation/d/1pRkuttB-V-_8tf1UxfYV54GU73KUFaXArxjGBKg_SO0/edit?slide=id.g3d2583366a7_0_348#slide=id.g3d2583366a7_0_348</t>
    </r>
  </si>
  <si>
    <r>
      <rPr>
        <color rgb="FF1F1F1F"/>
      </rPr>
      <t xml:space="preserve">Dependencies - </t>
    </r>
    <r>
      <rPr>
        <color rgb="FF1155CC"/>
        <u/>
      </rPr>
      <t>https://guidewireconfluence.atlassian.net/wiki/spaces/CCS/pages/2430402590/BYOA+-+EA+GA+Deliverables+to+be+reviewed+in+Jan+2026</t>
    </r>
  </si>
  <si>
    <t>Colum O'Reilly</t>
  </si>
  <si>
    <t>1HS (One HS) || Diego
 "I would like LHS and RHS merge and overall cluster reduction by 50% (reduction of the projected #of cluster end of Fy27)"</t>
  </si>
  <si>
    <t>Improving Planet Lifecycle Experience — New Offerings &amp; Self-Service Enhancements</t>
  </si>
  <si>
    <r>
      <rPr>
        <rFont val="Arial"/>
        <color theme="1"/>
      </rPr>
      <t xml:space="preserve">The current planet provisioning, deprovisioning, and update flows do not fully reflect the needs and expectations gathered from PPP customers in production. In FY27 we plan to 
</t>
    </r>
    <r>
      <rPr>
        <rFont val="Arial"/>
        <b/>
        <color theme="1"/>
      </rPr>
      <t xml:space="preserve">deliver key improvements: </t>
    </r>
    <r>
      <rPr>
        <rFont val="Arial"/>
        <color theme="1"/>
      </rPr>
      <t>including Performance Planet self-service, one-click planet deprovisioning, public APIs for planet provisioning and deprovisioning, new planet types, and planet updates
 — making this the right moment to revisit and improve the end-to-end lifecycle experience to support both existing and new offerings from the start. 
Beyond PPP self-service customers, the goal is to unify the experience across GGS and Support teams
 — ensuring a consistent, streamlined process regardless of how the planet lifecycle is managed. 
Acting on this will reduce friction in day-to-day platform operations, minimize support interrupts caused by unintuitive workflows, and ensure the platform meets the standard expected from a mature, self-service cloud product. 
Improving these flows is foundational to enabling customers to operate independently and confidently on GWCP.</t>
    </r>
  </si>
  <si>
    <t>Cross team dependencies: ISDO, IG, CDA, IG other, Self-Service RDS</t>
  </si>
  <si>
    <t>James Dobson Larry Owen</t>
  </si>
  <si>
    <t>MG OR New TDC pgM</t>
  </si>
  <si>
    <t xml:space="preserve">Guard Complete Roll out to all LHS Services </t>
  </si>
  <si>
    <t>Why - AD groups in LHS service are broad based, opaque and static disallowing customers to shape their access management as they please 
Cost Of Delay - LM Go-Live , Fine grained access is a security prerequiste to onboard any Big customer, 
Dependency - 
all LHS service need to onboard
we need Otel for streaming Guard audit logs to customer
we need an entitlement service to enforce entitlement in Guard
 Why this investment matters
  Coarse AD/Okta groups force customers to accept Guidewire's access model rather than their own, and require Guidewire to whitelist groups for every change. Guard shifts ownership to the customer: self-serve roles and assignments, least-privilege by design, real-time authorization decisions instead of static group membership at login, and clean integration with Idp/IGA tooling (e.g., Omada). It also eliminates the bloated JWT tokens that group sprawl produces today. Without fine grained access Tier 1 customers would be reluctant to onboard to GWCP as demonstrated by LM
  What success looks like
  - Customers define and manage their own fine-grained roles and assignments, scoped to the correct tenant/Star context.
  - Full coverage across LHS services — no app left on AD groups.
  - A defensible, customer-visible audit trail answering "who changed what, and when?"
  - Fine-grained access in place as a satisfied security prerequisite for large-customer go-lives.
  What needle it moves
  - Unblocks Liberty Mutual and other large-enterprise go-lives.
  - Reduces standing-access risk via least-privilege and context-aware authorization.
  - Removes Guidewire from the loop for routine access changes, lowering OpEx.
  - Raises the platform's security and self-service baseline to enterprise-SaaS standards.</t>
  </si>
  <si>
    <t>1st April - Evergreen Go-Live</t>
  </si>
  <si>
    <r>
      <rPr/>
      <t xml:space="preserve">AWS Service Network Isolation ("AWS Resources – Tenant Isolation" in Proposals tab)
</t>
    </r>
    <r>
      <rPr>
        <color rgb="FF1155CC"/>
        <u/>
      </rPr>
      <t>https://guidewireconfluence.atlassian.net/wiki/spaces/ORANGE/pages/3405087212/AWS+Service+Tenant+Network+Isolation+-+One+Pager</t>
    </r>
    <r>
      <rPr/>
      <t xml:space="preserve">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</si>
  <si>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</si>
  <si>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 xml:space="preserve">SCIM Based User Provisioning in IS 
Conditionally Approved: Only what is needed for Liberty Mutual. Everything else is optional. </t>
  </si>
  <si>
    <t>Why: Provisioning and deprovisioning of Insurance Suite users today is manual or bespoke per customer — operationally expensive at enterprise scale, error-prone, and routinely flagged in customer security audits for orphaned accounts and delayed deprovisioning. SCIM 2.0 brings IS in line with the industry-standard identity automation contract every enterprise IdP (Okta, Entra ID, Ping) already speaks, allowing customer IT teams to drive IS user lifecycle directly from their source of truth with zero Guidewire involvement. This is a foundational capability customers already expect from any cloud admin system.
Cost of Delay - Deferred Go-Live - each customer has to buitl its own batch jobs to conenct with IS. Deffered potential revenue, customers already pay Sailpoint connector to solve this problem, meaning we have a monetization opportunity
Dependency - IS team support while evoking cloud apis
  Why this investment matters
Currently customers have to manually write a glue code to bridge identities in their IdP and IS or use third party Saas Connectors like Sailpoint. Since our SCIM Connect service already serves as a conduit between customer IdP and GWCP customers would prefer to user Guidewire native solution rather than third party connectors
  What success looks like
  - Customer can control all access management from their Idp without writing any glue code.
  - Identity data stays synchronized across systems with no manual reconciliation.
  - Reduced reliance on third-party provisioning licensing.
  What needle it moves
  - Closes the de-provisioning security gap that blocks large-customer onboarding.
- Reduces time to onboard a new customer as customer need not write any glue code or batch job
  - Cuts cost via native SCIM instead of third-party enterprise licensing for customer.
  - Reduces administrative overhead and access-drift risk across systems.
  - Meets enterprise compliance expectations (SOC 2, ISO 27001) for identity lifecycle controls.</t>
  </si>
  <si>
    <t>LM is asking for this feature for 1st April Evergreen but dates are open for negotiation as LM already has a Sailpoint Connector that does the same job. But LM would prefer SCIM Conenct to do thsi job</t>
  </si>
  <si>
    <t xml:space="preserve">Why: Onboarding a customer's identity provider (Okta, Entra ID, Ping) into Guidewire Cloud is a high-touch, GGS - led engagement today — measured in weeks per environment, per tenant. Customers expect modern SaaS-grade self-service: register an IdP, validate metadata, configure attribute mapping, test SSO, and promote to production without filing a ticket. Self-Serve IdP delivers parity with the configuration experience customers already have with every other strategic SaaS vendor in their stack, and removes Guidewire as a bottleneck on the critical path to Go-Live.
Cost of Delay: IdP setup sits on the critical path for every new customer Go-Live and every new tenant/digital app provisioned for an existing customer — current cycle time directly extends time-to-revenue and time-to-value, and deferred Go-Lives translate to deferred subscription revenue recognition (quantifiable per-tenant via the PS / CloudOps hour rates currently absorbed by Guidewire). Multiple Tier-1 accounts have escalated manual IdP setup as a Cloud experience gap making this a credibility issue with the customers we most depend on for reference and renewal. Continued reliance on ticket-driven IdP configuration also caps the number of customers we can onboard in parallel, putting astructural ceiling on bookings velocity in H2.
Why this investment matters
  Self-serve SSO is now a baseline expectation, not a differentiator. Requiring a support ticket for standard SAML setup reads as legacy friction. This initiative abstracts the GitOps/TeamCity flow into a product feature — a guided wizard for metadata exchange, attribute/group mapping, a sandbox "Test Connection" step— shifting Guidewire from a "managed service" feel to a true cloud-platform experience and moving certificate/PII handling to a secure UI.
  What success looks like
  - Time to configure an IdP: 3–5 days → under 30 minutes.
  - GGS touchpoints per IdP: 4 → 0 (≈95% of IdP onboarding tickets eliminated).
  - Configuration error rate: &lt;1% via system validation.
  - Measurable onboarding CSAT lift (target +15%).
  - Customer admins self-manage federation lifecycle (test, activate, certificate renewal, decommission).
  What needle it moves
  - Accelerates time-to-value and removes a recurring onboarding bottleneck for enterprise go-lives.
  - Reduces OpEx by eliminating the bulk of IdP onboarding tickets and freeing GGS capacity.
  - Reduces liability by moving PII/certificate handling out of email into a secure, validated UI.
  - Closes the competitive gap to enterprise-SaaS self-serve SSO expectations.
</t>
  </si>
  <si>
    <t>Okocim, Tymbark, Zakopane, Brilliant, Bandipur, Sausalito, Solina</t>
  </si>
  <si>
    <t>Amrutha Srinivas Łukasz Makowski</t>
  </si>
  <si>
    <t>Check if Contractual ? Can we local</t>
  </si>
  <si>
    <r>
      <rPr/>
      <t xml:space="preserve">IP Allowlist on App level </t>
    </r>
    <r>
      <rPr>
        <color rgb="FF1155CC"/>
        <u/>
      </rPr>
      <t>https://guidewireconfluence.atlassian.net/wiki/x/s4ETyw</t>
    </r>
  </si>
  <si>
    <t>Michałowice</t>
  </si>
  <si>
    <t>CR-DR Nov 2026 in Prod</t>
  </si>
  <si>
    <t>Liberty Contractual commitment 2026</t>
  </si>
  <si>
    <t>Maciej Grzegorczyk</t>
  </si>
  <si>
    <t>Amrutha Srinivas Ram Subramanian</t>
  </si>
  <si>
    <r>
      <rPr>
        <rFont val="Arial"/>
        <strike/>
        <color theme="1"/>
      </rPr>
      <t xml:space="preserve">CR-DR Nov LM Demo - Universal URL for PL Ingress
</t>
    </r>
    <r>
      <rPr>
        <rFont val="Arial"/>
        <b/>
        <strike val="0"/>
        <color rgb="FF0000FF"/>
      </rPr>
      <t>(Part of CRDR initiative)</t>
    </r>
  </si>
  <si>
    <t>Why: 
- Customer commitment (LM, Hartford, etc)
- This will eliminate the manual switching of the PL on the customer side when GW fails over from the primary to the DR region.</t>
  </si>
  <si>
    <t>Local Initiative</t>
  </si>
  <si>
    <t>Amrutha Srinivas</t>
  </si>
  <si>
    <t>CR-DR - NPE</t>
  </si>
  <si>
    <t>Liberty commitment in 2028</t>
  </si>
  <si>
    <t>Dependency on Piotr Domider Storage Service Pod</t>
  </si>
  <si>
    <t>Maybe leave but down</t>
  </si>
  <si>
    <r>
      <rPr>
        <rFont val="Arial"/>
        <strike/>
        <color theme="1"/>
      </rPr>
      <t xml:space="preserve">CR-DR GA - SMS to Helio Migration Automation
</t>
    </r>
    <r>
      <rPr>
        <rFont val="Arial"/>
        <strike val="0"/>
        <color rgb="FF0000FF"/>
      </rPr>
      <t xml:space="preserve">
</t>
    </r>
    <r>
      <rPr>
        <rFont val="Arial"/>
        <b/>
        <strike val="0"/>
        <color rgb="FF0000FF"/>
      </rPr>
      <t>(Part of CRDR initiative)</t>
    </r>
  </si>
  <si>
    <t xml:space="preserve">Why:
- Secrets are globally replicated in Helios, required for CR-DR failover to function </t>
  </si>
  <si>
    <t>Dependency on Łukasz Makowski pod</t>
  </si>
  <si>
    <t xml:space="preserve">means to end - under Maintenance </t>
  </si>
  <si>
    <t>Warrior, Brilliant</t>
  </si>
  <si>
    <t>OAM Adoption and Integration with Nova, Polaris
Aurora Cluster OAM components (IS adoption)</t>
  </si>
  <si>
    <r>
      <rPr>
        <rFont val="Arial"/>
        <strike/>
        <color theme="1"/>
      </rPr>
      <t xml:space="preserve">CR-DR GA - IS Read Replica from the DR Region
</t>
    </r>
    <r>
      <rPr>
        <rFont val="Arial"/>
        <b/>
        <strike val="0"/>
        <color rgb="FF0000FF"/>
      </rPr>
      <t>(Part of CRDR initiative)</t>
    </r>
  </si>
  <si>
    <t xml:space="preserve">Why:
- Customer commitment (LM, Hartford)
- This allows customers to continue to power IS data for their own data products </t>
  </si>
  <si>
    <t>Falgo Francis</t>
  </si>
  <si>
    <t>Dependency on Ram Subramanian Piotr Domider Pod</t>
  </si>
  <si>
    <t>move under CRDR</t>
  </si>
  <si>
    <t>Gowtham S (lead), Piotr Domider (Aurora)</t>
  </si>
  <si>
    <t>DR support for MSK and MSK Admin(IAM authentication )</t>
  </si>
  <si>
    <r>
      <rPr>
        <rFont val="Arial"/>
        <strike/>
        <color theme="1"/>
      </rPr>
      <t xml:space="preserve">CR-DR GA - IS Snapshot Export from the DR Region
</t>
    </r>
    <r>
      <rPr>
        <rFont val="Arial"/>
        <strike val="0"/>
        <color rgb="FF0000FF"/>
      </rPr>
      <t>(</t>
    </r>
    <r>
      <rPr>
        <rFont val="Arial"/>
        <b/>
        <strike val="0"/>
        <color rgb="FF0000FF"/>
      </rPr>
      <t>Part of CRDR initiative)</t>
    </r>
  </si>
  <si>
    <t>Why:
- Customer commitment (LM, Hartford)
- This allows customers to continue taking core data snapshots as they run core business from the new DR region</t>
  </si>
  <si>
    <t>Sreejith Rajashekaran (lead), Jan Ćwik (Aurora)</t>
  </si>
  <si>
    <r>
      <rPr>
        <rFont val="Arial"/>
        <strike/>
        <color theme="1"/>
      </rPr>
      <t xml:space="preserve">Hub automated recovery
</t>
    </r>
    <r>
      <rPr>
        <rFont val="Arial"/>
        <b/>
        <strike val="0"/>
        <color rgb="FF0000FF"/>
      </rPr>
      <t>(Part of CRDR initiative)</t>
    </r>
  </si>
  <si>
    <t>Why:
- We lack an automated system for backing up and recovering our hub clusters.
What:
- We have an RFC!
Cost of not doing it:
- Our three hubs in AMER, EMEA, and APAC are set up in a criss-cross configuration. For example, the EMEA hub manages AMER0/AMER1 spoke clusters. All customer workloads, including IS, IG, and Jutro, run through the hub cluster. If the hub cluster fails, customer deployments will also fail. Therefore, we need an immediate recovery solution for the hub clusters.</t>
  </si>
  <si>
    <r>
      <rPr>
        <rFont val="Arial"/>
        <strike/>
        <color theme="1"/>
      </rPr>
      <t xml:space="preserve">CR-DR Self-Serve Testing
</t>
    </r>
    <r>
      <rPr>
        <rFont val="Arial"/>
        <b/>
        <strike val="0"/>
        <color rgb="FF0000FF"/>
      </rPr>
      <t>(Part of CRDR initiative)</t>
    </r>
  </si>
  <si>
    <t>Reason:
- The customer intends to perform a regular failover test to confirm their ability to switch over during an actual disaster and to verify that their integration endpoints are working correctly to ensure a successful failover with GW.
- If this process isn't self-serve, it will be handled by Guidewire to initiate the failover, making us responsible.
- As long as our Failover system functions flawlessly 100% of the time for GW workload, our main goal is to determine how to safely expose the orchestration to the customer.
Note:
 No contractual commitment
Only limited to the single-tenant RHS workloads</t>
  </si>
  <si>
    <t xml:space="preserve">Quinton McCombs </t>
  </si>
  <si>
    <t>Mostly Vulcan to enable Orchestration from GH</t>
  </si>
  <si>
    <t>Finish TMD</t>
  </si>
  <si>
    <t xml:space="preserve">Not lose sight </t>
  </si>
  <si>
    <t>Resolve the LHS cluster buildout effort and painpoints</t>
  </si>
  <si>
    <t xml:space="preserve">Istio Replacement </t>
  </si>
  <si>
    <t>Why:
- 98 microservices need to be deployed for each new LHS cluster, typically taking about one sprint per service.
- The recent Sculptor cluster build took three months, and there is difficulty coordinating teams for the DR-0 LHS cluster deployment.
- Note: as of now, we dont have any plans to create more Primary LHS clusters, we will provison 4-5 DR LHS clusters.
Hypothesis
- I believe Kubvela, along with hub-based placement, can alleviate some pain points in placing these workloads in new LHS clusters.
- Also, we need to enforce the LHS services owner, these teams, to leverage Kubevela as groundwork to make sure the service deployed manages dependencies via Kubevela and avoid any manual way of configuring what their apps need, etc. 
Cost of not addressing it
- This process will silently reduce the capacity of CCS, the AppPlatform Team, and SRE.
- Note, all CCS services are deployed by PDO not SRE-App</t>
  </si>
  <si>
    <t>-</t>
  </si>
  <si>
    <t>Why not in CY 27, we will develop additional LHS clusters, but they won't require deployment of Services. Additionally, I believe that any merging of LHS and RHS should be postponed until we have clearer understanding.</t>
  </si>
  <si>
    <t>Dynamic creation of the clusters</t>
  </si>
  <si>
    <t>Why:
- We currently create clusters manually for various reasons: when cluster quotas and limits are reached, 
- Or when additional clusters are needed for disaster recovery (DR). For instance, we plan to set up 4-5 LHS DR clusters.
- Manual creation is tedious and time-consuming.
What:
- Having decided to manage quotas and limits, we can now use these parameters to automate the creation of new clusters once limits are hit.
- We utilize OCM to assign workload placement to spoke clusters.
- For example, when a customer or GW developer deploys a workload, the hub is aware of the cluster's limits and can orchestrate the creation of a new cluster to host the workload.
Opportunity loss of not doing it:
- The amount of toil on SRE-Plat is minimal; it’s not significant enough to justify neglecting this automation.</t>
  </si>
  <si>
    <t xml:space="preserve">HA proxy Deprecation </t>
  </si>
  <si>
    <t>Optimize CR-DR related cost for LHS Infrastructure</t>
  </si>
  <si>
    <t>roll up under Okta secrets</t>
  </si>
  <si>
    <t>Reasons:
- Building the necessary infrastructure for CR-DR will create an additional yearly expense of about ~$3.5M.
- This cost mainly comes from setting up new LHS clusters, reserving compute resources, and data replication for LHS services.
Opportunities to consider:
- Spot LHS services that do not handle customer PII data and think about reducing their regional deployment.
- Doing so will cut current costs and help prevent a rise in LHS service expenses for CRDR.
- Currently, we have around 10 LHS clusters, with 98 services deployed 8 times without CRDR.
- With CRDR, services will replicate data, and we will reserve compute in the DR region. 
- The math is straightforward: the fewer regions in which a service is deployed, the less replication and compute reservation are needed for CRDR.
- On Top of that, our PD, SRE-App, will have a lesser number of clusters to maintain the LHS service; this will save significant effort.
Cost of not doing it
- Increased base operational cost for GWCP
- Effort and Pain Points for SRE App and PDO who deploy and maintain these apps across different LHS clusters.</t>
  </si>
  <si>
    <t>This is not a development effort but rather a Program to
- Identify services affecting PII
The only developement would be to provide a tag when services</t>
  </si>
  <si>
    <r>
      <rPr/>
      <t xml:space="preserve">SPIRE
One pager - </t>
    </r>
    <r>
      <rPr>
        <color rgb="FF1155CC"/>
        <u/>
      </rPr>
      <t>https://guidewireconfluence.atlassian.net/wiki/x/foGFz</t>
    </r>
    <r>
      <rPr/>
      <t xml:space="preserve">
RFC - </t>
    </r>
    <r>
      <rPr>
        <color rgb="FF1155CC"/>
        <u/>
      </rPr>
      <t>https://guidewireconfluence.atlassian.net/wiki/spaces/CCS/pages/2259714723/rfc-103+WIP+Helios+and+SPIRE+SPIFFE</t>
    </r>
  </si>
  <si>
    <t xml:space="preserve">SMS To Helios Migration </t>
  </si>
  <si>
    <t xml:space="preserve">under OAM Nova effort </t>
  </si>
  <si>
    <t xml:space="preserve">Only for LHS and OAM adoption fo Polaris. 
So should fold into OAM adoption. Revise Estimates. </t>
  </si>
  <si>
    <r>
      <rPr/>
      <t xml:space="preserve">Postgres OAM – CNPG MVP
</t>
    </r>
    <r>
      <rPr>
        <color rgb="FF1155CC"/>
        <u/>
      </rPr>
      <t xml:space="preserve">https://guidewireconfluence.atlassian.net/wiki/spaces/ORANGE/pages/3404399061/CNPG+OAM+MVP+-+One+Pager
</t>
    </r>
  </si>
  <si>
    <t>Sovereign Observability for our platform</t>
  </si>
  <si>
    <r>
      <rPr>
        <rFont val="Arial"/>
        <color theme="1"/>
      </rPr>
      <t xml:space="preserve">"SCIM Based User Provisioning in IS for Liberty (Liberty is asking for a date on this) 
</t>
    </r>
    <r>
      <rPr>
        <rFont val="Arial"/>
        <color rgb="FFFF0000"/>
      </rPr>
      <t xml:space="preserve">Check if this is a contract or can we skip it? </t>
    </r>
  </si>
  <si>
    <r>
      <rPr>
        <rFont val="Arial"/>
        <b/>
        <color theme="1"/>
      </rPr>
      <t>Why</t>
    </r>
    <r>
      <rPr>
        <rFont val="Arial"/>
        <color theme="1"/>
      </rPr>
      <t xml:space="preserve">
- Eliminate the "Growth Penalty": We need to observe what and how much we want without the "Datadog Tax" looming over every scaling decision. By decoupling our telemetry from a per-host pricing model, we turn observability from a cost center into a utility.
- Unified Visual Sovereignty: Current dashboarding in Datadog is fragmented, forcing teams like TMD and Atmos NG to build custom solutions elsewhere. We need a single, high-fidelity pane of glass that meets our specific engineering requirements—not a one-size-fits-all vendor UI.
- The "Mission Control" Standard: We want our SREs to operate like a NASA Flight Control team—proactive, high-fidelity, and data-driven. We are moving away from "Blind Faith Operations" (hoping the alert fires) to "Continuous Intelligence," where we see system degradation before it becomes a catastrophe.
Economic Realignment: Datadog’s current cost profile is unsustainable for our scale. Moving to an OTel-native stack allows us to pay for value (data stored) rather than inventory (hosts running), significantly increasing our ROI.
</t>
    </r>
    <r>
      <rPr>
        <rFont val="Arial"/>
        <b/>
        <color theme="1"/>
      </rPr>
      <t xml:space="preserve">Cost of not doing it
</t>
    </r>
    <r>
      <rPr>
        <rFont val="Arial"/>
        <color theme="1"/>
      </rPr>
      <t>"Maintaining the status quo isn't free—it carries a hidden tax on our speed and our data."
The Innovation Tax: Every time we scale a spoke cluster or provision an AWS resource via Crossplane, we hit a "growth penalty." This creates a culture of "Cardinality Fear," where developers hesitate to add the logs or metrics essential for debugging because every new tag carries a price tag. This directly stifles our ability to innovate quickly.
Wasted Metadata Capital: We are currently double-paying for infrastructure intelligence. We pay Datadog to "crawl and discover" AWS resources that our Crossplane controllers already manage. By not routing this metadata through OTel to a lower-cost sink, we are essentially rebuying data we already own.
Platform Fragmentation: By staying on a platform that doesn't meet the needs of teams like TMD/Atmos NG, we allow "Shadow Observability" to grow. This leads to siloed data, slower incident response times, and a loss of the centralized "source of truth" required for a mature Hub-Spoke model.</t>
    </r>
  </si>
  <si>
    <t>LM is asking for this feature for 1st April Evergreen but dates are open for negotiation as LM already has a Sailpoint Connector that does the same job. But LM would prefer SCIM Connect to do this job.</t>
  </si>
  <si>
    <t>SkiShield Adoption</t>
  </si>
  <si>
    <t>An LLM or a native model - which has complete context of GWCP</t>
  </si>
  <si>
    <r>
      <rPr>
        <rFont val="Arial"/>
        <b/>
        <color theme="1"/>
      </rPr>
      <t>Why</t>
    </r>
    <r>
      <rPr>
        <rFont val="Arial"/>
        <color theme="1"/>
      </rPr>
      <t xml:space="preserve">
BYOA customers on GWCP lack platform context. When they design or deploy workloads, they don’t know their Galactic hierarchy, what compute options exist, which AWS/OAM resources are available, or what guardrails, policies, and principles apply. They need guided “from first principles” help, not just APIs.
We can provide prescriptive, GWCP-aware guidance at design time. Example: a customer developer wants to process live Claims events to auto-approve or flag for manual review. In the BYOA interface, a GWCP-aware model (scoped to our platform, services, and codebase—not a general LLM) can say:
“For your use case, you need Claims events.”
“You can provision on this Asteroid.”
“Use OAM-Postgres and OAM-Webservice for data and services.”
“For networking, use OAM-Gatewayconfig; if you need IP allowlisting, here’s how to do it.”
This complements, not replaces, customers’ LLMs. Customers can “vibe code” with their own LLMs, but those models don’t know how to do things in GWCP. Our scoped model fills that gap. If we can deliver this without a full LLM, it’s also far more cost-efficient by avoiding token costs.
</t>
    </r>
    <r>
      <rPr>
        <rFont val="Arial"/>
        <b/>
        <color theme="1"/>
      </rPr>
      <t xml:space="preserve">Cost of not doing it
</t>
    </r>
    <r>
      <rPr>
        <rFont val="Arial"/>
        <color theme="1"/>
      </rPr>
      <t xml:space="preserve">
Slower BYOA adoption due to high friction in discovering the “right” GWCP components and patterns.
Lost leverage even internally, as GWCP and app teams won’t have a unified, prescriptive assistant for designing and deploying on the platform.</t>
    </r>
  </si>
  <si>
    <t>Why not in FY27?
- First, let's focus on building Asteroid and validating demand.
- Also, Anoop with a pod in India is exploring local model development, so it's better to wait and see how it shapes up. I will offline share the thoughts with the pod in India</t>
  </si>
  <si>
    <t xml:space="preserve">CSPM Critical and HIgh </t>
  </si>
  <si>
    <t>AI Vulns High and Medium</t>
  </si>
  <si>
    <t>AI Enabled Forecasting &amp; Governance for Platform Usage</t>
  </si>
  <si>
    <r>
      <rPr>
        <rFont val="Arial"/>
        <b/>
        <color theme="1"/>
      </rPr>
      <t>Why</t>
    </r>
    <r>
      <rPr>
        <rFont val="Arial"/>
        <color theme="1"/>
      </rPr>
      <t xml:space="preserve">
Forecasting today is too thin to be trusted. Solaris extrapolates from past usage only — useless for new PPP customers and anyone not yet on the full platform. AI-driven forecasting, peer benchmarking, and on-prem-history estimation close that gap.
Turns Solaris from a reporting tool into a governance product. Guardrails, anomaly detection, and scenario planning move Platform Usage from "see what you spent" to "manage what you'll spend" — the level of rigor carriers already apply to claims reserves.
Directly drives PPP retention and upsell. Predictable Credit budgets reduce churn risk and billing disputes; scenario planning and benchmarking surface upsell opportunities inside the tool customers already trust.
</t>
    </r>
    <r>
      <rPr>
        <rFont val="Arial"/>
        <b/>
        <color theme="1"/>
      </rPr>
      <t xml:space="preserve">Cost of not doing
</t>
    </r>
    <r>
      <rPr>
        <rFont val="Arial"/>
        <color theme="1"/>
      </rPr>
      <t xml:space="preserve">
Missed upsell. No scenario planning or peer benchmarking means the dashboard never surfaces the "you could be doing more" signal — leaving expansion revenue on the table.
Trust erosion. Customers continue to escalate forecast accuracy complaints; billing disputes recur each renewal cycle.
Higher TAM/CS support load. Forecast questions and surprise overages keep flowing to humans instead of being answered self-service in the product.</t>
    </r>
  </si>
  <si>
    <r>
      <rPr>
        <rFont val="Arial"/>
        <color theme="1"/>
      </rPr>
      <t xml:space="preserve">Atlas as a System of Record for Stars
</t>
    </r>
    <r>
      <rPr>
        <rFont val="Arial"/>
        <b/>
        <color rgb="FF0000FF"/>
      </rPr>
      <t>(May get done via Immutable ID)</t>
    </r>
  </si>
  <si>
    <r>
      <rPr>
        <rFont val="Arial"/>
        <b/>
        <color theme="1"/>
      </rPr>
      <t xml:space="preserve">Problem: </t>
    </r>
    <r>
      <rPr>
        <rFont val="Arial"/>
        <color theme="1"/>
      </rPr>
      <t xml:space="preserve">Tenant v3 reframes the Star as the engineering primitive of GWCP. The tenant remains a legal/data-sovereignty envelope (one buying entity, one Isolation Zone) - but every operational property of the platform hangs off the Star, not the tenant:
- Isolation - data, config, PII, and noisy-neighbor protection are enforced at the Star level.
- Provisioning - the ultimate goal is to provision a Star, and the default rule is to provision RHS resources by Star. Tenant becomes a side-effect created when a Star needs it.
- Metering &amp; billing - PPP usage allocation is measured at a minimum per Star.
- DR - tier is set per Star (foundation / basic / premium).
- Hierarchy - Planets (core workloads), Asteroids (3rd-party / customer workloads), and Orbits (DEV/QA/UAT/PREPROD/PROD) all live under a Star. Nothing can be placed without resolving the Star first.
- Addressing - GRNs / deployment IDs embed Star (+ Orbit + IZ).
- Upsell paths - composable 0..N infrastructure per Star (driven by product mix) is what lets a PrC-only carrier later add IS, UC, etc., without re-creating tenancy.
- Today, Atlas and Voyager still treat tenants as primary, so none of those properties is enforceable end-to-end. Architectural alignment has tentatively been reached - Atlas as infrastructure-metadata SoR, Project Service as the Star-provisioning orchestrator.
</t>
    </r>
    <r>
      <rPr>
        <rFont val="Arial"/>
        <b/>
        <color theme="1"/>
      </rPr>
      <t>Proposal:</t>
    </r>
    <r>
      <rPr>
        <rFont val="Arial"/>
        <color theme="1"/>
      </rPr>
      <t xml:space="preserve"> Make Atlas the authoritative SoR for tenants, stars, galaxies, quadrants, isolation zones, orbits, and their relationships - the engineering-primitive store every other service reads from. Reposition Project Service (Pod-Okocim) as the star-provisioning orchestrator - not the SoR. PS keeps the GitHub-Actions / Flux / vCluster choreography, but Star identity, placement (IZ/galaxy/quadrant), and lifecycle events flow from Atlas.
</t>
    </r>
    <r>
      <rPr>
        <rFont val="Arial"/>
        <b/>
        <color theme="1"/>
      </rPr>
      <t>Business value:</t>
    </r>
    <r>
      <rPr>
        <rFont val="Arial"/>
        <color theme="1"/>
      </rPr>
      <t xml:space="preserve">
- Makes Tenant v3's Star-level isolation, metering, billing, and DR-tier properties actually enforceable end-to-end - they cannot hold while Star has two SoRs.
- Foundation for Star-level PPP / FinOps reporting</t>
    </r>
  </si>
  <si>
    <t xml:space="preserve">Fulfillment Service (Voyager dependecy inversion)
Refer to the ask under Glenda. </t>
  </si>
  <si>
    <r>
      <rPr>
        <color rgb="FF1155CC"/>
        <u/>
      </rPr>
      <t xml:space="preserve">Ability to raise audit events/ access logs into logs for system action of interest </t>
    </r>
    <r>
      <rPr/>
      <t xml:space="preserve">
</t>
    </r>
  </si>
  <si>
    <r>
      <rPr>
        <rFont val="Arial"/>
        <b/>
        <color theme="1"/>
      </rPr>
      <t xml:space="preserve">Problem: </t>
    </r>
    <r>
      <rPr>
        <rFont val="Arial"/>
        <color theme="1"/>
      </rPr>
      <t xml:space="preserve">Contract-to-platform handoff is manual and brittle: 56 % provisioning success rate over the last 53 onboardings, ~6-day average lead time, multi-step SRE runbook, revenue leakage from handoff gaps, Salesforce SKUs are opaque (Sunrise is about to fix that); every new product forces core Voyager changes.
</t>
    </r>
    <r>
      <rPr>
        <rFont val="Arial"/>
        <b/>
        <color theme="1"/>
      </rPr>
      <t>Proposal:</t>
    </r>
    <r>
      <rPr>
        <rFont val="Arial"/>
        <color theme="1"/>
      </rPr>
      <t xml:space="preserve"> Pivot from Provisioning → Fulfillment Service with three pillars:
- Unified Entitlements API - Salesforce CPQ → deterministic technical-product plan; three-state model Entitled / Provisioned / Enabled.
- Voyager as thin orchestrator - delegates to Argo Workflows running pluggable, product-team-owned YAML steps.
- Star.Claim/Tenant.Claim - become the abstract/unified and composable contracts, replacing hard-coded Star/Tenant creation.
</t>
    </r>
    <r>
      <rPr>
        <rFont val="Arial"/>
        <b/>
        <color theme="1"/>
      </rPr>
      <t>Business value:</t>
    </r>
    <r>
      <rPr>
        <rFont val="Arial"/>
        <color theme="1"/>
      </rPr>
      <t xml:space="preserve">
- Unblocks 5-day (or less) SLA contract-to-star/tenant-ready and speeds up revenue recognition.
- Enables self-service onboarding of GW products onto the fulfillment orchestration layer.
- Enables marketplace, try-buy/TTL entitlements.
- Platform Excellence target: &lt;10 % provisioning error rate.
- Full composability removes the need for Lightweight vs GWCP Tenancy</t>
    </r>
  </si>
  <si>
    <t>Refer to the note from Glenda under row 76</t>
  </si>
  <si>
    <t>Extract Cassini as a standalone service, federate with Polaris under a shared metadata</t>
  </si>
  <si>
    <r>
      <rPr>
        <rFont val="Arial"/>
        <b/>
        <color theme="1"/>
      </rPr>
      <t>Problem:</t>
    </r>
    <r>
      <rPr>
        <rFont val="Arial"/>
        <color theme="1"/>
      </rPr>
      <t xml:space="preserve"> Cassini runs as endpoints inside the Atlas codebase. Polaris (backstage design-time catalog) and Cassini (runtime discovery) overlap conceptually (service discovery) but operate at different layers. Service metadata is fragmented across Atlas (Cassini) and Polaris.
</t>
    </r>
    <r>
      <rPr>
        <rFont val="Arial"/>
        <b/>
        <color theme="1"/>
      </rPr>
      <t>Proposal:</t>
    </r>
    <r>
      <rPr>
        <rFont val="Arial"/>
        <color theme="1"/>
      </rPr>
      <t xml:space="preserve"> Extract Cassini from Atlas into a standalone microservice and reconcile (deployment cluster-specific / universal fqdns) with Polaris as microservices catalog/metadata SoR.
</t>
    </r>
    <r>
      <rPr>
        <rFont val="Arial"/>
        <b/>
        <color theme="1"/>
      </rPr>
      <t>Business value:</t>
    </r>
    <r>
      <rPr>
        <rFont val="Arial"/>
        <color theme="1"/>
      </rPr>
      <t xml:space="preserve">
- Removes the Atlas single-point-of-coupling.
- Clarifies the catalog-vs-discovery boundary so metadata stops fragmenting.</t>
    </r>
  </si>
  <si>
    <t xml:space="preserve">  LM DR Program</t>
  </si>
  <si>
    <t>Keti DR Readiness for LM DR Support</t>
  </si>
  <si>
    <r>
      <rPr>
        <rFont val="Arial"/>
        <b/>
        <color theme="1"/>
      </rPr>
      <t>Why?</t>
    </r>
    <r>
      <rPr>
        <rFont val="Arial"/>
        <color theme="1"/>
      </rPr>
      <t xml:space="preserve">
This matters because LM DR readiness depends not only on infrastructure DR, but also on Keti being able to support the required identity and platform operations during DR scenarios. If Keti is not validated, the broader LM DR initiative may carry unresolved risk.
</t>
    </r>
    <r>
      <rPr>
        <rFont val="Arial"/>
        <b/>
        <color theme="1"/>
      </rPr>
      <t>Business Need</t>
    </r>
    <r>
      <rPr>
        <rFont val="Arial"/>
        <color theme="1"/>
      </rPr>
      <t xml:space="preserve">
Support the LM DR initiative by proving that Keti can meet required DR expectations, reduce customer/program delivery risk, strengthen recovery confidence, and provide SRE/platform stakeholders with clear evidence that Keti can support LM-related disaster recovery scenarios.
</t>
    </r>
    <r>
      <rPr>
        <rFont val="Arial"/>
        <b/>
        <color theme="1"/>
      </rPr>
      <t>Impact If Ignored</t>
    </r>
    <r>
      <rPr>
        <rFont val="Arial"/>
        <color theme="1"/>
      </rPr>
      <t xml:space="preserve">
If ignored, LM DR readiness may carry unresolved identity-platform risk, Keti-dependent flows may fail or behave unpredictably during DR validation and block other service creation]], SRE may lack clear recovery guidance, customer/program confidence may be impacted, and LM DR signoff could be delayed or weakened.</t>
    </r>
  </si>
  <si>
    <t>Status: In Progress. 
Health: Green.</t>
  </si>
  <si>
    <t>Security Remediation for Cross-Tenant Access Control Hardening</t>
  </si>
  <si>
    <r>
      <rPr>
        <rFont val="Arial"/>
        <b/>
        <color theme="1"/>
      </rPr>
      <t>What?</t>
    </r>
    <r>
      <rPr>
        <rFont val="Arial"/>
        <color theme="1"/>
      </rPr>
      <t xml:space="preserve">
Implement a confidential security fix that reduces cross-tenant access risk by hardening the relevant control points, improving validation and guardrails, closing identified gaps, and ensuring the platform enforces tenant-boundary expectations consistently.
</t>
    </r>
    <r>
      <rPr>
        <rFont val="Arial"/>
        <b/>
        <color theme="1"/>
      </rPr>
      <t>Why?</t>
    </r>
    <r>
      <rPr>
        <rFont val="Arial"/>
        <color theme="1"/>
      </rPr>
      <t xml:space="preserve">
Tenant isolation is a foundational security promise for GWCP, and any weakness in cross-tenant access-control behavior can create material security, compliance, customer-trust, and operational risk.
</t>
    </r>
    <r>
      <rPr>
        <rFont val="Arial"/>
        <b/>
        <color theme="1"/>
      </rPr>
      <t>Business Need</t>
    </r>
    <r>
      <rPr>
        <rFont val="Arial"/>
        <color theme="1"/>
      </rPr>
      <t xml:space="preserve">
Protect customer trust, strengthen GWCP tenant isolation, reduce security exposure, satisfy Security remediation expectations, and ensure platform services continue to meet required access-control and compliance standards.
</t>
    </r>
    <r>
      <rPr>
        <rFont val="Arial"/>
        <b/>
        <color theme="1"/>
      </rPr>
      <t>Impact If Ignored</t>
    </r>
    <r>
      <rPr>
        <rFont val="Arial"/>
        <color theme="1"/>
      </rPr>
      <t xml:space="preserve">
The platform could remain exposed to tenant-isolation risk, customer trust could be impacted, security/compliance obligations may not be met, future incidents could have broader blast radius, and emergency remediation under higher pressure may be required.</t>
    </r>
  </si>
  <si>
    <t>Status: OnHold. 
Health: Red</t>
  </si>
  <si>
    <t>UC / Persistence / App Platform</t>
  </si>
  <si>
    <t>Mithril App 2.0 AuthZ MVP - UC/Persistence</t>
  </si>
  <si>
    <r>
      <rPr>
        <rFont val="Arial"/>
        <b/>
        <color theme="1"/>
      </rPr>
      <t>What?</t>
    </r>
    <r>
      <rPr>
        <rFont val="Arial"/>
        <color theme="1"/>
      </rPr>
      <t xml:space="preserve">
Build and validate the first four agreed thin slices of App 2.0 AuthZ for UC/Persistence, including modeling real principals and resources, creating/storing grants in GADS, enabling Mithril authorization decisions, integrating runtime enforcement points, and proving the MVP path with observable test flows.
</t>
    </r>
    <r>
      <rPr>
        <rFont val="Arial"/>
        <b/>
        <color theme="1"/>
      </rPr>
      <t>Why?</t>
    </r>
    <r>
      <rPr>
        <rFont val="Arial"/>
        <color theme="1"/>
      </rPr>
      <t xml:space="preserve">
App 2.0 needs a scalable, centralized, and consistent authorization foundation instead of each application or service implementing its own authorization logic, grant semantics, and access checks independently.
</t>
    </r>
    <r>
      <rPr>
        <rFont val="Arial"/>
        <b/>
        <color theme="1"/>
      </rPr>
      <t>Business Need</t>
    </r>
    <r>
      <rPr>
        <rFont val="Arial"/>
        <color theme="1"/>
      </rPr>
      <t xml:space="preserve">
Prove that Mithril/GADS can serve as the authorization foundation for App 2.0 by validating the first production-relevant UC/Persistence slices before broader rollout, reducing delivery risk and creating a repeatable pattern for future App 2.0 authorization integrations.
</t>
    </r>
    <r>
      <rPr>
        <rFont val="Arial"/>
        <b/>
        <color theme="1"/>
      </rPr>
      <t>Impact If Ignored</t>
    </r>
    <r>
      <rPr>
        <rFont val="Arial"/>
        <color theme="1"/>
      </rPr>
      <t xml:space="preserve">
UC/Persistence and future App 2.0 teams may continue building fragmented authorization logic, Mithril/GADS adoption may remain unproven, grant models may diverge, runtime enforcement may be inconsistent, and broader App 2.0 authorization rollout may be delayed.</t>
    </r>
  </si>
  <si>
    <t>GADS Admin UI and APIs for App 2.0 AuthZ Operationalization</t>
  </si>
  <si>
    <r>
      <rPr>
        <rFont val="Arial"/>
        <b/>
        <color theme="1"/>
      </rPr>
      <t>What?</t>
    </r>
    <r>
      <rPr>
        <rFont val="Arial"/>
        <color theme="1"/>
      </rPr>
      <t xml:space="preserve">
Deliver the GADS Admin UI and APIs needed for App 2.0 AuthZ teams to view, create, update, manage, audit, and troubleshoot authorization grants, principals, resources, and related configuration without relying on manual database changes or engineering-only workflows.
</t>
    </r>
    <r>
      <rPr>
        <rFont val="Arial"/>
        <b/>
        <color theme="1"/>
      </rPr>
      <t>Why?</t>
    </r>
    <r>
      <rPr>
        <rFont val="Arial"/>
        <color theme="1"/>
      </rPr>
      <t xml:space="preserve">
An authorization platform cannot scale through backend-only MVP flows; product teams, support teams, and platform operators need safe administrative tooling and APIs to manage grants, validate access state, inspect principals/resources, and support customers or internal users confidently.
</t>
    </r>
    <r>
      <rPr>
        <rFont val="Arial"/>
        <b/>
        <color theme="1"/>
      </rPr>
      <t>Business Need</t>
    </r>
    <r>
      <rPr>
        <rFont val="Arial"/>
        <color theme="1"/>
      </rPr>
      <t xml:space="preserve">
Turn Mithril/GADS from an MVP authorization backend into an operationally usable App 2.0 AuthZ platform with administrative workflows, support visibility, API-driven automation, governance controls, and audit evidence.
</t>
    </r>
    <r>
      <rPr>
        <rFont val="Arial"/>
        <b/>
        <color theme="1"/>
      </rPr>
      <t>Impact If Ignored</t>
    </r>
    <r>
      <rPr>
        <rFont val="Arial"/>
        <color theme="1"/>
      </rPr>
      <t xml:space="preserve">
Mithril/GADS may remain difficult to operate beyond early MVP slices, access issues may require engineering investigation or manual intervention, grant administration may be slow and risky, audit visibility may be incomplete, and broader App 2.0 authorization adoption may stall.</t>
    </r>
  </si>
  <si>
    <t>ASAP after MVP Finish</t>
  </si>
  <si>
    <t>This is a significant body of work and is expected to consume the remaining capacity of the Mithril team after the MVP is completed. To maintain focus and delivery confidence, we are not planning to take on additional Mithril work at this time, except for App 2.0 AuthZ and any new work that may come from AppComposite.</t>
  </si>
  <si>
    <t xml:space="preserve"> MSK Team / Architecture</t>
  </si>
  <si>
    <t>Keti Per-IZ Deployment and Event Locality</t>
  </si>
  <si>
    <r>
      <rPr>
        <rFont val="Arial"/>
        <b/>
        <color theme="1"/>
      </rPr>
      <t>What?</t>
    </r>
    <r>
      <rPr>
        <rFont val="Arial"/>
        <color theme="1"/>
      </rPr>
      <t xml:space="preserve">
Deploy Keti as an IZ-local service capability across all required Isolation Zones (instead of Keti Proxies), publish Keti user/group/membership lifecycle events into the local MSK cluster for each IZ, standardize topic naming and schemas, and migrate consumers such as GUARD, Project Service, KADS, and other GWCP services away from cross-IZ Keti event dependencies.
</t>
    </r>
    <r>
      <rPr>
        <rFont val="Arial"/>
        <b/>
        <color theme="1"/>
      </rPr>
      <t>Why?</t>
    </r>
    <r>
      <rPr>
        <rFont val="Arial"/>
        <color theme="1"/>
      </rPr>
      <t xml:space="preserve">
This matters because Keti is becoming a critical identity and access data service for GWCP, but today its deployment topology does not fully align with the GWCP Isolation Zone model, causing cross-IZ MSK dependencies, operational burden, consumer complexity, data-locality concerns, and inconsistent lower-environment behavior.
</t>
    </r>
    <r>
      <rPr>
        <rFont val="Arial"/>
        <b/>
        <color theme="1"/>
      </rPr>
      <t>The Core Problem</t>
    </r>
    <r>
      <rPr>
        <rFont val="Arial"/>
        <color theme="1"/>
      </rPr>
      <t xml:space="preserve">
Keti is not available as a fully independent service in every IZ, so satellite IZs depend on Keti/MSK infrastructure from main IZs, forcing cross-IZ Kafka connectivity and leaking Keti’s deployment topology into downstream consumers.
</t>
    </r>
    <r>
      <rPr>
        <rFont val="Arial"/>
        <b/>
        <color theme="1"/>
      </rPr>
      <t>Business Need</t>
    </r>
    <r>
      <rPr>
        <rFont val="Arial"/>
        <color theme="1"/>
      </rPr>
      <t xml:space="preserve">
Create a scalable, compliant, IZ-aligned identity event architecture that reduces cross-IZ dependencies, simplifies consumer integration, improves operational resilience, supports data-locality expectations, and makes Keti a stronger foundation for downstream authorization and platform services.
</t>
    </r>
    <r>
      <rPr>
        <rFont val="Arial"/>
        <b/>
        <color theme="1"/>
      </rPr>
      <t>Impact If Ignored</t>
    </r>
    <r>
      <rPr>
        <rFont val="Arial"/>
        <color theme="1"/>
      </rPr>
      <t xml:space="preserve">
Every new IZ, MSK cluster, or Keti event consumer will compound cross-IZ complexity, increase operational burden on MSK and Keti teams, create data-locality/compliance challenges, cause more lower-environment inconsistencies, and increase the risk of incident blast radius across IZ boundaries.</t>
    </r>
  </si>
  <si>
    <t>ASAP - DR scenario's may have challenge if not done</t>
  </si>
  <si>
    <t>Status: Not Started. 
Health: Red. 
Important for IZ isolation principles, event locality, consumer simplification, and reducing MSK/SRE operational burden.</t>
  </si>
  <si>
    <t>UAA Replacement MVP using Okta Realms</t>
  </si>
  <si>
    <r>
      <rPr>
        <rFont val="Arial"/>
        <b/>
        <color theme="1"/>
      </rPr>
      <t>What?</t>
    </r>
    <r>
      <rPr>
        <rFont val="Arial"/>
        <color theme="1"/>
      </rPr>
      <t xml:space="preserve">
Validate the first end-to-end UAA Replacement MVP in lower environments by provisioning a test tenant as an Okta Realm through Voyager and Proxy, attaching groups, creating delegated admin access, and proving observability and operational support patterns before production hardening.
</t>
    </r>
    <r>
      <rPr>
        <rFont val="Arial"/>
        <b/>
        <color theme="1"/>
      </rPr>
      <t>Why?</t>
    </r>
    <r>
      <rPr>
        <rFont val="Arial"/>
        <color theme="1"/>
      </rPr>
      <t xml:space="preserve">
This matters because UAA cannot be safely upgraded due to the removal of SAML IdP support, leaving the current UAA version exposed to unpatched vulnerabilities while temporary SAML IdP capability remains required for customer onboarding, demos, upgrades, pen testing, and internal tenant testing.
</t>
    </r>
    <r>
      <rPr>
        <rFont val="Arial"/>
        <b/>
        <color theme="1"/>
      </rPr>
      <t>Business Need</t>
    </r>
    <r>
      <rPr>
        <rFont val="Arial"/>
        <color theme="1"/>
      </rPr>
      <t xml:space="preserve">
Replace the legacy UAA-based temporary IdP capability with a modern, secure, governed, and production-ready Okta Realms-based solution that preserves critical business workflows, reduces security/compliance risk, enables lifecycle governance, and creates a path to fully sunset UAA.
</t>
    </r>
    <r>
      <rPr>
        <rFont val="Arial"/>
        <b/>
        <color theme="1"/>
      </rPr>
      <t>Impact If Ignored</t>
    </r>
    <r>
      <rPr>
        <rFont val="Arial"/>
        <color theme="1"/>
      </rPr>
      <t xml:space="preserve">
If ignored, UAA remains a long-lived security and operational liability, unpatched CVE exposure continues, temporary IdPs may remain active beyond policy, internal and customer use cases may stay mixed, compliance risk increases, and the organization may face business disruption when UAA can no longer be safely supported.</t>
    </r>
  </si>
  <si>
    <t>End of 2026</t>
  </si>
  <si>
    <t>Status: Paused. 
Health: Red
Dependency: Voyager (post Keti work is done)</t>
  </si>
  <si>
    <t>DR Team / BC Team / Architecture</t>
  </si>
  <si>
    <t>Okta Enhanced DR Validation and DR Org Readiness</t>
  </si>
  <si>
    <r>
      <rPr>
        <rFont val="Arial"/>
        <b/>
        <color theme="1"/>
      </rPr>
      <t>What?</t>
    </r>
    <r>
      <rPr>
        <rFont val="Arial"/>
        <color theme="1"/>
      </rPr>
      <t xml:space="preserve">
Validate Okta Enhanced DR readiness end-to-end by creating a separate Okta Org for safe testing, configuring it with required Hub/Keti/Okta settings, migrating DR application details, and confirming that downstream GWCP services and platform functions continue to behave correctly during Okta DR/read-only mode.
</t>
    </r>
    <r>
      <rPr>
        <rFont val="Arial"/>
        <b/>
        <color theme="1"/>
      </rPr>
      <t>Why?</t>
    </r>
    <r>
      <rPr>
        <rFont val="Arial"/>
        <color theme="1"/>
      </rPr>
      <t xml:space="preserve">
This matters because Okta is a critical identity dependency for GWCP, and although the Enhanced DR license has been purchased, the platform has never performed a full annual DR validation to understand real downstream impact, service behavior, operational gaps, and compliance readiness.
</t>
    </r>
    <r>
      <rPr>
        <rFont val="Arial"/>
        <b/>
        <color theme="1"/>
      </rPr>
      <t>The Core Problem</t>
    </r>
    <r>
      <rPr>
        <rFont val="Arial"/>
        <color theme="1"/>
      </rPr>
      <t xml:space="preserve">
The organization has purchased Okta Enhanced DR but has not yet validated how GWCP services, Keti, Hub integrations, application registrations, and downstream platform flows behave when Okta is in DR/read-only mode.
</t>
    </r>
    <r>
      <rPr>
        <rFont val="Arial"/>
        <b/>
        <color theme="1"/>
      </rPr>
      <t>Business Need</t>
    </r>
    <r>
      <rPr>
        <rFont val="Arial"/>
        <color theme="1"/>
      </rPr>
      <t xml:space="preserve">
Ensure GWCP can demonstrate DR compliance, validate identity-platform continuity, reduce production customer risk during DR testing, and build confidence that downstream services can operate correctly when Okta enters DR/read-only mode.
</t>
    </r>
    <r>
      <rPr>
        <rFont val="Arial"/>
        <b/>
        <color theme="1"/>
      </rPr>
      <t>Impact If Ignored</t>
    </r>
    <r>
      <rPr>
        <rFont val="Arial"/>
        <color theme="1"/>
      </rPr>
      <t xml:space="preserve">
GWCP may remain unable to prove Okta DR readiness, real DR events could expose unknown failures in downstream services, annual compliance expectations may not be met, and customer-impacting identity failures could occur during a regional Okta disruption.</t>
    </r>
  </si>
  <si>
    <t xml:space="preserve">ASAP - DR Program team to define a priority/timeline on when this should be done, as this would require a testing effort from multiple teams. </t>
  </si>
  <si>
    <t xml:space="preserve">Status: Not Started. 
Health: Red. </t>
  </si>
  <si>
    <t>Okta Multi-Org Tenant Isolation and Identity Architecture Modernization</t>
  </si>
  <si>
    <r>
      <rPr>
        <rFont val="Arial"/>
        <b/>
        <color theme="1"/>
      </rPr>
      <t>What?</t>
    </r>
    <r>
      <rPr>
        <rFont val="Arial"/>
        <color theme="1"/>
      </rPr>
      <t xml:space="preserve">
Design and implement a future-state Okta multi-org architecture where tenants can be isolated into separate Okta orgs or dedicated identity boundaries, with tenant-specific domains, branding, federation configuration, rollout controls, SCIM options, MAU observability, and reduced dependency on risky shared-org routing patterns.
</t>
    </r>
    <r>
      <rPr>
        <rFont val="Arial"/>
        <b/>
        <color theme="1"/>
      </rPr>
      <t>Why?</t>
    </r>
    <r>
      <rPr>
        <rFont val="Arial"/>
        <color theme="1"/>
      </rPr>
      <t xml:space="preserve">
This matters because the current three shared Okta orgs are overloaded multitenant instances where tenant identity boundaries, routing rules, sessions, scopes, groups, applications, and customer IdP integrations are all tightly coupled, creating recurring security risk, operational fragility, customer limitations, performance pressure, and high-risk big-bang change rollouts.
</t>
    </r>
    <r>
      <rPr>
        <rFont val="Arial"/>
        <b/>
        <color theme="1"/>
      </rPr>
      <t>The Core Problem</t>
    </r>
    <r>
      <rPr>
        <rFont val="Arial"/>
        <color theme="1"/>
      </rPr>
      <t xml:space="preserve">
The current Okta architecture uses three large shared multitenant orgs, which is not the right long-term model for tenant isolation and has already led to security incidents, identity conflicts, patch solutions, bloated apps/groups/scopes, rate-limit pressure, reliability concerns, iframe/session challenges, federation complexity, and risky cross-tenant blast radius for changes.
</t>
    </r>
    <r>
      <rPr>
        <rFont val="Arial"/>
        <b/>
        <color theme="1"/>
      </rPr>
      <t>Business Need</t>
    </r>
    <r>
      <rPr>
        <rFont val="Arial"/>
        <color theme="1"/>
      </rPr>
      <t xml:space="preserve">
Create a secure, scalable, revenue-enabling identity foundation for GWCP that supports stronger tenant isolation, improves customer trust and experience, reduces security incident risk, enables accurate MAU-based pricing/chargeback, supports Okta native capabilities such as inbound SCIM, and allows safer phased rollout of future identity changes.
</t>
    </r>
    <r>
      <rPr>
        <rFont val="Arial"/>
        <b/>
        <color theme="1"/>
      </rPr>
      <t>Impact If Ignored</t>
    </r>
    <r>
      <rPr>
        <rFont val="Arial"/>
        <color theme="1"/>
      </rPr>
      <t xml:space="preserve">
Continuing with the current shared-org model increases the risk of major security incidents, cross-tenant access/session issues, identity routing failures, rate-limit outages, GWCP capability gap ti support customer use-cases and tenant onboarding, customer-impacting big-bang rollouts, inability to use Okta native capabilities, weak MAU/pricing models, and escalating operational debt that may become impossible to work around.</t>
    </r>
  </si>
  <si>
    <t>ASAP - there is a massive risk of not doing</t>
  </si>
  <si>
    <t>Status: Not Started. 
Health: Red. 
This is a foundational architecture initiative and should be positioned as security-by-design, scalability, customer-experience, and revenue/chargeback enablement.</t>
  </si>
  <si>
    <t>Helios / Architecture / Security Team</t>
  </si>
  <si>
    <t>Backend Services Identity and M2M Authorization using SPIFFE/SPIRE and Mithril</t>
  </si>
  <si>
    <r>
      <rPr>
        <rFont val="Arial"/>
        <b/>
        <color theme="1"/>
      </rPr>
      <t>What?</t>
    </r>
    <r>
      <rPr>
        <rFont val="Arial"/>
        <color theme="1"/>
      </rPr>
      <t xml:space="preserve">
Build a backend services identity and authorization architecture where SPIFFE/SPIRE issues secure workload identities to services and Mithril evaluates M2M authorization policies, removing the need for Okta or traditional auth-server based credentials for internal service-to-service interactions.
</t>
    </r>
    <r>
      <rPr>
        <rFont val="Arial"/>
        <b/>
        <color theme="1"/>
      </rPr>
      <t>Why?</t>
    </r>
    <r>
      <rPr>
        <rFont val="Arial"/>
        <color theme="1"/>
      </rPr>
      <t xml:space="preserve">
This matters because backend service-to-service access currently depends heavily on Okta-based credential and client management patterns, which introduce operational overhead, rotation burden, long-lived secret risk, and friction for teams that need secure and scalable M2M authorization.
</t>
    </r>
    <r>
      <rPr>
        <rFont val="Arial"/>
        <b/>
        <color theme="1"/>
      </rPr>
      <t>The Core Problem</t>
    </r>
    <r>
      <rPr>
        <rFont val="Arial"/>
        <color theme="1"/>
      </rPr>
      <t xml:space="preserve">
The current backend service identity model depends on Okta or traditional auth-server constructs for M2M access, creating operational complexity, security exposure from credentials, and limited flexibility for resource owners to manage authorization declaratively.
</t>
    </r>
    <r>
      <rPr>
        <rFont val="Arial"/>
        <b/>
        <color theme="1"/>
      </rPr>
      <t>Business Need</t>
    </r>
    <r>
      <rPr>
        <rFont val="Arial"/>
        <color theme="1"/>
      </rPr>
      <t xml:space="preserve">
Create a secure, scalable, zero-trust backend identity foundation that reduces dependency on Okta for internal service communication, lowers credential-management risk, enables declarative authorization through Mithril/GADS, and improves developer and platform operational experience.
</t>
    </r>
    <r>
      <rPr>
        <rFont val="Arial"/>
        <b/>
        <color theme="1"/>
      </rPr>
      <t>Impact If Ignored</t>
    </r>
    <r>
      <rPr>
        <rFont val="Arial"/>
        <color theme="1"/>
      </rPr>
      <t xml:space="preserve">
GWCP will continue carrying operational overhead and security risk from credential rotation, long-lived client secrets, Okta dependency for internal service access, slower service onboarding, inconsistent M2M authorization patterns, and increased blast radius if credentials are leaked or mismanaged.</t>
    </r>
  </si>
  <si>
    <t>Status: Not Started. 
Health: Red.</t>
  </si>
  <si>
    <t>Alleppey, Sausalito, Michalowice</t>
  </si>
  <si>
    <t>Keti AI Cross App Access and ID-JAG Support</t>
  </si>
  <si>
    <r>
      <rPr>
        <rFont val="Arial"/>
        <b/>
        <color theme="1"/>
      </rPr>
      <t>What?</t>
    </r>
    <r>
      <rPr>
        <rFont val="Arial"/>
        <color theme="1"/>
      </rPr>
      <t xml:space="preserve">
Build Keti support for AI Cross App Access and ID-JAG by introducing agent application modeling, resource API classification, cross-app access policy records, APIs for managing agent apps and access policies, discovery APIs for consumers, Okta configuration mapping, and migration controls for existing long-lived token based agent flows.
</t>
    </r>
    <r>
      <rPr>
        <rFont val="Arial"/>
        <b/>
        <color theme="1"/>
      </rPr>
      <t>Why?</t>
    </r>
    <r>
      <rPr>
        <rFont val="Arial"/>
        <color theme="1"/>
      </rPr>
      <t xml:space="preserve">
This matters because AI agents and cross-app callers are becoming first-class actors in GWCP, but some current agent-like flows rely on long-lived refresh tokens or standard OAuth client patterns that create security risk, weak governance, poor auditability, and one-off exception handling.
</t>
    </r>
    <r>
      <rPr>
        <rFont val="Arial"/>
        <b/>
        <color theme="1"/>
      </rPr>
      <t>The Core Problem</t>
    </r>
    <r>
      <rPr>
        <rFont val="Arial"/>
        <color theme="1"/>
      </rPr>
      <t xml:space="preserve">
Keti does not currently provide first-class support for Okta Cross App Access and ID-JAG patterns, so AI agents and cross-app callers may depend on traditional OAuth flows or extended refresh-token lifetimes that are harder to govern, audit, and constrain.
</t>
    </r>
    <r>
      <rPr>
        <rFont val="Arial"/>
        <b/>
        <color theme="1"/>
      </rPr>
      <t>Business Need</t>
    </r>
    <r>
      <rPr>
        <rFont val="Arial"/>
        <color theme="1"/>
      </rPr>
      <t xml:space="preserve">
Create a secure, governed, and scalable identity foundation for GWCP AI agents and cross-app access so agent-based workloads can use short-lived, least-privilege, auditable tokens instead of long-lived refresh-token exceptions.
</t>
    </r>
    <r>
      <rPr>
        <rFont val="Arial"/>
        <b/>
        <color theme="1"/>
      </rPr>
      <t>Impact If Ignored</t>
    </r>
    <r>
      <rPr>
        <rFont val="Arial"/>
        <color theme="1"/>
      </rPr>
      <t xml:space="preserve">
If ignored, GWCP may continue relying on long-lived refresh-token exceptions for AI agents, increasing credential leakage risk, weakening auditability, and making it difficult to answer which agents exist, what they can access, and which grants they operate under.
This becomes even more critical as Guidewire’s strategy expands toward building agent-enabled platforms where Guidewire-built agents, customer-built agents, and external agents can interact with GWCP agents. Without a secure and scalable agent identity model, it will become difficult to manage agent grants, enforce authorization boundaries, maintain trust between agents, and ensure the overall security of the agent ecosystem.
Delaying this work would also slow the Business and create future risk as agent-to-agent and customer-to-platform interactions grow.</t>
    </r>
  </si>
  <si>
    <t>~ Q1 2027</t>
  </si>
  <si>
    <r>
      <rPr/>
      <t xml:space="preserve">Status: Not Started. 
Health: Red.
RA: </t>
    </r>
    <r>
      <rPr>
        <color rgb="FF1155CC"/>
        <u/>
      </rPr>
      <t>https://docs.google.com/document/d/14P_YyGoEoHdQ_jTAZC3ra0OKPLaZn-ZB2gQru-sqocs/edit?tab=t.0</t>
    </r>
    <r>
      <rPr/>
      <t xml:space="preserve"> 
Given Risk Likelyhood is called out as "Highly Unlikely" the RA date can be extended. </t>
    </r>
  </si>
  <si>
    <r>
      <rPr>
        <color rgb="FF1155CC"/>
        <u/>
      </rPr>
      <t>Fulfillment Service (Voyager dependency inversion)</t>
    </r>
    <r>
      <rPr/>
      <t xml:space="preserve">
Refer to the ask under Glenda. </t>
    </r>
  </si>
  <si>
    <r>
      <rPr>
        <rFont val="Arial"/>
        <b/>
        <strike/>
        <color theme="1"/>
      </rPr>
      <t xml:space="preserve">Cloud Resource Limit Observability and Prediction
</t>
    </r>
    <r>
      <rPr>
        <rFont val="Arial"/>
        <b/>
        <strike val="0"/>
        <color rgb="FF0000FF"/>
      </rPr>
      <t>Covered in Platform Scalability and Limits Management</t>
    </r>
  </si>
  <si>
    <r>
      <rPr>
        <rFont val="Arial"/>
        <b/>
        <strike/>
        <color theme="1"/>
      </rPr>
      <t>Why?</t>
    </r>
    <r>
      <rPr>
        <rFont val="Arial"/>
        <strike/>
        <color theme="1"/>
      </rPr>
      <t xml:space="preserve"> GWCP spans multiple EKS clusters and AWS accounts with a wide variety of resource types subject to AWS-imposed limits — plus finite IP address ranges consumed by every pod. SRE has no reliable way to know whether a deployment will breach any of these limits until it fails in a maintenance window.
</t>
    </r>
    <r>
      <rPr>
        <rFont val="Arial"/>
        <b/>
        <strike/>
        <color theme="1"/>
      </rPr>
      <t>What?</t>
    </r>
    <r>
      <rPr>
        <rFont val="Arial"/>
        <strike/>
        <color theme="1"/>
      </rPr>
      <t xml:space="preserve"> We will build a predictive system that flags resource limit risks before deployment — including concrete consumption metrics to feed into GPR — gives developers real-time feedback as they build, and provides a unified dashboard across AWS limits, IP ranges, and third-party systems like DataDog. Instead of a limits dashboard, we have an MCP server that feeds the info to Claude.
</t>
    </r>
    <r>
      <rPr>
        <rFont val="Arial"/>
        <b/>
        <strike/>
        <color theme="1"/>
      </rPr>
      <t>Cost of Not Doing It?</t>
    </r>
    <r>
      <rPr>
        <rFont val="Arial"/>
        <strike/>
        <color theme="1"/>
      </rPr>
      <t xml:space="preserve"> We will continue to experience maintenance window failures with direct customer impact, emergency AWS limit increase requests, disruptive tenant migrations between clusters and accounts, and reactive re-architecture work. Each incident is expensive in time, operational stress, and customer trust.</t>
    </r>
  </si>
  <si>
    <t>BinRepo - Self-Serve Provisioning and Access Management</t>
  </si>
  <si>
    <t>Why? Onboarding to BinRepo demands effort from Pod-Vulcan and SRE-Plat, leading to many interrupt requests.
What? We're halfway through because, during the decomposition of the BinRepo module from TMD, we turned it into a native K8s resource. This allows provisioning and permissions via the CrossPlane Provider, enabling us to offer these APIs to our users for self-service. Previously, it was managed via the Tenant Configuration.
Cost of Not Doing It? Manual interruptions to Vulcan and SRE-Plat!</t>
  </si>
  <si>
    <t>Certificate Service (Certificate Storage)</t>
  </si>
  <si>
    <r>
      <rPr>
        <rFont val="Arial"/>
        <color theme="1"/>
      </rPr>
      <t xml:space="preserve">What
We want to invest in a dedicated Certificate Service (Certificate Storage) to centralize how certificates are managed across our platform.
Why
Today, certificates are split between SMS and </t>
    </r>
    <r>
      <rPr>
        <rFont val="Arial"/>
        <b/>
        <color theme="1"/>
      </rPr>
      <t>Outbound Connections,</t>
    </r>
    <r>
      <rPr>
        <rFont val="Arial"/>
        <color theme="1"/>
      </rPr>
      <t xml:space="preserve"> which makes configuration and feature development fragmented and error‑prone. A single service would give us one source of truth for certificate lifecycle management, allow us to implement new capabilities (e.g., rotation, expiry handling, certificate chains, auditing) in one place, and provide a clean integration point for all services responsible for outbound and inbound traffic. This will simplify operations, reduce duplication, and make it easier to evolve our security and networking features consistently over time.
Cost of not doing this
</t>
    </r>
    <r>
      <rPr>
        <rFont val="Arial"/>
        <b/>
        <color theme="1"/>
      </rPr>
      <t>We will not be able to decommission SMS,</t>
    </r>
    <r>
      <rPr>
        <rFont val="Arial"/>
        <color theme="1"/>
      </rPr>
      <t xml:space="preserve"> certificate management will continue to live in two places in parallel (causing confusion for customers), and every new certificate-related feature will need to be implemented twice, separately in each service.</t>
    </r>
  </si>
  <si>
    <t xml:space="preserve">This needs more information .. KR, Michael, Lukasz. </t>
  </si>
  <si>
    <t>none</t>
  </si>
  <si>
    <t>API Gateway Self Service (AGCS)</t>
  </si>
  <si>
    <t xml:space="preserve">What
We want to provide API Gateway Self Service (AGCS) to our customers so they can directly configure API Gateway for their InsuranceSuite applications, instead of relying on internal teams.
Why
Today, self service is available only to our internal teams, and customers still need to open tickets and wait several days for API Gateway configuration changes. By giving customers a self-service experience, we shift the configuration workload to them: they can define the API subsets they want to expose, set parameters and policies, and adjust configuration as their needs evolve. This will save time for our operations teams, reduce bottlenecks, and allow customers to introduce configuration changes much faster. In summary, this will reduce the amount of time spent by our operations teams and increase customer usability.
Cost of not doing this
Customers will continue to depend on tickets and multi‑day turnaround for even simple configuration changes. Our operations teams will remain responsible for routine, repetitive API Gateway configuration work, limiting their capacity for higher‑value tasks. As we onboard more customers and environments, this model will not scale, and we will keep slowing down customers’ ability to adapt their API exposure to changing business and technical requirements. </t>
  </si>
  <si>
    <t xml:space="preserve">Provisioning Hartford, GEICO and Nationwide on US EAST 2,. </t>
  </si>
  <si>
    <r>
      <rPr>
        <rFont val="Arial"/>
        <color theme="1"/>
      </rPr>
      <t xml:space="preserve">We do have XR private Link. 
</t>
    </r>
    <r>
      <rPr>
        <rFont val="Arial"/>
        <b/>
        <color rgb="FF0000FF"/>
      </rPr>
      <t xml:space="preserve">Piotr F to check with Gal </t>
    </r>
  </si>
  <si>
    <r>
      <rPr>
        <rFont val="Arial"/>
        <color theme="1"/>
      </rPr>
      <t xml:space="preserve">IP Allowlist on </t>
    </r>
    <r>
      <rPr>
        <rFont val="Arial"/>
        <b/>
        <color theme="1"/>
      </rPr>
      <t>App</t>
    </r>
    <r>
      <rPr>
        <rFont val="Arial"/>
        <color theme="1"/>
      </rPr>
      <t xml:space="preserve"> level</t>
    </r>
  </si>
  <si>
    <t>What
Replace the current environment-level IP Allowlist model with a granular, three-scope model: starsystem (all planets on a starsystem), planet (all apps on a planet), and application (specific app, on one or all planets). Allowlists are additive - lower scopes can only add IPs, never remove entries set at a higher level. Operators can assign IP groups to multiple applications and planets in a single operation.
Why
Any allowlist change today requires admin access and affects all applications on a starsystem simultaneously. There is mn way to delegate management to an external integrator without granting them control over the entire star. The new model allows per-application delegation while keeping starsystem-wide policies intact and non-overridable. NPE and preprod also currently share a single allowlist, meaning a test change unintentionally affects preprod.
Cost of not doing
Customers and external integrators depend on admin involvement for every IP change, slowing down onboarding and generating support requests. A single misconfiguration affects all applications on a star. As the number of integrators per planet grows, the current coarse model becomes increasingly unmanageable and a growing security liability.</t>
  </si>
  <si>
    <t>End of 2026, Requested by Liberty and Zurich Germany</t>
  </si>
  <si>
    <t>Kubernetes Quotas</t>
  </si>
  <si>
    <r>
      <rPr>
        <b/>
      </rPr>
      <t xml:space="preserve">What
</t>
    </r>
    <r>
      <rPr/>
      <t xml:space="preserve">Implement a quota-based system + observability for basic Kubernetes resources in an Atmos cluster - </t>
    </r>
    <r>
      <rPr>
        <color rgb="FF1155CC"/>
        <u/>
      </rPr>
      <t>https://guidewireconfluence.atlassian.net/wiki/spaces/CCS/pages/2268070095/rfc-106+WIP+Kubernetes+Object+Quotas</t>
    </r>
    <r>
      <rPr/>
      <t xml:space="preserve"> 
</t>
    </r>
    <r>
      <rPr>
        <b/>
      </rPr>
      <t>Why</t>
    </r>
    <r>
      <rPr/>
      <t xml:space="preserve">
Kubernetes clusters have certain technical constraints for the amount of data stored in the control plane. When these constraints are exceeded, the cluster will fail to perform core functions. Additionally, individual cluster Operators managing Custom Resources (CR) may increase API load on themselves or the k8s cluster when managing too many CR objects. We need to enforce object quotas to guard against degradation of Atmos cluster performance. Further, this sets a baseline that we can tweak and scale.
</t>
    </r>
    <r>
      <rPr>
        <b/>
      </rPr>
      <t xml:space="preserve">Cost of not doing
</t>
    </r>
    <r>
      <rPr/>
      <t>We continue to react to environment wobble when there are known system constraints, costing valuable time to toilsome remediation.</t>
    </r>
  </si>
  <si>
    <t>Larry Owen Bharath Sekar Krzysztof Rosner</t>
  </si>
  <si>
    <t>Accountable Resource Lifecycles, Productization</t>
  </si>
  <si>
    <r>
      <rPr>
        <b/>
      </rPr>
      <t>What</t>
    </r>
    <r>
      <rPr/>
      <t xml:space="preserve">
Implement mechanisms to ensure provisioned GWCP resources are actively being used, not abandoned or orphaned. </t>
    </r>
    <r>
      <rPr>
        <color rgb="FF1155CC"/>
        <u/>
      </rPr>
      <t>https://guidewireconfluence.atlassian.net/wiki/spaces/CCS/pages/2953904216/rfc-141+Accountable+Resource+Lifecycles</t>
    </r>
    <r>
      <rPr/>
      <t xml:space="preserve"> 
</t>
    </r>
    <r>
      <rPr>
        <b/>
      </rPr>
      <t>Why</t>
    </r>
    <r>
      <rPr/>
      <t xml:space="preserve">
Abandoned and orphaned resources (Kubernetes, AWS, and logical resources like planets) are easy to provision and use, but also easy to dismiss and forget until and unless they cause a problem. In some cases, the problem may manifest …
 - in a wobble (strange behavior) of the environment due to unrestrained growth and lack of quotas
 - as a resource quota being approached or hit
 - as a potential for security vulnerabilities, increasing the footprint of remediation
 - as financial costs.
These manifestations are toil to supporting teams to identify and remediate. Often the remediation is a simple deletion, but this can have additional side effects on the unsuspecting provisioning application or IAC.
</t>
    </r>
    <r>
      <rPr>
        <b/>
      </rPr>
      <t xml:space="preserve">Cost of not doing
</t>
    </r>
    <r>
      <rPr/>
      <t>$ in AWS costs; engineer, GGS, &amp; SRE toil and opportunity costs; orphaned resources increase the footprint for security vulnerabilities and remediation</t>
    </r>
  </si>
  <si>
    <t>Alleppey, Bandipur, Moose Factory, Okocim</t>
  </si>
  <si>
    <r>
      <rPr/>
      <t xml:space="preserve">Accountable Resource Lifecycles, Productization - </t>
    </r>
    <r>
      <rPr>
        <color rgb="FF1155CC"/>
        <u/>
      </rPr>
      <t>https://guidewireconfluence.atlassian.net/wiki/spaces/CCS/pages/2953904216/rfc-141+Accountable+Resource+Lifecycles</t>
    </r>
  </si>
  <si>
    <t xml:space="preserve">Ensure maintenance can be completed within 6 hous despite our growing customer base. </t>
  </si>
  <si>
    <t xml:space="preserve">Customers are growing, Clusters are increasing, But maintenance windows are not. </t>
  </si>
  <si>
    <t xml:space="preserve">ASAP since our cluster are increasing post CRDR. </t>
  </si>
  <si>
    <t xml:space="preserve">Murali to own </t>
  </si>
  <si>
    <t xml:space="preserve">Entitlement Service </t>
  </si>
  <si>
    <t>I think we need one central service that all the apps can call to see if a customer can have (or not) a product. It doesn't make sense to me to have all the apps try to talk to SalesForce, but instead have this service do that and then all of the other apps talk to this one consistently.  It can in time become a place for reporting and usage if that makes sense.  I hear the team in Poland is building this - but they have never had a conversation about this with me, and I wrote the original Claude spec for Eri Bastos who took a pass at building something (which is now on hold since he left).</t>
  </si>
  <si>
    <t xml:space="preserve">This is needed for Guard as Guard needs to know which app to allow a tenant to control 
Piotr Flasinski: This one is already covered (see Fullfilment service by Michal Zajac) Michal to reach out to Glenda. </t>
  </si>
  <si>
    <t>Refer to 55</t>
  </si>
  <si>
    <t xml:space="preserve"> "I would like LHS and RHS merge and overall cluster reduction by 50% (reduction of the projected #of cluster end of Fy27)"</t>
  </si>
  <si>
    <t>Invest in not building solution but design</t>
  </si>
  <si>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</si>
  <si>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Complete Atmos NG decomposition</t>
  </si>
  <si>
    <t>What?
Decompose Atmos NG from the monolithic Atmos infrastructure. 
Why? 
Faster &amp; shorter deployment 
Status: 
6/23 components pending (73% completed) 
Dependency: Builders(Tentative Effort): 
- Avondale: oort, cert-manager (4-5 SOLs)
- Danville: external-secrets-operator (3-4 SOLs)
- Bolinas: datadog, cloudwatch-eks (7-9 SOLs) 
- Ajanta: ebs (3-4 SOLs)</t>
  </si>
  <si>
    <t>https://docs.google.com/document/d/1d1HmYN1NpI4C_8w5iyslf6sucsjLR7mclGOzEdSVZTc/edit?tab=t.z3l4aylls6hs</t>
  </si>
  <si>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</si>
  <si>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</si>
  <si>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</si>
  <si>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 xml:space="preserve">Automated Release using Kargo leading Biweekly Release of Atmos NG </t>
  </si>
  <si>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</si>
  <si>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 xml:space="preserve">What:
An automated, wave-based rolled release system that delivers biweekly updates strictly for Atmos NG components requiring a pod restart or provisioner change, bypassing the 1-to-1.5-month full release cycle while allowing unchanged components to remain undisturbed.
Why:
To double deployment frequency for critical platform components, shift SREs and developers from manual intervention to automated wave-based oversight, eliminate market velocity bottlenecks, and free up resource capacity from routine maintenance toil to focus on building new capabilities.
Dependency: 
Builder:  SREPLAT - Capitola 
Consumers: SREPlat - Platform teams 
Estimates:
4-6 SOLS
</t>
  </si>
  <si>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</si>
  <si>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 xml:space="preserve">Autonomous Platform Intelligence (Predictive Release Engineering) </t>
  </si>
  <si>
    <t>What
The goal is to achieve zero-to-low-touch deployments by building an autonomous platform intelligence layer that pairs Dagger as a portable execution trigger with HolmesGPT and RAG as the intelligence engine. This system continuously monitors pipelines and cluster health, predicts and self-heals failures before they reach production, and applies automated pre-flight guardrails that flag compliance gaps and historical risk patterns with a deployment confidence score.
Why
This shifts incident detection left to catch risks before they reach costly production environments, driving down both the Change Failure Rate (CFR) and Mean Time to Resolution (MTTR). By automating the release and triaging pipeline and using Dagger to mimic real-time environments for local testing, the platform drastically cuts down manual intervention and support times.
Dependency: 
Builders: AI Team - Bolinas - SREPlat - Sagara - Capitola capabilities 
Consumers:  SREPlat  SRE App  Platform team   Release Team 
Effort: 
Design/Innovation: 1-2 SOLs, 
Implementation: 10-12 SOLs</t>
  </si>
  <si>
    <t>Unified Observability - Release Engineering Platform</t>
  </si>
  <si>
    <t xml:space="preserve">What
The system is an API-driven, centralized orchestrator and single source of truth that automates and controls the global configuration and deployment lifecycle of GWCP releases via a multi-tenant operational interface.
Why Now
Manual upkeep is no longer sustainable as GWCP rapidly scales across regions, and a centralized control plane is urgently needed to manage the exponential complexity of highly interdependent services and prevent configuration visibility failures. 
Dependency: 
Builders:  Platform teams  - Capitola 
Consumer:  SREPlat SRE App Platform teams   Leadership/TAMs GGS 
Effort: 10-12 SOLs </t>
  </si>
  <si>
    <t>K8s operator for Helios</t>
  </si>
  <si>
    <t>What?
- Build a connector between the Kubernetes external secrets operator and Helios.
- Enable applications to get secrets and settings from Helios, regardless of application type or framework.
- Support KubeVela and OAM deployments to connect to Helios
Why ?
- Remove a key blocker for teams that want to onboard to Helios.
- Grow Helios adoption and centralize secrets and settings management in GWCP.
- Reduce manual config maintenance for application teams and SREs.</t>
  </si>
  <si>
    <t>Secrets rotation</t>
  </si>
  <si>
    <t>What?
- Auto-rotate secrets (passwords, certs, etc) within Helios, to support secure applications. 
Why?
- As a settings vault storing secrets, efficiently manage the secrets as per infosec requirements, save bandwidth in the process of rotation, reduce/potentially eliminate the production issues due to expired secrets, and thereby enhance the UX of GW apps.</t>
  </si>
  <si>
    <t>SPIRE</t>
  </si>
  <si>
    <t>What?
- SPIRE as an alternate AuthN for Okta
Why?
 - Secure cross-quadrant / cross-cloud authentication: SPIRE gives workloads SPIFFE identities so services can trust each other across clusters and trust domains without relying on shared-secret patterns.
 - Automated workload identity: every workload needs an identity registration path. SPIRE lets that be automated instead of manually registering services, which would not scale.
 - Federation between trust domains: Helios and other global services need workloads in different Atmos quadrants to trust each other. SPIRE federation is the mechanism for that.
 - Stronger security posture: short-lived identities, explicit trust bundles, auditable trust relationships, and tighter production controls all support a more zero-trust model.
 - Operational scalability: new quadrants and workloads can be onboarded programmatically instead of through brittle manual setup.</t>
  </si>
  <si>
    <t>What?
 - Enables customer use their own key/key-material for their data (when possible)
Why?
 - Adhere to LM contractual obligation of delivery by Dec-2028 to NOT share their key with other customers for LM data
 - Unblock multiple contractual blockers with European customers</t>
  </si>
  <si>
    <t>SSM to DynamoDB security improvements</t>
  </si>
  <si>
    <t>What?
- Migrate Helios secrets from AWS Secrets Manager to DynamoDB.
- Ensure auto-replication of secrets across AWS regions using DynamoDB.
- Ensure encryption and seamless access for all clients and applications.
- Provide a migration runbook and validation tooling to guarantee data integrity.
Why?
- Remove upper storage limits for secrets per AWS region.
- Achieve substantial operational cost savings (up to 99.5%) vs. AWS Secrets Manager.
- Gain control and flexibility, reducing risk of vendor lock-in.
- Improve scalability and high availability for all Helios secrets.
- Avoid high annual OpEx and enable more predictable, lower-cost operations.</t>
  </si>
  <si>
    <t>Mithril adoption</t>
  </si>
  <si>
    <t>What?
 - Phase-1: Adopt Mithril for any-tenant authentication
Why?
 - Move towards the GW standard of Mithril for granular control of AuthN in Helios</t>
  </si>
  <si>
    <t>DR support for MSK</t>
  </si>
  <si>
    <t>What?
 - DR support for MSK failover
Why?
 - Meet contractual obligation of LM for DR
 - Support broader DR initiative across GW</t>
  </si>
  <si>
    <r>
      <rPr/>
      <t xml:space="preserve">PrivateLink Ingress Self Service - </t>
    </r>
    <r>
      <rPr>
        <color rgb="FF1155CC"/>
        <u/>
      </rPr>
      <t>https://guidewireconfluence.atlassian.net/wiki/spaces/ORANGE/pages/3406168190/PrivateLink+Ingress+Self-Service+-+One+Pager</t>
    </r>
  </si>
  <si>
    <t>MSK Express Brokers - adoption</t>
  </si>
  <si>
    <t>What?
 - Adopt Express brokers in the place of existing standard brokers for AWS MSK
Why?
 - Solve for memory overwhelming issues that caused Sev1s last year</t>
  </si>
  <si>
    <t>MSK Star isolation</t>
  </si>
  <si>
    <t>What?
 - Enable memory and network metrics are isolated at the star level
Why?
 - Start memory and network throttling when required
 - Move towards billing MSK usage (if possible)</t>
  </si>
  <si>
    <t>OAM component for topics and ACLs</t>
  </si>
  <si>
    <t>What?
 - Provide OAM components for topics and ACLs creation/management
Why?
 - Provide standardized OAM components for topics and ACLs to leverage GW's OAM library and provisioning</t>
  </si>
  <si>
    <t>Localstack adoption</t>
  </si>
  <si>
    <t>What?
- Restructure the account-level terratests
- Ensure testing can be done using both localstack and AWS
Why?
- To reduce the testing time on the changes made by the developers
- To reduce the complexity of the terratest code base of MSK</t>
  </si>
  <si>
    <t>AWS Resources – Tenant Isolation</t>
  </si>
  <si>
    <r>
      <rPr>
        <rFont val="Arial"/>
        <color theme="1"/>
      </rPr>
      <t xml:space="preserve">What
Standardize and complete tenant-level AWS resource isolation for networking: per-tenant PrivateLink endpoint services, VPC endpoints, NLBs, and their security groups (not just DNS/ingress), driven by Oort tenant isolation and PrivateLink Endpoint Network Isolation work. 
Why
Ensures all AWS resources are scoped per tenant or per star as appropriate, reducing cross-tenant blast radius and aligning with Tenant v3 and BYOA isolation requirements. 
Cost of not doing it
If underlying AWS resources remain partially shared while only DNS/ingress moves, we retain noisy‑neighbor and security risk at the AWS resource layer. 
</t>
    </r>
    <r>
      <rPr>
        <rFont val="Arial"/>
        <b/>
        <color theme="1"/>
      </rPr>
      <t xml:space="preserve">Potentially a security blocker for BYOA </t>
    </r>
    <r>
      <rPr>
        <rFont val="Arial"/>
        <color theme="1"/>
      </rPr>
      <t xml:space="preserve">
</t>
    </r>
  </si>
  <si>
    <t xml:space="preserve">PL Egress Feature is already GA and Security already request to isolate the VPC Endpoints. This needs to be addressed soon once DR scope for Networking is delivered.
</t>
  </si>
  <si>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</si>
  <si>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 xml:space="preserve">Oort v2 APIs  </t>
  </si>
  <si>
    <t xml:space="preserve">What
Deliver the next-generation Oort networking APIs (e.g., OortHTTPIngress and related traits) based on Kubernetes Gateway API, as the long‑term replacement for GatewayConfig/Ingress and the primary control plane for ingress/egress/PL. 
Why
Provides a modern, structured API, simplifies developer experience; and is a prerequisite for Nova OAM traits and BYOA ingress features. 
Cost of not doing it
Harder to add new capabilities like weighted routing and service-level rate limiting. </t>
  </si>
  <si>
    <t xml:space="preserve">FY27 </t>
  </si>
  <si>
    <t>CRDR - PrivateLink</t>
  </si>
  <si>
    <t xml:space="preserve">What
Implement PrivateLink ingress and egress with DR and cross‑region support, including pre‑provisioned endpoint services in primary and DR regions and support for AWS cross‑region connectivity for GWCP services. 
Why
Key building block in CR‑DR strategy and a deal breaker for LibertyMutual and TheHartford 
Cost of not doing it
Customers dependent on PrivateLink cannot get an end‑to‑end DR story and a CRDR blocker
</t>
  </si>
  <si>
    <t>Michael Russo</t>
  </si>
  <si>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</si>
  <si>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</si>
  <si>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 xml:space="preserve">Resource Quotas for Networking Resources
already covered - Duplicate </t>
  </si>
  <si>
    <t>What
Define and enforce quotas/limits for key networking resources (GatewayConfigs, PL endpoint services, VPC endpoints, NLBs, allowlists) at tenant/platform scopes, and document supported bounds. 
Why
Prevents configuration and account‑level exhaustion (e.g., Route53 records, IP allowlists, endpoint counts), and gives clear limits for what Oort can support
Cost of not doing it
Unbounded usages of networking resources leads to prod. incidents and perf. issues</t>
  </si>
  <si>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</si>
  <si>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</si>
  <si>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PrivateLink Self Service</t>
  </si>
  <si>
    <t xml:space="preserve">What
Expose PL ingress configuration (regions, endpoint services, DR options) through Guidewire Home so customers can request and manage PL without GGS Cloud tickets. 
Why
Reduces provisioning lead time, scales out PL adoption, and aligns with the cross‑region PL epic where customers configure PL egress via self‑service while GGS focuses on standard runbooks. 
Cost of not doing it
PL Ingress remain gated on manual processes, slowing implementations </t>
  </si>
  <si>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</si>
  <si>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</si>
  <si>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Evaluate Kong alternatives</t>
  </si>
  <si>
    <t xml:space="preserve">What
Evaluate whether Kong Enterprise remains the right GWCP gateway, and if not, define a migration path (or architectural pattern) that preserves Oort abstractions while reducing cost and operational complexity. 
Why
Kong is central today but brings licensing, complexity, and performance considerations
Cost of not doing it
We continue to invest heavily around a single vendor gateway, even if better options emerge, and we carry forward some Kong‑specific constraints into Oort v2 and BYOA use cases. </t>
  </si>
  <si>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</si>
  <si>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OIDC Feature Replacement</t>
  </si>
  <si>
    <t xml:space="preserve">
What
Refactor Oort’s OIDC behavior (including anonymous requests) into a more robust, centralized identity approach aligned with platform SSO and Mithril/Keti, and away from per‑feature hacks in Kong. 
Why
This would remove the Kong's enterprise support dependency and thereby reduce license costs for GWCP. 
Cost of not doing it
Vendor dependency with Kong and license costs $200k to $400k per year</t>
  </si>
  <si>
    <t>Security Initiative – Route53 to New DNS Provider</t>
  </si>
  <si>
    <t xml:space="preserve">What
Refactor Oort Route53 usage to the new DNS provider that is evaluated by Infosec
Why
Needed for the the continued usage of GLB v2 and Universal URL features
Cost of not doing it
Security or compliance pressure. </t>
  </si>
  <si>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</si>
  <si>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FY27, Currently evaluation in progress by Security. Once confirmed Atmos Networking should start the work to move our current DNS and R53 usage to the new DNS provider</t>
  </si>
  <si>
    <t>Cache as a Service – OAM</t>
  </si>
  <si>
    <r>
      <rPr>
        <rFont val="Roboto, RobotoDraft, Helvetica, Arial, sans-serif"/>
        <color rgb="FF1F1F1F"/>
        <sz val="11.0"/>
      </rPr>
      <t xml:space="preserve">Complete Atmos NG decomposition - </t>
    </r>
    <r>
      <rPr>
        <rFont val="Roboto, RobotoDraft, Helvetica, Arial, sans-serif"/>
        <color rgb="FF1155CC"/>
        <sz val="11.0"/>
        <u/>
      </rPr>
      <t>https://guidewireconfluence.atlassian.net/wiki/x/iQAGyw</t>
    </r>
  </si>
  <si>
    <t>What
Provide a Redis OAM component (Cache as a Service) integrated into the OAM Library and Asteroid, so teams can provision and operate cache instances using the same patterns as Postgres/Dynamo OAM. 
Why
Gives Quantee and external developers a standard, supported caching option with day‑1 and day‑2 operations, improving performance for latency‑sensitive workloads and aligning with the broader OAM adoption roadmap. 
Cost of not doing it
Teams either avoid caching or create ad‑hoc non standardized Redis deployments</t>
  </si>
  <si>
    <t xml:space="preserve">Target for FY27 </t>
  </si>
  <si>
    <t>Postgres OAM – CNPG MVP</t>
  </si>
  <si>
    <t xml:space="preserve">What
Ship CNPG OAM MVP (Phase 1) so LHS microservices can provision CloudNativePG clusters via the same OAM API in dev/lower environments, with basic provisioning, backup/restore. 
Why
Introduces a cloud‑native alternative to Aurora for cost and topology flexibility, while keeping a single Postgres OAM interface that can target either Aurora or CNPG. AWS Aurora is the 2nd highest cost for the GWCP Platform and we need to bring in low cost alternatives
Cost of not doing it
All OAM Postgres workloads stay tied to Aurora, limiting options for cost optimization </t>
  </si>
  <si>
    <t>FY27</t>
  </si>
  <si>
    <t>Postgres OAM – Cluster Management Service</t>
  </si>
  <si>
    <r>
      <rPr>
        <rFont val="Arial"/>
        <strike/>
        <color theme="1"/>
      </rPr>
      <t xml:space="preserve">
What
Improve the Postgres OAM component into a full cluster management service that orchestrates provisioning, scaling, upgrades, and failover for Aurora clusters via a unified OAM API. 
Why
Reduces Terraform dependence, centralizes cluster lifecycle. Enables </t>
    </r>
    <r>
      <rPr>
        <rFont val="Arial"/>
        <b/>
        <i/>
        <strike/>
        <color theme="1"/>
      </rPr>
      <t xml:space="preserve">Cephoid and UwC services </t>
    </r>
    <r>
      <rPr>
        <rFont val="Arial"/>
        <strike/>
        <color theme="1"/>
      </rPr>
      <t xml:space="preserve">to manage the Aurora clusters without creating their own workarounds and scripts.
Cost of not doing it
Cluster behavior stays fragmented between Terraform modules and ad‑hoc scripts, making upgrades, parameter tuning, and DR changes more error‑prone. </t>
    </r>
  </si>
  <si>
    <t>DR – Global DB for Postgres OAM</t>
  </si>
  <si>
    <t>What
Enable LHS/Nova services to provision Aurora Global Database clusters via Postgres OAM, including global endpoints, as a standard way to get DR for Postgres workloads. 
Why
Provides a uniform DR mechanism for OAM‑managed Aurora databases, aligns with LHS/Nova DR strategy, and also unblocks Cepheid and other services that require cross‑region DR features
Cost of not doing it
If not supported, teams would continue to rely on the terraform modules which should be deprecated soon</t>
  </si>
  <si>
    <t>Early FY27</t>
  </si>
  <si>
    <t xml:space="preserve">BYOA Support for Database OAM components
</t>
  </si>
  <si>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</si>
  <si>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 xml:space="preserve">
What
Deliver the provisioning and Day2 operations capabilities of Postgres, DynamoDB and Cache OAM components required for BYOA Asteroids product
Why
Lets partners/customers operate their own data resources safely while still using OAM, and reduces reliance on Guidewire support teams for day‑2 operations in BYOA scenarios. 
Cost of not doing it
Would increase operational overload by requiring SRE/GGS involvement and not a great customer experience
</t>
  </si>
  <si>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</si>
  <si>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rFont val="Arial"/>
        <b/>
        <strike/>
        <color theme="1"/>
      </rPr>
      <t xml:space="preserve">Tenant Renaming
</t>
    </r>
    <r>
      <rPr>
        <rFont val="Arial"/>
        <b/>
        <strike/>
        <color rgb="FF0000FF"/>
      </rPr>
      <t xml:space="preserve">
</t>
    </r>
    <r>
      <rPr>
        <rFont val="Arial"/>
        <b/>
        <strike val="0"/>
        <color rgb="FF0000FF"/>
      </rPr>
      <t>(Covered as part of Immutable ID)</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</si>
  <si>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</si>
  <si>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 xml:space="preserve">
What
Assign randomly generated immutable ids for tenant and star; suppot renaming of tenant and star
Why
- Avoid the time-consuming and error-prone migrations required to rename a tenant. Estimated at ~3–5 per year, driven by M&amp;A, rebrands, and implementation‑time dissatisfaction. PMA has asked to chaneg thier tenant id (technical go‑live Sept 15 2026)
- It's foundational to other Atlas work. Atlas becoems SoR for stars (replacing short term fix to enable CRDR); the short name is required universal URL generation (which short term workaround hardcoded into muktiple services - tech debt!). It also underpins planet‑level finance tracking (via immutable IDs) and the planned assignment of tenant/star IDs to on‑prem customers — retiring a manual uniqueness‑validation process.
- It is uncompleted work from 2025 corporate VPMOM as M1 submethod 1.1 / 1.1.7. It was delayed due to Atlas hand off to KDC and then dropped due to higher priority CRDR work.
Cost of not doing it
- High cost and risk associated with "new tenant + migration" approach required to rename - an estimated ~3–5 times a year. The near‑term PMA request goes
unmet: under the status quo that customer would either go live with the original ID/URLs they want changed, or take on a manual migration before their Sept 2026 launch.
- Downstream work stays blocked, pending, or more tech debt from short term workarounds. 
</t>
  </si>
  <si>
    <t>https://guidewireconfluence.atlassian.net/wiki/spaces/~qmccombs/pages/929432457/Tenant+renaming+Immutable+tenant+id</t>
  </si>
  <si>
    <r>
      <rPr/>
      <t xml:space="preserve">Enforce constraints around tagging so that we can get better reliable values in our tags to make faster decisions
- Help with cost attribution to L3s + Customers. (SedAi)
- Reduce Toil in attributing container vulns in Shared AWS accounts byt allowing Security to directly reach out to the teams. 
- Identify orphan resources and clean up. 
Some scope - </t>
    </r>
    <r>
      <rPr>
        <color rgb="FF1155CC"/>
        <u/>
      </rPr>
      <t>https://guidewireconfluence.atlassian.net/wiki/spaces/CCS/pages/3414786209/SCIM-Based+User+Provisioning+in+Insurance+Suite+for+Liberty+VPMOM+2027</t>
    </r>
  </si>
  <si>
    <r>
      <rPr>
        <rFont val="Arial"/>
        <color theme="1"/>
      </rPr>
      <t xml:space="preserve">RFC-19 isolation zones
</t>
    </r>
    <r>
      <rPr>
        <rFont val="Arial"/>
        <b/>
        <color rgb="FF0000FF"/>
      </rPr>
      <t xml:space="preserve">Could be considered within CRDR initiative </t>
    </r>
  </si>
  <si>
    <t xml:space="preserve">
What
Complete the migration from supergalaxy to isolation zone across GWCP
Why
- supergalaxies become obsolete when we started creating addional LHS quadrants for data sovereignty. TenantV3 addressed this issue in Oct 2024 by replacing supergalaxy with isolation zone. 
- It's the platform's dominant source of GRN change. Changes to super-galaxy names (and finally to isolation zone) account for ~95% of all GRN changes other than bad-data corrections.
- The ambiguity has already caused a production bug. WFS workflows in Canada were registered under super galaxy centaurus while app events arrived with ursa in the GRN header, so app events were filtered incorrectly until the matching algorithm was realigned on tenant/project/planet.
Cost of not doing it
RFC-19 is half-shipped: Stage 1 landed but the rollout stalled mid-flight, so the platform now carries two naming concepts at once with no momentum to converge them. Leaving it parked there is its own cost:
- Deployment IDs stay split between super galaxy and isolation zone. Helios + Atlas deployment-ID normalization (Stage 1) is done, but the stages that switch ID generators and flip existing deployment IDs over to isolation zone never happened (some was slated for "Olos"; the rest stalled). Until they do, every service that touches GRNs must keep tolerating both forms — and the "support either" transitional state risks becoming the indefinite steady state rather than a transition. This is the exact ambiguity RFC-19 set out to retire, and super-galaxy/IZ renames are ~95% of all GRN changes other than bad-data fixes, so the platform keeps living with its single biggest source of identifier churn.
- A ready producer is stuck between breakage risk and a 2× API tax. Planet Service reports it's ready to emit isolation-zone GRNs but can't flip safely without coordination: either change the field and risk that some consumers aren't ready to receive IZ values, or stand up and maintain a second API version — overhead it says "could potentially be avoided with proper coordination." Not finishing RFC-19 leaves that cost sitting on individual teams, who will either gamble or duplicate.
- The real cost is uncertainty, not a confirmed outage. The owner's own read is that he does "not think this change will cause problems for anyone but cannot be certain," precisely because "we have no way to know if other services will be affected and just have not read the RFC yet." So stopping doesn't buy a known breakage — it buys an open-ended "we don't know what we don't know" tail. That the failure mode is real, not hypothetical, is shown by the WFS centaurus/ursa incident, where app events were filtered incorrectly until the matching algorithm was realigned.
- The priority trap keeps it parked. It sat on team backlogs ~8–9 months; PgM wouldn't assign capacity without a VPMOM mapping; teams then concluded each needed a spike before committing, pending a CCS VPMOM FY26 slot; and it was "reduced from the platform priority list" and went dormant after September 2025. Absent a VPMOM hook, the default trajectory trends toward continued limbo rather than completion.
- Rising stakes: the IZ model is now load-bearing for DR. Since the stall, isolation zones have become the substrate for the CRDR/DR program — failover is moving to IZ-based universal URLs (e.g.
servicea.amer-0.gwcp.guidewire.net), Helios hub-cluster mapping is keyed by isolation zone, and dr-0 is itself an isolation zone with live tenant provisioning. DR builds on the IZ abstraction and doesn't strictly depend on RFC-19's deployment-ID flip being finished — but it raises the stakes of stopping: we're standardizing on isolation zones for failover routing while leaving the deployment-ID/GRN side only half-converted, committing to an abstraction we've only partly delivered.
</t>
  </si>
  <si>
    <t>https://guidewireconfluence.atlassian.net/wiki/spaces/ORANGE/pages/2046230805/Isolation+Zones+Implementation+rfc-19</t>
  </si>
  <si>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</si>
  <si>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</si>
  <si>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</si>
  <si>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 xml:space="preserve">Platform Perception Changers </t>
  </si>
  <si>
    <r>
      <rPr>
        <rFont val="Arial"/>
      </rPr>
      <t xml:space="preserve">Platform Scalability and Limits Management
Kubernetes Quotas. Visibility on resource limits
- AWS limits
- K8s limits
- First, provide visibility on resource limits.
- Alerts on reaching specific limits
See mainly </t>
    </r>
    <r>
      <rPr>
        <rFont val="Arial"/>
        <color rgb="FF1155CC"/>
        <u/>
      </rPr>
      <t>https://guidewireconfluence.atlassian.net/wiki/spaces/CCS/pages/3383855607/Full+Kit+Pod+Allocation+Limits+Tracking+and+Growth+Mechanism+for+Platform+Scalability#Pod-reference-(subset)</t>
    </r>
    <r>
      <rPr>
        <rFont val="Arial"/>
      </rPr>
      <t xml:space="preserve">
and for K8s 
</t>
    </r>
    <r>
      <rPr>
        <rFont val="Arial"/>
        <color rgb="FF1155CC"/>
        <u/>
      </rPr>
      <t>https://guidewireconfluence.atlassian.net/wiki/spaces/CCS/pages/2268070095/rfc-106+WIP+Kubernetes+Object+Quotas</t>
    </r>
  </si>
  <si>
    <t>GHA Integration with Polaris</t>
  </si>
  <si>
    <t>Why
Reduce the wait time for developers for the Agents, Save the PD TC license cost, leaverage the GHA ecosystems</t>
  </si>
  <si>
    <t>CR-DR for NPE</t>
  </si>
  <si>
    <t>Why
- Customer's ask and commitment to deliver by CY 2028!</t>
  </si>
  <si>
    <t>Not prioritizing because NPE will be expensive in terms of cloud costs and will also require significant scope for implementation.
Additionally, we should wait for
- See how much demand there is for CR DR in PROD
- How strongly contracted customers push
- Also, I believe that if we migrate our CI/CD stack to the cloud (GitHub), they can provide CR DR. We have copies of images, so at least the customer can redeploy what matters most to them in NPE</t>
  </si>
  <si>
    <t xml:space="preserve">Single pane for tenant configuration &amp; limits - showing app versions, infra sizing, feature flags, integration endpoints, API rate limits, DB/read-replica details, API timeouts at each infra layer(Kong, pods etc., ) </t>
  </si>
  <si>
    <t>...to eliminate hunting across tools</t>
  </si>
  <si>
    <r>
      <rPr/>
      <t xml:space="preserve">A diagnostics tool in GCH at the planet level. Basically a button that, when clicked, runs several connectivity and usage checks against a pod/application/planet. Aha was open for it last year and it's got plenty of votes: </t>
    </r>
    <r>
      <rPr>
        <color rgb="FF1155CC"/>
        <u/>
      </rPr>
      <t>https://erasethewaste.ideas.aha.io/ideas/EW-I-63.</t>
    </r>
    <r>
      <rPr/>
      <t xml:space="preserve"> But it hasnt moved </t>
    </r>
  </si>
  <si>
    <t>Update: Architect can Spike this and get back on the volume of work involved. (check with Marek )</t>
  </si>
  <si>
    <t>Having a list all components used in GWCP platform and the timeouts (Response and Idle Connection) specified in each of those components, minimum allowed connections and maximum allowed connections etc. 
Currently this list is unavailable and while investigating issues, teams are spending considerable amount of time to narrow down the failure</t>
  </si>
  <si>
    <t xml:space="preserve">Update: Can Larry take a look and present opinions. </t>
  </si>
  <si>
    <t xml:space="preserve">Avondale, Vulcan, Kanata, Sausalito, Gokarna, Warrior, Ajanta, Bolinas, Piatek, Solina, Dobra, Wola, Godavari
</t>
  </si>
  <si>
    <t>Okocim, Avondale</t>
  </si>
  <si>
    <r>
      <rPr/>
      <t xml:space="preserve">Isolation: infra, Authn/Z/Security for AI Workload
Danville: Ephemeral Sandbox container
Sausalito/Brilliant: Agent Identity: SPIFFE/SPIRE
Moose Factory/Guard: Agent permissions. Agent flow/context aware?
See </t>
    </r>
    <r>
      <rPr>
        <color rgb="FF1155CC"/>
        <u/>
      </rPr>
      <t>https://docs.google.com/presentation/d/1pRkuttB-V-_8tf1UxfYV54GU73KUFaXArxjGBKg_SO0/edit?slide=id.g3d2583366a7_0_348#slide=id.g3d2583366a7_0_348</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</si>
  <si>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</si>
  <si>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</si>
  <si>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</si>
  <si>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</si>
  <si>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</si>
  <si>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</si>
  <si>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Unknown</t>
  </si>
  <si>
    <r>
      <rPr/>
      <t xml:space="preserve">AWS Service Network Isolation ("AWS Resources – Tenant Isolation" in Proposals tab)
</t>
    </r>
    <r>
      <rPr>
        <color rgb="FF1155CC"/>
        <u/>
      </rPr>
      <t>https://guidewireconfluence.atlassian.net/wiki/spaces/ORANGE/pages/3405087212/AWS+Service+Tenant+Network+Isolation+-+One+Pager</t>
    </r>
    <r>
      <rPr/>
      <t xml:space="preserve">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</si>
  <si>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</si>
  <si>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r>
      <rPr/>
      <t xml:space="preserve">Postgres OAM – CNPG MVP
</t>
    </r>
    <r>
      <rPr>
        <color rgb="FF1155CC"/>
      </rPr>
      <t xml:space="preserve">https://guidewireconfluence.atlassian.net/wiki/spaces/ORANGE/pages/3404399061/CNPG+OAM+MVP+-+One+Pager
</t>
    </r>
  </si>
  <si>
    <r>
      <rPr>
        <rFont val="Arial"/>
        <color rgb="FFEA9999"/>
      </rPr>
      <t xml:space="preserve">replace this with a pod name, who needs to do some work for your pod to be able to proceed. If there is no dependency for your pod to finish your work, then just write "NONE". When done, please use </t>
    </r>
    <r>
      <rPr>
        <rFont val="Arial"/>
        <b/>
        <color rgb="FFEA9999"/>
      </rPr>
      <t>Black</t>
    </r>
    <r>
      <rPr>
        <rFont val="Arial"/>
        <color rgb="FFEA9999"/>
      </rPr>
      <t xml:space="preserve"> font to indicate that the action is taken. </t>
    </r>
  </si>
  <si>
    <t>Warrior, Dobra</t>
  </si>
  <si>
    <t>SCIM Based User Provisioning in IS for Liberty
(Liberty is asking for a date on this)</t>
  </si>
  <si>
    <t>Alleppey, Sausalito</t>
  </si>
  <si>
    <r>
      <rPr/>
      <t xml:space="preserve">IP Allowlist on App level </t>
    </r>
    <r>
      <rPr>
        <color rgb="FF1155CC"/>
        <u/>
      </rPr>
      <t>https://guidewireconfluence.atlassian.net/wiki/x/s4ETyw</t>
    </r>
  </si>
  <si>
    <t>in dev weeks, pod capacity 156</t>
  </si>
  <si>
    <t>in dev weeks, pod capacity 104</t>
  </si>
  <si>
    <t>in dev weeks, pod capacity 208</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</si>
</sst>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d"/>
    <numFmt numFmtId="165" formatCode="mmm d, yyyy"/>
    <numFmt numFmtId="166" formatCode="mmmm yyyy"/>
    <numFmt numFmtId="167" formatCode="mmm yyyy"/>
  </numFmts>
  <fonts count="51">
    <font>
      <sz val="10.0"/>
      <color rgb="FF000000"/>
      <name val="Arial"/>
      <scheme val="minor"/>
    </font>
    <font>
      <b/>
      <color rgb="FF0000FF"/>
      <name val="Arial"/>
    </font>
    <font>
      <b/>
      <color rgb="FF0000FF"/>
      <name val="Arial"/>
      <scheme val="minor"/>
    </font>
    <font>
      <b/>
      <color rgb="FFFFFF00"/>
      <name val="Arial"/>
      <scheme val="minor"/>
    </font>
    <font>
      <color theme="1"/>
      <name val="Arial"/>
    </font>
    <font>
      <b/>
      <color theme="1"/>
      <name val="Arial"/>
      <scheme val="minor"/>
    </font>
    <font>
      <b/>
      <color rgb="FFFFFFFF"/>
      <name val="Arial"/>
    </font>
    <font>
      <u/>
      <color rgb="FF0000FF"/>
    </font>
    <font>
      <b/>
      <color rgb="FFFFFFFF"/>
      <name val="Arial"/>
      <scheme val="minor"/>
    </font>
    <font>
      <u/>
      <color theme="1"/>
      <name val="Arial"/>
    </font>
    <font>
      <color theme="1"/>
      <name val="Arial"/>
      <scheme val="minor"/>
    </font>
    <font>
      <u/>
      <color theme="1"/>
      <name val="Arial"/>
      <scheme val="minor"/>
    </font>
    <font>
      <u/>
      <color theme="1"/>
      <name val="Arial"/>
    </font>
    <font>
      <u/>
      <color theme="1"/>
      <name val="Arial"/>
    </font>
    <font>
      <u/>
      <color theme="1"/>
      <name val="Arial"/>
      <scheme val="minor"/>
    </font>
    <font>
      <b/>
      <color rgb="FF38761D"/>
      <name val="Arial"/>
      <scheme val="minor"/>
    </font>
    <font>
      <u/>
      <color theme="1"/>
      <name val="Arial"/>
    </font>
    <font>
      <u/>
      <color rgb="FF0000FF"/>
      <name val="Arial"/>
    </font>
    <font>
      <color rgb="FF0000FF"/>
      <name val="Arial"/>
    </font>
    <font>
      <color rgb="FF1155CC"/>
      <name val="Arial"/>
      <scheme val="minor"/>
    </font>
    <font>
      <b/>
      <color rgb="FF6AA84F"/>
      <name val="Arial"/>
      <scheme val="minor"/>
    </font>
    <font>
      <color rgb="FF000000"/>
      <name val="Arial"/>
    </font>
    <font>
      <color rgb="FFEA9999"/>
      <name val="Arial"/>
    </font>
    <font>
      <u/>
      <color rgb="FF1155CC"/>
    </font>
    <font>
      <b/>
      <color rgb="FF274E13"/>
      <name val="Arial"/>
      <scheme val="minor"/>
    </font>
    <font>
      <color rgb="FF000000"/>
      <name val="Arial"/>
      <scheme val="minor"/>
    </font>
    <font>
      <strike/>
      <color theme="1"/>
      <name val="Arial"/>
      <scheme val="minor"/>
    </font>
    <font>
      <u/>
      <color theme="1"/>
      <name val="Arial"/>
    </font>
    <font>
      <u/>
      <color rgb="FF0000FF"/>
      <name val="Arial"/>
    </font>
    <font>
      <color rgb="FFFFFFFF"/>
      <name val="Arial"/>
      <scheme val="minor"/>
    </font>
    <font>
      <color rgb="FF434343"/>
      <name val="Arial"/>
    </font>
    <font>
      <u/>
      <sz val="11.0"/>
      <color rgb="FF1F1F1F"/>
      <name val="Roboto"/>
    </font>
    <font>
      <u/>
      <color rgb="FF0000FF"/>
    </font>
    <font>
      <u/>
      <color rgb="FF0000FF"/>
    </font>
    <font>
      <u/>
      <color theme="1"/>
      <name val="Arial"/>
    </font>
    <font>
      <u/>
      <color theme="1"/>
      <name val="Arial"/>
    </font>
    <font>
      <b/>
      <color theme="1"/>
      <name val="Arial"/>
    </font>
    <font>
      <u/>
      <color theme="1"/>
      <name val="Arial"/>
      <scheme val="minor"/>
    </font>
    <font>
      <b/>
      <color rgb="FF0F172A"/>
      <name val="Arial"/>
    </font>
    <font>
      <b/>
      <color rgb="FF0F172A"/>
      <name val="Ui-sans-serif"/>
    </font>
    <font>
      <u/>
      <color rgb="FF0000FF"/>
    </font>
    <font>
      <b/>
      <strike/>
      <color theme="1"/>
      <name val="Arial"/>
      <scheme val="minor"/>
    </font>
    <font>
      <b/>
      <u/>
      <color theme="1"/>
      <name val="Arial"/>
      <scheme val="minor"/>
    </font>
    <font>
      <i/>
      <sz val="11.0"/>
      <color rgb="FF1F1F1F"/>
      <name val="Roboto"/>
    </font>
    <font>
      <strike/>
      <color rgb="FF0000FF"/>
    </font>
    <font>
      <color rgb="FF0000FF"/>
      <name val="Arial"/>
      <scheme val="minor"/>
    </font>
    <font>
      <u/>
      <color rgb="FF0000FF"/>
    </font>
    <font>
      <u/>
      <color theme="1"/>
      <name val="Arial"/>
    </font>
    <font>
      <u/>
      <color theme="1"/>
      <name val="Arial"/>
    </font>
    <font>
      <u/>
      <color theme="1"/>
      <name val="Arial"/>
    </font>
    <font>
      <b/>
      <color rgb="FF000000"/>
      <name val="Arial"/>
    </font>
  </fonts>
  <fills count="15">
    <fill>
      <patternFill patternType="none"/>
    </fill>
    <fill>
      <patternFill patternType="lightGray"/>
    </fill>
    <fill>
      <patternFill patternType="solid">
        <fgColor rgb="FFD5A6BD"/>
        <bgColor rgb="FFD5A6BD"/>
      </patternFill>
    </fill>
    <fill>
      <patternFill patternType="solid">
        <fgColor rgb="FFFFD966"/>
        <bgColor rgb="FFFFD966"/>
      </patternFill>
    </fill>
    <fill>
      <patternFill patternType="solid">
        <fgColor rgb="FF0000FF"/>
        <bgColor rgb="FF0000FF"/>
      </patternFill>
    </fill>
    <fill>
      <patternFill patternType="solid">
        <fgColor rgb="FFFFE599"/>
        <bgColor rgb="FFFFE599"/>
      </patternFill>
    </fill>
    <fill>
      <patternFill patternType="solid">
        <fgColor rgb="FF9900FF"/>
        <bgColor rgb="FF9900FF"/>
      </patternFill>
    </fill>
    <fill>
      <patternFill patternType="solid">
        <fgColor rgb="FFFFF2CC"/>
        <bgColor rgb="FFFFF2CC"/>
      </patternFill>
    </fill>
    <fill>
      <patternFill patternType="solid">
        <fgColor rgb="FF4A86E8"/>
        <bgColor rgb="FF4A86E8"/>
      </patternFill>
    </fill>
    <fill>
      <patternFill patternType="solid">
        <fgColor rgb="FFB4A7D6"/>
        <bgColor rgb="FFB4A7D6"/>
      </patternFill>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
      <patternFill patternType="solid">
        <fgColor rgb="FFF1C232"/>
        <bgColor rgb="FFF1C232"/>
      </patternFill>
    </fill>
    <fill>
      <patternFill patternType="solid">
        <fgColor rgb="FF000000"/>
        <bgColor rgb="FF000000"/>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textRotation="0" vertical="center"/>
    </xf>
    <xf borderId="1" fillId="2" fontId="1" numFmtId="0" xfId="0" applyAlignment="1" applyBorder="1" applyFill="1" applyFont="1">
      <alignment horizontal="center" readingOrder="0" shrinkToFit="0" textRotation="0" vertical="center" wrapText="1"/>
    </xf>
    <xf borderId="1" fillId="3" fontId="2" numFmtId="0" xfId="0" applyAlignment="1" applyBorder="1" applyFill="1" applyFont="1">
      <alignment readingOrder="0" vertical="center"/>
    </xf>
    <xf borderId="1" fillId="4" fontId="3" numFmtId="49" xfId="0" applyAlignment="1" applyBorder="1" applyFill="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5" fontId="5" numFmtId="0" xfId="0" applyAlignment="1" applyBorder="1" applyFill="1" applyFont="1">
      <alignment readingOrder="0" shrinkToFit="0" vertical="center" wrapText="1"/>
    </xf>
    <xf borderId="1" fillId="6" fontId="6" numFmtId="0" xfId="0" applyAlignment="1" applyBorder="1" applyFill="1" applyFont="1">
      <alignment horizontal="center" readingOrder="0" shrinkToFit="0" textRotation="0" vertical="center" wrapText="1"/>
    </xf>
    <xf borderId="1" fillId="0" fontId="7" numFmtId="0" xfId="0" applyAlignment="1" applyBorder="1" applyFont="1">
      <alignment readingOrder="0" shrinkToFit="0" vertical="center" wrapText="1"/>
    </xf>
    <xf borderId="1" fillId="4" fontId="6" numFmtId="0" xfId="0" applyAlignment="1" applyBorder="1" applyFill="1" applyFont="1">
      <alignment horizontal="center" readingOrder="0" shrinkToFit="0" textRotation="0" vertical="center" wrapText="1"/>
    </xf>
    <xf borderId="1" fillId="5" fontId="5" numFmtId="0" xfId="0" applyAlignment="1" applyBorder="1" applyFill="1" applyFont="1">
      <alignment horizontal="left" readingOrder="0" shrinkToFit="0" vertical="center" wrapText="1"/>
    </xf>
    <xf borderId="1" fillId="7" fontId="1" numFmtId="0" xfId="0" applyAlignment="1" applyBorder="1" applyFill="1" applyFont="1">
      <alignment horizontal="center" readingOrder="0" textRotation="60" vertical="center"/>
    </xf>
    <xf borderId="0" fillId="8" fontId="8" numFmtId="0" xfId="0" applyAlignment="1" applyFill="1" applyFont="1">
      <alignment readingOrder="0" shrinkToFit="0" vertical="center" wrapText="1"/>
    </xf>
    <xf borderId="1" fillId="7" fontId="1" numFmtId="0" xfId="0" applyAlignment="1" applyBorder="1" applyFill="1" applyFont="1">
      <alignment horizontal="center" textRotation="60" vertical="center"/>
    </xf>
    <xf borderId="0" fillId="0" fontId="5" numFmtId="0" xfId="0" applyAlignment="1" applyFont="1">
      <alignment readingOrder="0" shrinkToFit="0" vertical="center" wrapText="1"/>
    </xf>
    <xf borderId="0" fillId="0" fontId="5" numFmtId="0" xfId="0" applyAlignment="1" applyFont="1">
      <alignment shrinkToFit="0" vertical="center" wrapText="1"/>
    </xf>
    <xf borderId="1" fillId="7" fontId="1" numFmtId="0" xfId="0" applyAlignment="1" applyBorder="1" applyFill="1" applyFont="1">
      <alignment horizontal="center" textRotation="60" vertical="center"/>
    </xf>
    <xf borderId="1" fillId="9" fontId="1" numFmtId="0" xfId="0" applyAlignment="1" applyBorder="1" applyFill="1" applyFont="1">
      <alignment horizontal="center" readingOrder="0" textRotation="60" vertical="center"/>
    </xf>
    <xf borderId="1" fillId="0" fontId="9" numFmtId="0" xfId="0" applyAlignment="1" applyBorder="1" applyFont="1">
      <alignment readingOrder="0" vertical="center"/>
    </xf>
    <xf borderId="1" fillId="9" fontId="1" numFmtId="0" xfId="0" applyAlignment="1" applyBorder="1" applyFill="1" applyFont="1">
      <alignment horizontal="center" textRotation="60" vertical="center"/>
    </xf>
    <xf borderId="0" fillId="0" fontId="10" numFmtId="0" xfId="0" applyFont="1"/>
    <xf borderId="1" fillId="0" fontId="11" numFmtId="0" xfId="0" applyAlignment="1" applyBorder="1" applyFont="1">
      <alignment readingOrder="0" shrinkToFit="0" vertical="center" wrapText="1"/>
    </xf>
    <xf borderId="1" fillId="0" fontId="10" numFmtId="0" xfId="0" applyBorder="1" applyFont="1"/>
    <xf borderId="1" fillId="0" fontId="10" numFmtId="0" xfId="0" applyAlignment="1" applyBorder="1" applyFont="1">
      <alignment horizontal="center"/>
    </xf>
    <xf borderId="1" fillId="0" fontId="10" numFmtId="0" xfId="0" applyAlignment="1" applyBorder="1" applyFont="1">
      <alignment readingOrder="0" shrinkToFit="0" vertical="center" wrapText="1"/>
    </xf>
    <xf borderId="0" fillId="0" fontId="12" numFmtId="0" xfId="0" applyAlignment="1" applyFont="1">
      <alignment horizontal="center" readingOrder="0" vertical="center"/>
    </xf>
    <xf borderId="2" fillId="0" fontId="13" numFmtId="0" xfId="0" applyAlignment="1" applyBorder="1" applyFont="1">
      <alignment horizontal="center" readingOrder="0" vertical="center"/>
    </xf>
    <xf borderId="1" fillId="0" fontId="14" numFmtId="0" xfId="0" applyBorder="1" applyFont="1"/>
    <xf borderId="1" fillId="0" fontId="10" numFmtId="0" xfId="0" applyAlignment="1" applyBorder="1" applyFont="1">
      <alignment readingOrder="0" vertical="center"/>
    </xf>
    <xf borderId="1" fillId="0" fontId="15" numFmtId="0" xfId="0" applyAlignment="1" applyBorder="1" applyFont="1">
      <alignment horizontal="center"/>
    </xf>
    <xf borderId="1" fillId="0" fontId="10" numFmtId="0" xfId="0" applyAlignment="1" applyBorder="1" applyFont="1">
      <alignment readingOrder="0"/>
    </xf>
    <xf borderId="1" fillId="0" fontId="10" numFmtId="0" xfId="0" applyAlignment="1" applyBorder="1" applyFont="1">
      <alignment horizontal="left" readingOrder="0" shrinkToFit="0" vertical="center" wrapText="1"/>
    </xf>
    <xf borderId="1" fillId="0" fontId="10" numFmtId="0" xfId="0" applyAlignment="1" applyBorder="1" applyFont="1">
      <alignment shrinkToFit="0" vertical="center" wrapText="1"/>
    </xf>
    <xf borderId="0" fillId="0" fontId="10" numFmtId="0" xfId="0" applyAlignment="1" applyFont="1">
      <alignment shrinkToFit="0" vertical="center" wrapText="1"/>
    </xf>
    <xf borderId="1" fillId="0" fontId="16" numFmtId="0" xfId="0" applyAlignment="1" applyBorder="1" applyFont="1">
      <alignment horizontal="center" readingOrder="0" vertical="center"/>
    </xf>
    <xf borderId="1" fillId="0" fontId="10" numFmtId="0" xfId="0" applyAlignment="1" applyBorder="1" applyFont="1">
      <alignment readingOrder="0" shrinkToFit="0" wrapText="1"/>
    </xf>
    <xf borderId="1" fillId="10" fontId="10" numFmtId="0" xfId="0" applyBorder="1" applyFill="1" applyFont="1"/>
    <xf borderId="1" fillId="11" fontId="10" numFmtId="0" xfId="0" applyAlignment="1" applyBorder="1" applyFill="1" applyFont="1">
      <alignment readingOrder="0" shrinkToFit="0" vertical="center" wrapText="1"/>
    </xf>
    <xf borderId="1" fillId="0" fontId="17" numFmtId="0" xfId="0" applyAlignment="1" applyBorder="1" applyFont="1">
      <alignment readingOrder="0" shrinkToFit="0" vertical="center" wrapText="1"/>
    </xf>
    <xf borderId="1" fillId="9" fontId="4" numFmtId="0" xfId="0" applyAlignment="1" applyBorder="1" applyFill="1" applyFont="1">
      <alignment horizontal="center" readingOrder="0" vertical="center"/>
    </xf>
    <xf borderId="1" fillId="0" fontId="18" numFmtId="0" xfId="0" applyAlignment="1" applyBorder="1" applyFont="1">
      <alignment horizontal="center" readingOrder="0" shrinkToFit="0" vertical="center" wrapText="1"/>
    </xf>
    <xf borderId="1" fillId="0" fontId="19" numFmtId="0" xfId="0" applyAlignment="1" applyBorder="1" applyFont="1">
      <alignment readingOrder="0" shrinkToFit="0" vertical="center" wrapText="1"/>
    </xf>
    <xf borderId="1" fillId="7" fontId="4" numFmtId="0" xfId="0" applyAlignment="1" applyBorder="1" applyFill="1" applyFont="1">
      <alignment horizontal="center" readingOrder="0" vertical="center"/>
    </xf>
    <xf borderId="0" fillId="0" fontId="10" numFmtId="0" xfId="0" applyAlignment="1" applyFont="1">
      <alignment horizontal="center"/>
    </xf>
    <xf borderId="1" fillId="7" fontId="20" numFmtId="0" xfId="0" applyAlignment="1" applyBorder="1" applyFill="1" applyFont="1">
      <alignment horizontal="center"/>
    </xf>
    <xf borderId="1" fillId="0" fontId="10" numFmtId="0" xfId="0" applyAlignment="1" applyBorder="1" applyFont="1">
      <alignment readingOrder="0" shrinkToFit="0" vertical="center" wrapText="1"/>
    </xf>
    <xf borderId="1" fillId="7" fontId="4" numFmtId="0" xfId="0" applyAlignment="1" applyBorder="1" applyFill="1" applyFont="1">
      <alignment readingOrder="0" vertical="center"/>
    </xf>
    <xf borderId="1" fillId="0" fontId="4" numFmtId="0" xfId="0" applyAlignment="1" applyBorder="1" applyFont="1">
      <alignment shrinkToFit="0" vertical="center" wrapText="1"/>
    </xf>
    <xf borderId="1" fillId="0" fontId="4" numFmtId="0" xfId="0" applyAlignment="1" applyBorder="1" applyFont="1">
      <alignment horizontal="center" readingOrder="0" vertical="center"/>
    </xf>
    <xf borderId="1" fillId="0" fontId="21" numFmtId="0" xfId="0" applyAlignment="1" applyBorder="1" applyFont="1">
      <alignment readingOrder="0" vertical="center"/>
    </xf>
    <xf borderId="1" fillId="0" fontId="4" numFmtId="0" xfId="0" applyAlignment="1" applyBorder="1" applyFont="1">
      <alignment readingOrder="0" vertical="center"/>
    </xf>
    <xf borderId="1" fillId="0" fontId="10" numFmtId="0" xfId="0" applyAlignment="1" applyBorder="1" applyFont="1">
      <alignment horizontal="left" shrinkToFit="0" vertical="center" wrapText="1"/>
    </xf>
    <xf borderId="1" fillId="0" fontId="22" numFmtId="0" xfId="0" applyAlignment="1" applyBorder="1" applyFont="1">
      <alignment readingOrder="0" vertical="center"/>
    </xf>
    <xf borderId="1" fillId="0" fontId="23" numFmtId="0" xfId="0" applyAlignment="1" applyBorder="1" applyFont="1">
      <alignment readingOrder="0" shrinkToFit="0" vertical="center" wrapText="1"/>
    </xf>
    <xf borderId="1" fillId="7" fontId="10" numFmtId="0" xfId="0" applyBorder="1" applyFill="1" applyFont="1"/>
    <xf borderId="1" fillId="0" fontId="21" numFmtId="0" xfId="0" applyAlignment="1" applyBorder="1" applyFont="1">
      <alignment readingOrder="0" shrinkToFit="0" vertical="center" wrapText="1"/>
    </xf>
    <xf borderId="1" fillId="12" fontId="21" numFmtId="0" xfId="0" applyAlignment="1" applyBorder="1" applyFill="1" applyFont="1">
      <alignment readingOrder="0" vertical="center"/>
    </xf>
    <xf borderId="1" fillId="12" fontId="4" numFmtId="0" xfId="0" applyAlignment="1" applyBorder="1" applyFill="1" applyFont="1">
      <alignment readingOrder="0" vertical="center"/>
    </xf>
    <xf borderId="1" fillId="13" fontId="24" numFmtId="0" xfId="0" applyAlignment="1" applyBorder="1" applyFill="1" applyFont="1">
      <alignment horizontal="center"/>
    </xf>
    <xf borderId="1" fillId="0" fontId="25" numFmtId="0" xfId="0" applyAlignment="1" applyBorder="1" applyFont="1">
      <alignment readingOrder="0"/>
    </xf>
    <xf borderId="1" fillId="0" fontId="26" numFmtId="0" xfId="0" applyAlignment="1" applyBorder="1" applyFont="1">
      <alignment readingOrder="0" shrinkToFit="0" vertical="center" wrapText="1"/>
    </xf>
    <xf borderId="1" fillId="0" fontId="26" numFmtId="0" xfId="0" applyAlignment="1" applyBorder="1" applyFont="1">
      <alignment horizontal="left" shrinkToFit="0" vertical="center" wrapText="1"/>
    </xf>
    <xf borderId="1" fillId="0" fontId="4" numFmtId="0" xfId="0" applyAlignment="1" applyBorder="1" applyFont="1">
      <alignment readingOrder="0" shrinkToFit="0" vertical="center" wrapText="1"/>
    </xf>
    <xf borderId="0" fillId="0" fontId="10" numFmtId="0" xfId="0" applyAlignment="1" applyFont="1">
      <alignment readingOrder="0" shrinkToFit="0" vertical="center" wrapText="1"/>
    </xf>
    <xf borderId="1" fillId="0" fontId="27"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28"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14" fontId="29" numFmtId="0" xfId="0" applyAlignment="1" applyBorder="1" applyFill="1" applyFont="1">
      <alignment horizontal="center" readingOrder="0"/>
    </xf>
    <xf borderId="1" fillId="14" fontId="29" numFmtId="0" xfId="0" applyAlignment="1" applyBorder="1" applyFill="1" applyFont="1">
      <alignment readingOrder="0"/>
    </xf>
    <xf borderId="1" fillId="0" fontId="10" numFmtId="164" xfId="0" applyAlignment="1" applyBorder="1" applyFont="1" applyNumberFormat="1">
      <alignment horizontal="center" readingOrder="0"/>
    </xf>
    <xf borderId="1" fillId="0" fontId="10" numFmtId="0" xfId="0" applyAlignment="1" applyBorder="1" applyFont="1">
      <alignment horizontal="center" readingOrder="0"/>
    </xf>
    <xf borderId="1" fillId="0" fontId="30" numFmtId="0" xfId="0" applyAlignment="1" applyBorder="1" applyFont="1">
      <alignment readingOrder="0" vertical="center"/>
    </xf>
    <xf borderId="1" fillId="12" fontId="31" numFmtId="0" xfId="0" applyAlignment="1" applyBorder="1" applyFill="1" applyFont="1">
      <alignment readingOrder="0"/>
    </xf>
    <xf borderId="1" fillId="0" fontId="21" numFmtId="0" xfId="0" applyAlignment="1" applyBorder="1" applyFont="1">
      <alignment horizontal="right" readingOrder="0" vertical="center"/>
    </xf>
    <xf borderId="1" fillId="0" fontId="10" numFmtId="165" xfId="0" applyAlignment="1" applyBorder="1" applyFont="1" applyNumberFormat="1">
      <alignment horizontal="left" readingOrder="0" shrinkToFit="0" vertical="center" wrapText="1"/>
    </xf>
    <xf borderId="1" fillId="0" fontId="2" numFmtId="0" xfId="0" applyAlignment="1" applyBorder="1" applyFont="1">
      <alignment readingOrder="0" shrinkToFit="0" vertical="center" wrapText="1"/>
    </xf>
    <xf borderId="0" fillId="0" fontId="32" numFmtId="0" xfId="0" applyAlignment="1" applyFont="1">
      <alignment readingOrder="0" shrinkToFit="0" vertical="center" wrapText="1"/>
    </xf>
    <xf borderId="1" fillId="11" fontId="4" numFmtId="0" xfId="0" applyAlignment="1" applyBorder="1" applyFill="1" applyFont="1">
      <alignment horizontal="center" readingOrder="0" shrinkToFit="0" vertical="center" wrapText="1"/>
    </xf>
    <xf borderId="1" fillId="11" fontId="33" numFmtId="0" xfId="0" applyAlignment="1" applyBorder="1" applyFill="1" applyFont="1">
      <alignment readingOrder="0" shrinkToFit="0" vertical="center" wrapText="1"/>
    </xf>
    <xf borderId="1" fillId="11" fontId="34" numFmtId="0" xfId="0" applyAlignment="1" applyBorder="1" applyFill="1" applyFont="1">
      <alignment readingOrder="0" vertical="center"/>
    </xf>
    <xf borderId="1" fillId="11" fontId="35" numFmtId="0" xfId="0" applyAlignment="1" applyBorder="1" applyFill="1" applyFont="1">
      <alignment horizontal="center" readingOrder="0" vertical="center"/>
    </xf>
    <xf borderId="1" fillId="0" fontId="4" numFmtId="0" xfId="0" applyAlignment="1" applyBorder="1" applyFont="1">
      <alignment horizontal="center" readingOrder="0" vertical="bottom"/>
    </xf>
    <xf borderId="1" fillId="0" fontId="4" numFmtId="0" xfId="0" applyAlignment="1" applyBorder="1" applyFont="1">
      <alignment readingOrder="0" vertical="bottom"/>
    </xf>
    <xf borderId="1" fillId="0" fontId="36" numFmtId="0" xfId="0" applyAlignment="1" applyBorder="1" applyFont="1">
      <alignment horizontal="center" readingOrder="0" vertical="bottom"/>
    </xf>
    <xf borderId="1" fillId="0" fontId="37" numFmtId="0" xfId="0" applyAlignment="1" applyBorder="1" applyFont="1">
      <alignment readingOrder="0"/>
    </xf>
    <xf borderId="1" fillId="0" fontId="10" numFmtId="0" xfId="0" applyAlignment="1" applyBorder="1" applyFont="1">
      <alignment vertical="center"/>
    </xf>
    <xf borderId="0" fillId="0" fontId="10" numFmtId="0" xfId="0" applyAlignment="1" applyFont="1">
      <alignment vertical="center"/>
    </xf>
    <xf borderId="1" fillId="0" fontId="38" numFmtId="0" xfId="0" applyAlignment="1" applyBorder="1" applyFont="1">
      <alignment readingOrder="0" vertical="center"/>
    </xf>
    <xf borderId="1" fillId="0" fontId="39" numFmtId="0" xfId="0" applyAlignment="1" applyBorder="1" applyFont="1">
      <alignment readingOrder="0" vertical="center"/>
    </xf>
    <xf borderId="1" fillId="0" fontId="10" numFmtId="166" xfId="0" applyAlignment="1" applyBorder="1" applyFont="1" applyNumberFormat="1">
      <alignment horizontal="left" readingOrder="0" shrinkToFit="0" vertical="center" wrapText="1"/>
    </xf>
    <xf borderId="1" fillId="0" fontId="5" numFmtId="0" xfId="0" applyAlignment="1" applyBorder="1" applyFont="1">
      <alignment readingOrder="0" shrinkToFit="0" vertical="center" wrapText="1"/>
    </xf>
    <xf borderId="1" fillId="0" fontId="10" numFmtId="167" xfId="0" applyAlignment="1" applyBorder="1" applyFont="1" applyNumberFormat="1">
      <alignment horizontal="left" readingOrder="0" shrinkToFit="0" vertical="center" wrapText="1"/>
    </xf>
    <xf borderId="1" fillId="0" fontId="38" numFmtId="0" xfId="0" applyAlignment="1" applyBorder="1" applyFont="1">
      <alignment readingOrder="0" shrinkToFit="0" vertical="center" wrapText="1"/>
    </xf>
    <xf borderId="0" fillId="0" fontId="21" numFmtId="0" xfId="0" applyAlignment="1" applyFont="1">
      <alignment readingOrder="0" vertical="center"/>
    </xf>
    <xf borderId="1" fillId="0" fontId="40" numFmtId="0" xfId="0" applyAlignment="1" applyBorder="1" applyFont="1">
      <alignment readingOrder="0" shrinkToFit="0" vertical="center" wrapText="1"/>
    </xf>
    <xf borderId="1" fillId="0" fontId="41" numFmtId="0" xfId="0" applyAlignment="1" applyBorder="1" applyFont="1">
      <alignment readingOrder="0" shrinkToFit="0" vertical="center" wrapText="1"/>
    </xf>
    <xf borderId="1" fillId="0" fontId="26" numFmtId="0" xfId="0" applyAlignment="1" applyBorder="1" applyFont="1">
      <alignment horizontal="left" readingOrder="0" shrinkToFit="0" vertical="center" wrapText="1"/>
    </xf>
    <xf borderId="1" fillId="0" fontId="26" numFmtId="0" xfId="0" applyAlignment="1" applyBorder="1" applyFont="1">
      <alignment shrinkToFit="0" vertical="center" wrapText="1"/>
    </xf>
    <xf borderId="1" fillId="0" fontId="5" numFmtId="0" xfId="0" applyAlignment="1" applyBorder="1" applyFont="1">
      <alignment readingOrder="0" vertical="center"/>
    </xf>
    <xf borderId="1" fillId="0" fontId="42" numFmtId="0" xfId="0" applyAlignment="1" applyBorder="1" applyFont="1">
      <alignment readingOrder="0" shrinkToFit="0" vertical="center" wrapText="1"/>
    </xf>
    <xf borderId="1" fillId="12" fontId="43" numFmtId="0" xfId="0" applyAlignment="1" applyBorder="1" applyFill="1" applyFont="1">
      <alignment readingOrder="0"/>
    </xf>
    <xf borderId="0" fillId="0" fontId="4" numFmtId="0" xfId="0" applyAlignment="1" applyFont="1">
      <alignment readingOrder="0" vertical="center"/>
    </xf>
    <xf borderId="1" fillId="0" fontId="44" numFmtId="0" xfId="0" applyAlignment="1" applyBorder="1" applyFont="1">
      <alignment readingOrder="0" shrinkToFit="0" vertical="center" wrapText="1"/>
    </xf>
    <xf borderId="1" fillId="0" fontId="45" numFmtId="0" xfId="0" applyAlignment="1" applyBorder="1" applyFont="1">
      <alignment readingOrder="0" shrinkToFit="0" vertical="center" wrapText="1"/>
    </xf>
    <xf borderId="0" fillId="0" fontId="10" numFmtId="0" xfId="0" applyAlignment="1" applyFont="1">
      <alignment horizontal="left" shrinkToFit="0" vertical="center" wrapText="1"/>
    </xf>
    <xf borderId="1" fillId="7" fontId="4" numFmtId="0" xfId="0" applyAlignment="1" applyBorder="1" applyFill="1" applyFont="1">
      <alignment horizontal="center" readingOrder="0" shrinkToFit="0" vertical="center" wrapText="1"/>
    </xf>
    <xf borderId="1" fillId="7" fontId="46" numFmtId="0" xfId="0" applyAlignment="1" applyBorder="1" applyFill="1" applyFont="1">
      <alignment readingOrder="0" shrinkToFit="0" vertical="center" wrapText="1"/>
    </xf>
    <xf borderId="1" fillId="7" fontId="47" numFmtId="0" xfId="0" applyAlignment="1" applyBorder="1" applyFill="1" applyFont="1">
      <alignment readingOrder="0" vertical="center"/>
    </xf>
    <xf borderId="1" fillId="7" fontId="48" numFmtId="0" xfId="0" applyAlignment="1" applyBorder="1" applyFill="1" applyFont="1">
      <alignment horizontal="center" readingOrder="0" vertical="center"/>
    </xf>
    <xf borderId="1" fillId="7" fontId="21" numFmtId="0" xfId="0" applyAlignment="1" applyBorder="1" applyFill="1" applyFont="1">
      <alignment readingOrder="0" vertical="center"/>
    </xf>
    <xf borderId="1" fillId="7" fontId="22" numFmtId="0" xfId="0" applyAlignment="1" applyBorder="1" applyFill="1" applyFont="1">
      <alignment readingOrder="0" vertical="center"/>
    </xf>
    <xf borderId="1" fillId="0" fontId="49" numFmtId="0" xfId="0" applyAlignment="1" applyBorder="1" applyFont="1">
      <alignment readingOrder="0" vertical="center"/>
    </xf>
    <xf borderId="1" fillId="0" fontId="4" numFmtId="0" xfId="0" applyBorder="1" applyFont="1"/>
    <xf borderId="0" fillId="0" fontId="4" numFmtId="0" xfId="0" applyAlignment="1" applyFont="1">
      <alignment vertical="bottom"/>
    </xf>
    <xf borderId="0" fillId="0" fontId="36" numFmtId="0" xfId="0" applyAlignment="1" applyFont="1">
      <alignment horizontal="center" vertical="bottom"/>
    </xf>
    <xf borderId="0" fillId="12" fontId="36" numFmtId="0" xfId="0" applyAlignment="1" applyFill="1" applyFont="1">
      <alignment horizontal="center" vertical="bottom"/>
    </xf>
    <xf borderId="0" fillId="0" fontId="50" numFmtId="0" xfId="0" applyAlignment="1" applyFont="1">
      <alignment horizontal="center" vertical="bottom"/>
    </xf>
    <xf borderId="0" fillId="0" fontId="4" numFmtId="9" xfId="0" applyAlignment="1" applyFont="1" applyNumberFormat="1">
      <alignment vertical="bottom"/>
    </xf>
    <xf borderId="0" fillId="0" fontId="4" numFmtId="0" xfId="0" applyAlignment="1" applyFont="1">
      <alignment readingOrder="0" shrinkToFit="0" vertical="bottom" wrapText="1"/>
    </xf>
    <xf borderId="0" fillId="12" fontId="4" numFmtId="9" xfId="0" applyAlignment="1" applyFill="1" applyFont="1" applyNumberFormat="1">
      <alignment vertical="bottom"/>
    </xf>
    <xf borderId="0" fillId="0" fontId="21" numFmtId="9" xfId="0" applyAlignment="1" applyFont="1" applyNumberFormat="1">
      <alignment vertical="bottom"/>
    </xf>
    <xf borderId="0" fillId="12" fontId="4" numFmtId="0" xfId="0" applyAlignment="1" applyFill="1" applyFont="1">
      <alignment vertical="bottom"/>
    </xf>
    <xf borderId="0" fillId="0" fontId="21" numFmtId="0" xfId="0" applyAlignment="1" applyFont="1">
      <alignment vertical="bottom"/>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3a4ffd9b-6403-430e-8a11-f0feaf04c8a7}">
    <Anchor>
      <Comment id="{3a0d5026-b3da-4be6-8453-2350102a9f91}"/>
    </Anchor>
    <History>
      <Event time="2026-07-13T19:22:23.00" id="{6341dbf4-4bfb-47b4-bb2c-0a48837902e8}">
        <Attribution userId="placeholder@email.com" userName="Chakravarthy Petluri" userProvider="google-sheets"/>
        <Anchor>
          <Comment id="{3a0d5026-b3da-4be6-8453-2350102a9f91}"/>
        </Anchor>
        <Create/>
      </Event>
      <Event time="2026-07-13T19:22:23.00" id="{3d0c1427-b010-405f-8a76-3fccf2c1ff7c}">
        <Attribution userId="placeholder@email.com" userName="Chakravarthy Petluri" userProvider="google-sheets"/>
        <Anchor>
          <Comment id="{3a0d5026-b3da-4be6-8453-2350102a9f91}"/>
        </Anchor>
        <Assign userId="amkhanna@guidewire.com" userName="amkhanna@guidewire.com" userProvider="google-sheets"/>
      </Event>
    </History>
  </Task>
  <Task id="{aff32aef-0885-4b5f-8f54-1d85acb50cd0}">
    <Anchor>
      <Comment id="{89767933-de7b-4bd2-afa4-7d0627c19382}"/>
    </Anchor>
    <History>
      <Event time="2026-07-13T19:21:17.00" id="{f1c38eba-14cc-4d9e-959d-a79b3d54658e}">
        <Attribution userId="placeholder@email.com" userName="Chakravarthy Petluri" userProvider="google-sheets"/>
        <Anchor>
          <Comment id="{89767933-de7b-4bd2-afa4-7d0627c19382}"/>
        </Anchor>
        <Create/>
      </Event>
      <Event time="2026-07-13T19:21:17.00" id="{4f96f907-1243-4116-a6dc-9af29825e69f}">
        <Attribution userId="placeholder@email.com" userName="Chakravarthy Petluri" userProvider="google-sheets"/>
        <Anchor>
          <Comment id="{89767933-de7b-4bd2-afa4-7d0627c19382}"/>
        </Anchor>
        <Assign userId="amkhanna@guidewire.com" userName="amkhanna@guidewire.com" userProvider="google-sheets"/>
      </Event>
    </History>
  </Task>
  <Task id="{728eccf3-ca54-4a50-93f2-775af6d93c6e}">
    <Anchor>
      <Comment id="{67781802-305c-43c8-bb88-e95762c3f6f1}"/>
    </Anchor>
    <History>
      <Event time="2026-07-14T19:26:43.00" id="{f5b4e769-ad1b-4301-aeda-d00e30f34e5c}">
        <Attribution userId="placeholder@email.com" userName="Chakravarthy Petluri" userProvider="google-sheets"/>
        <Anchor>
          <Comment id="{67781802-305c-43c8-bb88-e95762c3f6f1}"/>
        </Anchor>
        <Create/>
      </Event>
      <Event time="2026-07-14T19:26:43.00" id="{b94fde37-01dc-49a5-b643-3b7ea251f39c}">
        <Attribution userId="placeholder@email.com" userName="Chakravarthy Petluri" userProvider="google-sheets"/>
        <Anchor>
          <Comment id="{67781802-305c-43c8-bb88-e95762c3f6f1}"/>
        </Anchor>
        <Assign userId="amkhanna@guidewire.com" userName="amkhanna@guidewire.com" userProvider="google-sheets"/>
      </Event>
    </History>
  </Task>
  <Task id="{62f96d06-b500-4580-a6f4-44806af18f30}">
    <Anchor>
      <Comment id="{8879cba9-3fc5-4e20-b01c-ee07e5091166}"/>
    </Anchor>
    <History>
      <Event time="2026-07-14T19:27:19.00" id="{8de26004-4dab-4531-8c60-9b97d5d0ca32}">
        <Attribution userId="placeholder@email.com" userName="Chakravarthy Petluri" userProvider="google-sheets"/>
        <Anchor>
          <Comment id="{8879cba9-3fc5-4e20-b01c-ee07e5091166}"/>
        </Anchor>
        <Create/>
      </Event>
      <Event time="2026-07-14T19:27:19.00" id="{803f2ac7-86e7-4dc4-b46b-d4ba31911ac2}">
        <Attribution userId="placeholder@email.com" userName="Chakravarthy Petluri" userProvider="google-sheets"/>
        <Anchor>
          <Comment id="{8879cba9-3fc5-4e20-b01c-ee07e5091166}"/>
        </Anchor>
        <Assign userId="gbouzeid@guidewire.com" userName="gbouzeid@guidewire.com" userProvider="google-sheets"/>
      </Event>
    </History>
  </Task>
  <Task id="{374340cd-780e-45ee-a633-46d72f259832}">
    <Anchor>
      <Comment id="{638bf7a5-55bb-4ae7-bad6-00868e33f404}"/>
    </Anchor>
    <History>
      <Event time="2026-07-07T17:15:30.00" id="{9ee1cdc6-e293-4c5e-a271-9544c05a2980}">
        <Attribution userId="placeholder@email.com" userName="Anoop Gopalakrishnan" userProvider="google-sheets"/>
        <Anchor>
          <Comment id="{638bf7a5-55bb-4ae7-bad6-00868e33f404}"/>
        </Anchor>
        <Create/>
      </Event>
      <Event time="2026-07-07T17:15:30.00" id="{16ba9981-aa23-44a0-ab23-1634854d0b89}">
        <Attribution userId="placeholder@email.com" userName="Anoop Gopalakrishnan" userProvider="google-sheets"/>
        <Anchor>
          <Comment id="{638bf7a5-55bb-4ae7-bad6-00868e33f404}"/>
        </Anchor>
        <Assign userId="cpetluri@guidewire.com" userName="cpetluri@guidewire.com" userProvider="google-sheets"/>
      </Event>
    </History>
  </Task>
  <Task id="{cc8d1596-0483-422e-8fe7-52f1bf929fa2}">
    <Anchor>
      <Comment id="{cb3b6ae7-4764-4332-96fb-a00fefa9b56c}"/>
    </Anchor>
    <History>
      <Event time="2026-07-07T17:16:12.00" id="{70075063-2af5-4e81-8e79-08e9a4b8ccbe}">
        <Attribution userId="placeholder@email.com" userName="Anoop Gopalakrishnan" userProvider="google-sheets"/>
        <Anchor>
          <Comment id="{cb3b6ae7-4764-4332-96fb-a00fefa9b56c}"/>
        </Anchor>
        <Create/>
      </Event>
      <Event time="2026-07-07T17:16:12.00" id="{d11eda8f-4ded-45fb-a261-c0ccb4544852}">
        <Attribution userId="placeholder@email.com" userName="Anoop Gopalakrishnan" userProvider="google-sheets"/>
        <Anchor>
          <Comment id="{cb3b6ae7-4764-4332-96fb-a00fefa9b56c}"/>
        </Anchor>
        <Assign userId="cpetluri@guidewire.com" userName="cpetluri@guidewire.com" userProvider="google-sheets"/>
      </Event>
    </History>
  </Task>
  <Task id="{7ca9df9f-387e-479f-939b-42a3b6d42022}">
    <Anchor>
      <Comment id="{b7f3cc37-9556-49f5-8eb7-26091bf328e5}"/>
    </Anchor>
    <History>
      <Event time="2026-07-14T20:11:25.00" id="{46e0bb91-6b6a-4ce8-98e1-5ecacec674d7}">
        <Attribution userId="placeholder@email.com" userName="Gilbert Bouzeid" userProvider="google-sheets"/>
        <Anchor>
          <Comment id="{d35001e0-115d-440a-a89e-811a101c32b3}"/>
        </Anchor>
        <Create/>
      </Event>
      <Event time="2026-07-14T20:11:25.00" id="{ca6b4574-67c7-46b4-a7ef-3cea9b33059a}">
        <Attribution userId="placeholder@email.com" userName="Gilbert Bouzeid" userProvider="google-sheets"/>
        <Anchor>
          <Comment id="{d35001e0-115d-440a-a89e-811a101c32b3}"/>
        </Anchor>
        <Assign userId="ppaul@guidewire.com" userName="ppaul@guidewire.com" userProvider="google-sheets"/>
      </Event>
    </History>
  </Task>
  <Task id="{3119ceee-5151-490a-b501-b6033523485a}">
    <Anchor>
      <Comment id="{713230d8-bdce-48f8-9393-e2e2ded652ff}"/>
    </Anchor>
    <History>
      <Event time="2026-07-14T19:26:07.00" id="{55c010a9-00a6-4f78-bf59-74053d38aa7e}">
        <Attribution userId="placeholder@email.com" userName="Chakravarthy Petluri" userProvider="google-sheets"/>
        <Anchor>
          <Comment id="{713230d8-bdce-48f8-9393-e2e2ded652ff}"/>
        </Anchor>
        <Create/>
      </Event>
      <Event time="2026-07-14T19:26:07.00" id="{f8b7ad67-eee6-4785-8c7c-7de90e15b6a3}">
        <Attribution userId="placeholder@email.com" userName="Chakravarthy Petluri" userProvider="google-sheets"/>
        <Anchor>
          <Comment id="{713230d8-bdce-48f8-9393-e2e2ded652ff}"/>
        </Anchor>
        <Assign userId="dkravchenko@guidewire.com" userName="dkravchenko@guidewire.com" userProvider="google-sheets"/>
      </Event>
    </History>
  </Task>
  <Task id="{516486eb-dbcb-4170-bee1-b1b55ddadc6b}">
    <Anchor>
      <Comment id="{ba2a3878-1c6c-47f6-a2b3-8ae9d75e7162}"/>
    </Anchor>
    <History>
      <Event time="2026-07-13T19:26:21.00" id="{af54881b-c149-46a2-a0d0-c8341aca53dc}">
        <Attribution userId="placeholder@email.com" userName="Chakravarthy Petluri" userProvider="google-sheets"/>
        <Anchor>
          <Comment id="{ba2a3878-1c6c-47f6-a2b3-8ae9d75e7162}"/>
        </Anchor>
        <Create/>
      </Event>
      <Event time="2026-07-13T19:26:21.00" id="{95fff315-95f4-4cbd-8a89-4280943cff31}">
        <Attribution userId="placeholder@email.com" userName="Chakravarthy Petluri" userProvider="google-sheets"/>
        <Anchor>
          <Comment id="{ba2a3878-1c6c-47f6-a2b3-8ae9d75e7162}"/>
        </Anchor>
        <Assign userId="atomar@guidewire.com" userName="atomar@guidewire.com" userProvider="google-sheets"/>
      </Event>
    </History>
  </Task>
  <Task id="{b00379ac-61dc-479e-bc9d-4a9a8016343e}">
    <Anchor>
      <Comment id="{0857c921-9646-4ccd-819a-3693303c315c}"/>
    </Anchor>
    <History>
      <Event time="2026-07-14T19:23:38.00" id="{f101ecdf-d070-4218-983f-79a017ec0e48}">
        <Attribution userId="placeholder@email.com" userName="Chakravarthy Petluri" userProvider="google-sheets"/>
        <Anchor>
          <Comment id="{0857c921-9646-4ccd-819a-3693303c315c}"/>
        </Anchor>
        <Create/>
      </Event>
      <Event time="2026-07-14T19:23:38.00" id="{639cd18d-c27f-4c9e-8781-28f58d5acd30}">
        <Attribution userId="placeholder@email.com" userName="Chakravarthy Petluri" userProvider="google-sheets"/>
        <Anchor>
          <Comment id="{0857c921-9646-4ccd-819a-3693303c315c}"/>
        </Anchor>
        <Assign userId="amkhanna@guidewire.com" userName="amkhanna@guidewire.com" userProvider="google-sheets"/>
      </Event>
    </History>
  </Task>
  <Task id="{3f4e5e87-caa8-4825-b5eb-611c9a7453e9}">
    <Anchor>
      <Comment id="{85ee7c77-8970-4a58-a552-8729df43c59d}"/>
    </Anchor>
    <History>
      <Event time="2026-07-14T20:09:19.00" id="{6ce22e73-61de-4596-b1d6-dd649d1511fe}">
        <Attribution userId="placeholder@email.com" userName="Gilbert Bouzeid" userProvider="google-sheets"/>
        <Anchor>
          <Comment id="{b9bb82b3-909b-4af4-ab8a-9e63699db0b0}"/>
        </Anchor>
        <Create/>
      </Event>
      <Event time="2026-07-14T20:09:19.00" id="{21fe4a40-bb23-415c-b4ea-2355e1bbbc04}">
        <Attribution userId="placeholder@email.com" userName="Gilbert Bouzeid" userProvider="google-sheets"/>
        <Anchor>
          <Comment id="{b9bb82b3-909b-4af4-ab8a-9e63699db0b0}"/>
        </Anchor>
        <Assign userId="beloy@guidewire.com" userName="beloy@guidewire.com" userProvider="google-sheets"/>
      </Event>
    </History>
  </Task>
  <Task id="{deec5daf-9793-4785-a81d-d7ec076dc010}">
    <Anchor>
      <Comment id="{7ac95cf1-7eb7-40c9-9f54-ee7ce0324736}"/>
    </Anchor>
    <History>
      <Event time="2026-07-16T02:18:03.00" id="{eb38287f-afa5-4577-8f24-df0359f34ecc}">
        <Attribution userId="placeholder@email.com" userName="Gowtham S" userProvider="google-sheets"/>
        <Anchor>
          <Comment id="{f271ccbe-ef91-4bd6-9e1e-d2a077b9ebf1}"/>
        </Anchor>
        <Create/>
      </Event>
      <Event time="2026-07-16T02:18:03.00" id="{faf16fc4-71e3-4de9-b4c6-02703b8bde89}">
        <Attribution userId="placeholder@email.com" userName="Gowtham S" userProvider="google-sheets"/>
        <Anchor>
          <Comment id="{f271ccbe-ef91-4bd6-9e1e-d2a077b9ebf1}"/>
        </Anchor>
        <Assign userId="cpetluri@guidewire.com" userName="cpetluri@guidewire.com" userProvider="google-sheets"/>
      </Event>
    </History>
  </Task>
  <Task id="{190f2cea-3095-4213-8b7f-78c8a28b46ce}">
    <Anchor>
      <Comment id="{0d7523a4-0c07-498f-a63e-89b1a0de0c11}"/>
    </Anchor>
    <History>
      <Event time="2026-07-14T00:22:17.00" id="{2db4cdb2-6215-42ae-96e6-7c43537ade19}">
        <Attribution userId="placeholder@email.com" userName="Chakravarthy Petluri" userProvider="google-sheets"/>
        <Anchor>
          <Comment id="{eb9ede27-e1db-43d1-ad44-82789b80a902}"/>
        </Anchor>
        <Create/>
      </Event>
      <Event time="2026-07-14T00:22:17.00" id="{cec03161-7245-4749-b178-0b077e39b585}">
        <Attribution userId="placeholder@email.com" userName="Chakravarthy Petluri" userProvider="google-sheets"/>
        <Anchor>
          <Comment id="{eb9ede27-e1db-43d1-ad44-82789b80a902}"/>
        </Anchor>
        <Assign userId="dhsharma@guidewire.com" userName="dhsharma@guidewire.com" userProvider="google-sheets"/>
      </Event>
    </History>
  </Task>
  <Task id="{ecde6d81-be98-4179-a23f-14f08364f575}">
    <Anchor>
      <Comment id="{9f70162e-5b01-4808-905d-c760434a3a30}"/>
    </Anchor>
    <History>
      <Event time="2026-07-14T19:28:32.00" id="{bda0221f-d520-4693-aa0b-b66f1e444b27}">
        <Attribution userId="placeholder@email.com" userName="Chakravarthy Petluri" userProvider="google-sheets"/>
        <Anchor>
          <Comment id="{9f70162e-5b01-4808-905d-c760434a3a30}"/>
        </Anchor>
        <Create/>
      </Event>
      <Event time="2026-07-14T19:28:32.00" id="{668b3305-e135-466a-886c-3f7cdbe5ccc7}">
        <Attribution userId="placeholder@email.com" userName="Chakravarthy Petluri" userProvider="google-sheets"/>
        <Anchor>
          <Comment id="{9f70162e-5b01-4808-905d-c760434a3a30}"/>
        </Anchor>
        <Assign userId="msmriti@guidewire.com" userName="msmriti@guidewire.com" userProvider="google-sheets"/>
      </Event>
    </History>
  </Task>
  <Task id="{4da0e084-a032-44cb-8c2e-62f6502eebf8}">
    <Anchor>
      <Comment id="{d3831100-c229-426b-b685-e9273e65b7f1}"/>
    </Anchor>
    <History>
      <Event time="2026-06-25T15:12:08.00" id="{4bb43c52-1414-4aae-a279-fa08027b7942}">
        <Attribution userId="placeholder@email.com" userName="Umang Jain" userProvider="google-sheets"/>
        <Anchor>
          <Comment id="{19ba7d8d-dca9-42d1-8fc9-068ca5b53577}"/>
        </Anchor>
        <Create/>
      </Event>
      <Event time="2026-06-25T15:12:08.00" id="{d3928ab8-bb92-4bb2-9663-b49920a767dc}">
        <Attribution userId="placeholder@email.com" userName="Umang Jain" userProvider="google-sheets"/>
        <Anchor>
          <Comment id="{19ba7d8d-dca9-42d1-8fc9-068ca5b53577}"/>
        </Anchor>
        <Assign userId="jdobson@guidewire.com" userName="jdobson@guidewire.com" userProvider="google-sheets"/>
      </Event>
    </History>
  </Task>
  <Task id="{1b9b471e-867a-480f-aeaf-c19a3a4ebf4d}">
    <Anchor>
      <Comment id="{485034a2-ddfb-4a16-b278-866994cc2856}"/>
    </Anchor>
    <History>
      <Event time="2026-07-16T16:47:11.00" id="{e12ecced-d369-4a15-933e-69a1f017cd08}">
        <Attribution userId="placeholder@email.com" userName="Michal Zajac" userProvider="google-sheets"/>
        <Anchor>
          <Comment id="{485034a2-ddfb-4a16-b278-866994cc2856}"/>
        </Anchor>
        <Create/>
      </Event>
      <Event time="2026-07-16T16:47:11.00" id="{633b6408-074b-4014-b89a-c3b839445448}">
        <Attribution userId="placeholder@email.com" userName="Michal Zajac" userProvider="google-sheets"/>
        <Anchor>
          <Comment id="{485034a2-ddfb-4a16-b278-866994cc2856}"/>
        </Anchor>
        <Assign userId="fvarghese@guidewire.com" userName="fvarghese@guidewire.com" userProvider="google-sheets"/>
      </Event>
    </History>
  </Task>
  <Task id="{43cf2a3c-a0d8-4a60-bbb0-600c60f362ea}">
    <Anchor>
      <Comment id="{15fad6c6-ca45-4e4e-84fd-ed8b5e2e3232}"/>
    </Anchor>
    <History>
      <Event time="2026-07-15T20:06:37.00" id="{d9150f24-3342-42d8-89be-109ad302757c}">
        <Attribution userId="placeholder@email.com" userName="Gilbert Bouzeid" userProvider="google-sheets"/>
        <Anchor>
          <Comment id="{15fad6c6-ca45-4e4e-84fd-ed8b5e2e3232}"/>
        </Anchor>
        <Create/>
      </Event>
      <Event time="2026-07-15T20:06:37.00" id="{f05da9ad-90fd-4921-ab2b-574d98abc2cd}">
        <Attribution userId="placeholder@email.com" userName="Gilbert Bouzeid" userProvider="google-sheets"/>
        <Anchor>
          <Comment id="{15fad6c6-ca45-4e4e-84fd-ed8b5e2e3232}"/>
        </Anchor>
        <Assign userId="kjayachandran@guidewire.com" userName="kjayachandran@guidewire.com" userProvider="google-sheets"/>
      </Event>
    </History>
  </Task>
  <Task id="{e40c3ccd-ccf0-442b-9dc8-37efdf6db620}">
    <Anchor>
      <Comment id="{6fb7f266-93a4-410e-8c74-f3278bc6e0a4}"/>
    </Anchor>
    <History>
      <Event time="2026-07-15T20:08:37.00" id="{2726dde1-26de-4ab5-93ee-44779fcc3641}">
        <Attribution userId="placeholder@email.com" userName="Gilbert Bouzeid" userProvider="google-sheets"/>
        <Anchor>
          <Comment id="{6fb7f266-93a4-410e-8c74-f3278bc6e0a4}"/>
        </Anchor>
        <Create/>
      </Event>
      <Event time="2026-07-15T20:08:37.00" id="{adaf5adc-b48a-4245-8748-a536ac9410a3}">
        <Attribution userId="placeholder@email.com" userName="Gilbert Bouzeid" userProvider="google-sheets"/>
        <Anchor>
          <Comment id="{6fb7f266-93a4-410e-8c74-f3278bc6e0a4}"/>
        </Anchor>
        <Assign userId="atomar@guidewire.com" userName="atomar@guidewire.com" userProvider="google-sheets"/>
      </Event>
    </History>
  </Task>
  <Task id="{1dd07cec-a71f-478d-b391-791e2a91bd7e}">
    <Anchor>
      <Comment id="{50925f7a-8dab-4bef-bca4-8da698b9bcba}"/>
    </Anchor>
    <History>
      <Event time="2026-07-16T02:20:26.00" id="{0b43c03a-7f23-4f7d-a679-99e73eab4e74}">
        <Attribution userId="placeholder@email.com" userName="Gowtham S" userProvider="google-sheets"/>
        <Anchor>
          <Comment id="{50925f7a-8dab-4bef-bca4-8da698b9bcba}"/>
        </Anchor>
        <Create/>
      </Event>
      <Event time="2026-07-16T02:20:26.00" id="{f4c62abb-d4a2-475f-8ee5-4e347e3dddb7}">
        <Attribution userId="placeholder@email.com" userName="Gowtham S" userProvider="google-sheets"/>
        <Anchor>
          <Comment id="{50925f7a-8dab-4bef-bca4-8da698b9bcba}"/>
        </Anchor>
        <Assign userId="cpetluri@guidewire.com" userName="cpetluri@guidewire.com" userProvider="google-sheets"/>
      </Event>
    </History>
  </Task>
  <Task id="{44f38f27-ed68-4c0e-b1d3-058326d130de}">
    <Anchor>
      <Comment id="{55819313-d8dc-4fb7-b35f-145aaaa360fe}"/>
    </Anchor>
    <History>
      <Event time="2026-07-14T21:20:50.00" id="{07307089-dbd2-4374-9a84-07dbe006afbc}">
        <Attribution userId="placeholder@email.com" userName="Chakravarthy Petluri" userProvider="google-sheets"/>
        <Anchor>
          <Comment id="{55819313-d8dc-4fb7-b35f-145aaaa360fe}"/>
        </Anchor>
        <Create/>
      </Event>
      <Event time="2026-07-14T21:20:50.00" id="{e84c3a34-d719-4ccf-b5cc-13ae87ae609a}">
        <Attribution userId="placeholder@email.com" userName="Chakravarthy Petluri" userProvider="google-sheets"/>
        <Anchor>
          <Comment id="{55819313-d8dc-4fb7-b35f-145aaaa360fe}"/>
        </Anchor>
        <Assign userId="kwcislo@guidewire.com" userName="kwcislo@guidewire.com" userProvider="google-sheets"/>
      </Event>
    </History>
  </Task>
  <Task id="{15ffac4e-9723-4fc8-a0c3-fa4a8e4457f0}">
    <Anchor>
      <Comment id="{ff6b9a55-00e6-4472-9d63-7d667856a5c0}"/>
    </Anchor>
    <History>
      <Event time="2026-07-14T21:21:15.00" id="{85ff55b4-ffe3-44c3-b66f-83bf1030ddaa}">
        <Attribution userId="placeholder@email.com" userName="Chakravarthy Petluri" userProvider="google-sheets"/>
        <Anchor>
          <Comment id="{ff6b9a55-00e6-4472-9d63-7d667856a5c0}"/>
        </Anchor>
        <Create/>
      </Event>
      <Event time="2026-07-14T21:21:15.00" id="{4c9cb42f-61d7-48b8-a7af-cd96f7218161}">
        <Attribution userId="placeholder@email.com" userName="Chakravarthy Petluri" userProvider="google-sheets"/>
        <Anchor>
          <Comment id="{ff6b9a55-00e6-4472-9d63-7d667856a5c0}"/>
        </Anchor>
        <Assign userId="atomar@guidewire.com" userName="atomar@guidewire.com" userProvider="google-sheets"/>
      </Event>
    </History>
  </Task>
  <Task id="{a56cbdae-e5c2-43f4-9cfa-d5ba78bb6844}">
    <Anchor>
      <Comment id="{2e921182-298c-4ee4-bc31-a1ad965bb16f}"/>
    </Anchor>
    <History>
      <Event time="2026-07-14T21:23:23.00" id="{2752b277-b912-474d-99c0-f534d9fd31ae}">
        <Attribution userId="placeholder@email.com" userName="Chakravarthy Petluri" userProvider="google-sheets"/>
        <Anchor>
          <Comment id="{2e921182-298c-4ee4-bc31-a1ad965bb16f}"/>
        </Anchor>
        <Create/>
      </Event>
      <Event time="2026-07-14T21:23:23.00" id="{d25a28f8-92b1-4c3c-91af-38ea45a9f037}">
        <Attribution userId="placeholder@email.com" userName="Chakravarthy Petluri" userProvider="google-sheets"/>
        <Anchor>
          <Comment id="{2e921182-298c-4ee4-bc31-a1ad965bb16f}"/>
        </Anchor>
        <Assign userId="dhsharma@guidewire.com" userName="dhsharma@guidewire.com" userProvider="google-sheets"/>
      </Event>
    </History>
  </Task>
  <Task id="{7f3479de-9009-4c03-9d05-a8b7c53f93dc}">
    <Anchor>
      <Comment id="{3cf0e7c6-c6da-4fd3-a754-974a246d4406}"/>
    </Anchor>
    <History>
      <Event time="2026-07-03T15:07:22.00" id="{c08a598d-7c8b-4df5-9258-6d0433c20db2}">
        <Attribution userId="placeholder@email.com" userName="Piotr Domider" userProvider="google-sheets"/>
        <Anchor>
          <Comment id="{92b7fd0f-38b4-467f-b59e-da673f99e28c}"/>
        </Anchor>
        <Create/>
      </Event>
      <Event time="2026-07-03T15:07:22.00" id="{71ed5938-75ec-4a43-b6aa-e5feffa771f0}">
        <Attribution userId="placeholder@email.com" userName="Piotr Domider" userProvider="google-sheets"/>
        <Anchor>
          <Comment id="{92b7fd0f-38b4-467f-b59e-da673f99e28c}"/>
        </Anchor>
        <Assign userId="ujain@guidewire.com" userName="ujain@guidewire.com" userProvider="google-sheets"/>
      </Event>
    </History>
  </Task>
  <Task id="{112c8623-c16d-423e-b23c-5d1943731c8c}">
    <Anchor>
      <Comment id="{cfa0ad4a-5b08-4d82-8d66-63499a8cc473}"/>
    </Anchor>
    <History>
      <Event time="2026-07-14T21:23:42.00" id="{b8ff5117-94c7-44ee-bb7e-50e1ac063dd9}">
        <Attribution userId="placeholder@email.com" userName="Chakravarthy Petluri" userProvider="google-sheets"/>
        <Anchor>
          <Comment id="{cfa0ad4a-5b08-4d82-8d66-63499a8cc473}"/>
        </Anchor>
        <Create/>
      </Event>
      <Event time="2026-07-14T21:23:42.00" id="{e835f4f4-70bc-4646-903d-180e6766aaf5}">
        <Attribution userId="placeholder@email.com" userName="Chakravarthy Petluri" userProvider="google-sheets"/>
        <Anchor>
          <Comment id="{cfa0ad4a-5b08-4d82-8d66-63499a8cc473}"/>
        </Anchor>
        <Assign userId="kjayachandran@guidewire.com" userName="kjayachandran@guidewire.com" userProvider="google-sheets"/>
      </Event>
    </History>
  </Task>
  <Task id="{ee2021f9-36ad-4ae3-b28a-9c6ecba0a761}">
    <Anchor>
      <Comment id="{13ecfe3e-2d04-4b3e-b893-b3cbc938f300}"/>
    </Anchor>
    <History>
      <Event time="2026-07-14T21:19:08.00" id="{4f98b638-04d6-4e4b-bb2c-1756eb639e81}">
        <Attribution userId="placeholder@email.com" userName="Chakravarthy Petluri" userProvider="google-sheets"/>
        <Anchor>
          <Comment id="{13ecfe3e-2d04-4b3e-b893-b3cbc938f300}"/>
        </Anchor>
        <Create/>
      </Event>
      <Event time="2026-07-14T21:19:08.00" id="{ed9580be-0cc1-4648-b8ce-27f7511fc15a}">
        <Attribution userId="placeholder@email.com" userName="Chakravarthy Petluri" userProvider="google-sheets"/>
        <Anchor>
          <Comment id="{13ecfe3e-2d04-4b3e-b893-b3cbc938f300}"/>
        </Anchor>
        <Assign userId="mzajac@guidewire.com" userName="mzajac@guidewire.com" userProvider="google-sheets"/>
      </Event>
    </History>
  </Task>
  <Task id="{f0c7b333-ac16-42a8-846c-badbfa667a64}">
    <Anchor>
      <Comment id="{0cf9ca31-e14e-403a-b2e6-ba318857ead9}"/>
    </Anchor>
    <History>
      <Event time="2026-07-06T22:49:14.00" id="{3cb464f2-753d-429c-a91b-6bd4b242afc2}">
        <Attribution userId="placeholder@email.com" userName="Anoop Gopalakrishnan" userProvider="google-sheets"/>
        <Anchor>
          <Comment id="{0cf9ca31-e14e-403a-b2e6-ba318857ead9}"/>
        </Anchor>
        <Create/>
      </Event>
      <Event time="2026-07-06T22:49:14.00" id="{759403eb-fd87-4f72-8327-8a7598cdbd0b}">
        <Attribution userId="placeholder@email.com" userName="Anoop Gopalakrishnan" userProvider="google-sheets"/>
        <Anchor>
          <Comment id="{0cf9ca31-e14e-403a-b2e6-ba318857ead9}"/>
        </Anchor>
        <Assign userId="pdomider@guidewire.com" userName="pdomider@guidewire.com" userProvider="google-sheets"/>
      </Event>
    </History>
  </Task>
  <Task id="{f798370f-d76f-4b20-9635-cd805981c4c5}">
    <Anchor>
      <Comment id="{dcc31aae-1ae2-43c5-ba9a-4ccf6b3e633e}"/>
    </Anchor>
    <History>
      <Event time="2026-07-02T21:27:51.00" id="{d998f21a-7864-4c98-a7c8-836c4d5c8095}">
        <Attribution userId="placeholder@email.com" userName="Gowtham S" userProvider="google-sheets"/>
        <Anchor>
          <Comment id="{dcc31aae-1ae2-43c5-ba9a-4ccf6b3e633e}"/>
        </Anchor>
        <Create/>
      </Event>
      <Event time="2026-07-02T21:27:51.00" id="{70ed58a9-a395-4089-9c03-2b68ec6e1c3e}">
        <Attribution userId="placeholder@email.com" userName="Gowtham S" userProvider="google-sheets"/>
        <Anchor>
          <Comment id="{dcc31aae-1ae2-43c5-ba9a-4ccf6b3e633e}"/>
        </Anchor>
        <Assign userId="atomar@guidewire.com" userName="atomar@guidewire.com" userProvider="google-sheets"/>
      </Event>
    </History>
  </Task>
  <Task id="{c948cd62-a6a8-40a7-bd57-78d1da03117c}">
    <Anchor>
      <Comment id="{6e4eb37c-6e50-46d7-a85d-39e2bbbe7801}"/>
    </Anchor>
    <History>
      <Event time="2026-07-24T16:30:41.00" id="{5dff0d7f-b0df-46ab-9113-95c0ed7d71fd}">
        <Attribution userId="placeholder@email.com" userName="Chakravarthy Petluri" userProvider="google-sheets"/>
        <Anchor>
          <Comment id="{6e4eb37c-6e50-46d7-a85d-39e2bbbe7801}"/>
        </Anchor>
        <Create/>
      </Event>
      <Event time="2026-07-24T16:30:41.00" id="{a4da9b33-9c89-44ca-b611-2677e73e672b}">
        <Attribution userId="placeholder@email.com" userName="Chakravarthy Petluri" userProvider="google-sheets"/>
        <Anchor>
          <Comment id="{6e4eb37c-6e50-46d7-a85d-39e2bbbe7801}"/>
        </Anchor>
        <Assign userId="mzajac@guidewire.com" userName="mzajac@guidewire.com" userProvider="google-sheets"/>
      </Event>
    </History>
  </Task>
</Tasks>
</file>

<file path=xl/documenttasks/documenttask2.xml><?xml version="1.0" encoding="utf-8"?>
<Tasks xmlns="http://schemas.microsoft.com/office/tasks/2019/documenttasks">
  <Task id="{afbe8b9b-3dea-4c16-bbf9-246ed5d516d2}">
    <Anchor>
      <Comment id="{18ca1b62-e40b-4d21-8230-6f2b302efaa7}"/>
    </Anchor>
    <History>
      <Event time="2026-07-13T19:22:11.00" id="{ee46f50e-4aef-4c70-a269-60835209b81d}">
        <Attribution userId="placeholder@email.com" userName="Chakravarthy Petluri" userProvider="google-sheets"/>
        <Anchor>
          <Comment id="{18ca1b62-e40b-4d21-8230-6f2b302efaa7}"/>
        </Anchor>
        <Create/>
      </Event>
      <Event time="2026-07-13T19:22:11.00" id="{f2678ca1-96fa-430b-8ec8-856258d44f17}">
        <Attribution userId="placeholder@email.com" userName="Chakravarthy Petluri" userProvider="google-sheets"/>
        <Anchor>
          <Comment id="{18ca1b62-e40b-4d21-8230-6f2b302efaa7}"/>
        </Anchor>
        <Assign userId="amkhanna@guidewire.com" userName="amkhanna@guidewire.com" userProvider="google-sheets"/>
      </Event>
    </History>
  </Task>
  <Task id="{92121901-a265-48e5-a5dc-1dc7feb6dd15}">
    <Anchor>
      <Comment id="{567c8005-9f8e-4290-a371-bde2b9c3215f}"/>
    </Anchor>
    <History>
      <Event time="2026-07-07T17:14:25.00" id="{e70d2f38-c5d4-488b-b1c2-6cc7763ae978}">
        <Attribution userId="placeholder@email.com" userName="Anoop Gopalakrishnan" userProvider="google-sheets"/>
        <Anchor>
          <Comment id="{567c8005-9f8e-4290-a371-bde2b9c3215f}"/>
        </Anchor>
        <Create/>
      </Event>
      <Event time="2026-07-07T17:14:25.00" id="{967a9532-bda6-4b11-a7a8-3c637aac436c}">
        <Attribution userId="placeholder@email.com" userName="Anoop Gopalakrishnan" userProvider="google-sheets"/>
        <Anchor>
          <Comment id="{567c8005-9f8e-4290-a371-bde2b9c3215f}"/>
        </Anchor>
        <Assign userId="msmriti@guidewire.com" userName="msmriti@guidewire.com" userProvider="google-sheets"/>
      </Event>
    </History>
  </Task>
  <Task id="{7c01dcd1-a7e3-40be-b9c9-ed9bc1330801}">
    <Anchor>
      <Comment id="{812d6a6e-6cde-4814-a1d7-e55a1c26add1}"/>
    </Anchor>
    <History>
      <Event time="2026-07-07T17:14:04.00" id="{0a353d26-5761-4cb8-bf65-eb22dac62cca}">
        <Attribution userId="placeholder@email.com" userName="Anoop Gopalakrishnan" userProvider="google-sheets"/>
        <Anchor>
          <Comment id="{812d6a6e-6cde-4814-a1d7-e55a1c26add1}"/>
        </Anchor>
        <Create/>
      </Event>
      <Event time="2026-07-07T17:14:04.00" id="{d371d907-0f6d-41b3-82c8-570b41c3e898}">
        <Attribution userId="placeholder@email.com" userName="Anoop Gopalakrishnan" userProvider="google-sheets"/>
        <Anchor>
          <Comment id="{812d6a6e-6cde-4814-a1d7-e55a1c26add1}"/>
        </Anchor>
        <Assign userId="rasubramanian@guidewire.com" userName="rasubramanian@guidewire.com" userProvider="google-sheets"/>
      </Event>
    </History>
  </Task>
  <Task id="{e4ab26c8-1bae-4b2f-abfd-dda699f24f8b}">
    <Anchor>
      <Comment id="{afc657ee-a99e-46a3-b1c1-1449950c2ba6}"/>
    </Anchor>
    <History>
      <Event time="2026-07-07T17:13:51.00" id="{d1c2fbf5-51b7-47fd-a915-3d9048f94618}">
        <Attribution userId="placeholder@email.com" userName="Anoop Gopalakrishnan" userProvider="google-sheets"/>
        <Anchor>
          <Comment id="{afc657ee-a99e-46a3-b1c1-1449950c2ba6}"/>
        </Anchor>
        <Create/>
      </Event>
      <Event time="2026-07-07T17:13:51.00" id="{4a1e5eaf-afbb-4b05-b086-9a3106c16b7b}">
        <Attribution userId="placeholder@email.com" userName="Anoop Gopalakrishnan" userProvider="google-sheets"/>
        <Anchor>
          <Comment id="{afc657ee-a99e-46a3-b1c1-1449950c2ba6}"/>
        </Anchor>
        <Assign userId="rasubramanian@guidewire.com" userName="rasubramanian@guidewire.com" userProvider="google-sheets"/>
      </Event>
    </History>
  </Task>
  <Task id="{600b88b6-a2d4-49d3-a314-7a6db6631501}">
    <Anchor>
      <Comment id="{d9fedb62-fd7d-40c9-a018-70686648af24}"/>
    </Anchor>
    <History>
      <Event time="2026-07-07T17:13:33.00" id="{de7b8681-ef5e-47ac-9221-0e85447c9778}">
        <Attribution userId="placeholder@email.com" userName="Anoop Gopalakrishnan" userProvider="google-sheets"/>
        <Anchor>
          <Comment id="{d9fedb62-fd7d-40c9-a018-70686648af24}"/>
        </Anchor>
        <Create/>
      </Event>
      <Event time="2026-07-07T17:13:33.00" id="{a356d0e2-c8bb-45a8-b2f4-d82565b67d71}">
        <Attribution userId="placeholder@email.com" userName="Anoop Gopalakrishnan" userProvider="google-sheets"/>
        <Anchor>
          <Comment id="{d9fedb62-fd7d-40c9-a018-70686648af24}"/>
        </Anchor>
        <Assign userId="rasubramanian@guidewire.com" userName="rasubramanian@guidewire.com" userProvider="google-sheets"/>
      </Event>
    </History>
  </Task>
  <Task id="{e2f29b9e-e72c-4a21-980d-3e1330a01c9b}">
    <Anchor>
      <Comment id="{cd5a674a-7e5d-441a-a4f2-a44bee55ca0b}"/>
    </Anchor>
    <History>
      <Event time="2026-07-13T19:29:53.00" id="{bd7e365a-359e-4209-bd2e-35cd26df6c55}">
        <Attribution userId="placeholder@email.com" userName="Chakravarthy Petluri" userProvider="google-sheets"/>
        <Anchor>
          <Comment id="{cd5a674a-7e5d-441a-a4f2-a44bee55ca0b}"/>
        </Anchor>
        <Create/>
      </Event>
      <Event time="2026-07-13T19:29:53.00" id="{1c6106c5-00cc-49fb-9dbb-88d7f0bab45d}">
        <Attribution userId="placeholder@email.com" userName="Chakravarthy Petluri" userProvider="google-sheets"/>
        <Anchor>
          <Comment id="{cd5a674a-7e5d-441a-a4f2-a44bee55ca0b}"/>
        </Anchor>
        <Assign userId="dhsharma@guidewire.com" userName="dhsharma@guidewire.com" userProvider="google-sheets"/>
      </Event>
    </History>
  </Task>
  <Task id="{b4054bb8-61fa-48c3-ab68-93762d8387af}">
    <Anchor>
      <Comment id="{fb5d142d-ca62-4d12-af60-53d30b5748c1}"/>
    </Anchor>
    <History>
      <Event time="2026-07-07T17:14:36.00" id="{25b359f9-b9f2-416b-b9bd-cd36c7597c2b}">
        <Attribution userId="placeholder@email.com" userName="Anoop Gopalakrishnan" userProvider="google-sheets"/>
        <Anchor>
          <Comment id="{fb5d142d-ca62-4d12-af60-53d30b5748c1}"/>
        </Anchor>
        <Create/>
      </Event>
      <Event time="2026-07-07T17:14:36.00" id="{7b23c5dc-6fd5-486b-9ee4-19b3e5bd4382}">
        <Attribution userId="placeholder@email.com" userName="Anoop Gopalakrishnan" userProvider="google-sheets"/>
        <Anchor>
          <Comment id="{fb5d142d-ca62-4d12-af60-53d30b5748c1}"/>
        </Anchor>
        <Assign userId="cpetluri@guidewire.com" userName="cpetluri@guidewire.com" userProvider="google-sheets"/>
      </Event>
    </History>
  </Task>
  <Task id="{0fce7062-01e1-429a-824c-3cea3d929ee7}">
    <Anchor>
      <Comment id="{9f569737-90cc-4b40-a565-91e354ab605d}"/>
    </Anchor>
    <History>
      <Event time="2026-07-14T20:10:33.00" id="{58c3d4ea-55c5-4c6e-b915-1b4949efea0b}">
        <Attribution userId="placeholder@email.com" userName="Gilbert Bouzeid" userProvider="google-sheets"/>
        <Anchor>
          <Comment id="{e62a6c5a-e32b-4cf6-b8a4-9157a4cf0b18}"/>
        </Anchor>
        <Create/>
      </Event>
      <Event time="2026-07-14T20:10:33.00" id="{1b19dd71-aad9-4fc6-9978-57f56cdb1fff}">
        <Attribution userId="placeholder@email.com" userName="Gilbert Bouzeid" userProvider="google-sheets"/>
        <Anchor>
          <Comment id="{e62a6c5a-e32b-4cf6-b8a4-9157a4cf0b18}"/>
        </Anchor>
        <Assign userId="beloy@guidewire.com" userName="beloy@guidewire.com" userProvider="google-sheets"/>
      </Event>
    </History>
  </Task>
  <Task id="{66a8b85a-d710-474c-a0a5-de21b9f543d4}">
    <Anchor>
      <Comment id="{3fdef2b9-2b68-45d3-adab-51c313cea41f}"/>
    </Anchor>
    <History>
      <Event time="2026-07-13T19:22:57.00" id="{3ef93a67-6d0d-408b-a60b-dff00c71390b}">
        <Attribution userId="placeholder@email.com" userName="Chakravarthy Petluri" userProvider="google-sheets"/>
        <Anchor>
          <Comment id="{3fdef2b9-2b68-45d3-adab-51c313cea41f}"/>
        </Anchor>
        <Create/>
      </Event>
      <Event time="2026-07-13T19:22:57.00" id="{23fe0729-186c-4eb9-b7f1-6b075929c24f}">
        <Attribution userId="placeholder@email.com" userName="Chakravarthy Petluri" userProvider="google-sheets"/>
        <Anchor>
          <Comment id="{3fdef2b9-2b68-45d3-adab-51c313cea41f}"/>
        </Anchor>
        <Assign userId="gbouzeid@guidewire.com" userName="gbouzeid@guidewire.com" userProvider="google-sheets"/>
      </Event>
    </History>
  </Task>
  <Task id="{827db883-792e-4e93-a2cf-2056f00bb21d}">
    <Anchor>
      <Comment id="{f331398f-b3cf-4fab-acca-b95211c921e8}"/>
    </Anchor>
    <History>
      <Event time="2026-07-07T17:15:56.00" id="{18613da1-f765-4ba5-a657-5089a336ba46}">
        <Attribution userId="placeholder@email.com" userName="Anoop Gopalakrishnan" userProvider="google-sheets"/>
        <Anchor>
          <Comment id="{f331398f-b3cf-4fab-acca-b95211c921e8}"/>
        </Anchor>
        <Create/>
      </Event>
      <Event time="2026-07-07T17:15:56.00" id="{4aded0b2-7051-452c-9fa1-27fe30ebb405}">
        <Attribution userId="placeholder@email.com" userName="Anoop Gopalakrishnan" userProvider="google-sheets"/>
        <Anchor>
          <Comment id="{f331398f-b3cf-4fab-acca-b95211c921e8}"/>
        </Anchor>
        <Assign userId="cpetluri@guidewire.com" userName="cpetluri@guidewire.com" userProvider="google-sheets"/>
      </Event>
    </History>
  </Task>
  <Task id="{9647aab8-b494-4452-8f8d-65a17a201302}">
    <Anchor>
      <Comment id="{d1dc2ec7-2e36-4431-8c08-f42384382486}"/>
    </Anchor>
    <History>
      <Event time="2026-07-13T19:30:25.00" id="{751c10f8-8c9d-4ccb-89e7-459bd2e486c0}">
        <Attribution userId="placeholder@email.com" userName="Chakravarthy Petluri" userProvider="google-sheets"/>
        <Anchor>
          <Comment id="{d1dc2ec7-2e36-4431-8c08-f42384382486}"/>
        </Anchor>
        <Create/>
      </Event>
      <Event time="2026-07-13T19:30:25.00" id="{c8e7c384-21e9-40b3-a350-8ad368e6e9a7}">
        <Attribution userId="placeholder@email.com" userName="Chakravarthy Petluri" userProvider="google-sheets"/>
        <Anchor>
          <Comment id="{d1dc2ec7-2e36-4431-8c08-f42384382486}"/>
        </Anchor>
        <Assign userId="kjayachandran@guidewire.com" userName="kjayachandran@guidewire.com" userProvider="google-sheets"/>
      </Event>
    </History>
  </Task>
  <Task id="{3f4173ba-412c-4dfb-a1eb-8917a8ac97cc}">
    <Anchor>
      <Comment id="{c0574e78-393b-4418-bf30-f9b3b80e39c3}"/>
    </Anchor>
    <History>
      <Event time="2026-07-13T19:26:11.00" id="{cc018a90-4503-492c-a2cc-a4eae9083bb4}">
        <Attribution userId="placeholder@email.com" userName="Chakravarthy Petluri" userProvider="google-sheets"/>
        <Anchor>
          <Comment id="{c0574e78-393b-4418-bf30-f9b3b80e39c3}"/>
        </Anchor>
        <Create/>
      </Event>
      <Event time="2026-07-13T19:26:11.00" id="{8a05541e-5335-4c23-bd88-595655f763d0}">
        <Attribution userId="placeholder@email.com" userName="Chakravarthy Petluri" userProvider="google-sheets"/>
        <Anchor>
          <Comment id="{c0574e78-393b-4418-bf30-f9b3b80e39c3}"/>
        </Anchor>
        <Assign userId="atomar@guidewire.com" userName="atomar@guidewire.com" userProvider="google-sheets"/>
      </Event>
    </History>
  </Task>
  <Task id="{e4fe4a25-81b5-4936-91a2-787794b52a59}">
    <Anchor>
      <Comment id="{e24732ba-4cdc-4afb-93b2-f852f9db8d03}"/>
    </Anchor>
    <History>
      <Event time="2026-07-13T19:20:56.00" id="{7486400c-744d-4d5d-b75c-add05ffcb233}">
        <Attribution userId="placeholder@email.com" userName="Chakravarthy Petluri" userProvider="google-sheets"/>
        <Anchor>
          <Comment id="{e24732ba-4cdc-4afb-93b2-f852f9db8d03}"/>
        </Anchor>
        <Create/>
      </Event>
      <Event time="2026-07-13T19:20:56.00" id="{3813f781-44bb-4a07-88a3-3236918fc906}">
        <Attribution userId="placeholder@email.com" userName="Chakravarthy Petluri" userProvider="google-sheets"/>
        <Anchor>
          <Comment id="{e24732ba-4cdc-4afb-93b2-f852f9db8d03}"/>
        </Anchor>
        <Assign userId="amkhanna@guidewire.com" userName="amkhanna@guidewire.com" userProvider="google-sheets"/>
      </Event>
    </History>
  </Task>
  <Task id="{208257e9-41ae-4cc3-945a-774845671982}">
    <Anchor>
      <Comment id="{f59e09ca-4326-4caf-af18-e37eecce0c1e}"/>
    </Anchor>
    <History>
      <Event time="2026-07-20T17:35:02.00" id="{95baff62-9781-4cb5-b8aa-3894a550cb5b}">
        <Attribution userId="placeholder@email.com" userName="Gilbert Bouzeid" userProvider="google-sheets"/>
        <Anchor>
          <Comment id="{8202c18f-01b6-4363-8a0d-00dae199929d}"/>
        </Anchor>
        <Create/>
      </Event>
      <Event time="2026-07-20T17:35:02.00" id="{5c4c3945-da68-4ae2-ab3c-172475ac5213}">
        <Attribution userId="placeholder@email.com" userName="Gilbert Bouzeid" userProvider="google-sheets"/>
        <Anchor>
          <Comment id="{8202c18f-01b6-4363-8a0d-00dae199929d}"/>
        </Anchor>
        <Assign userId="ppaul@guidewire.com" userName="ppaul@guidewire.com" userProvider="google-sheets"/>
      </Event>
    </History>
  </Task>
  <Task id="{d2a1ef57-ada7-4b68-b123-55bf5b958dc9}">
    <Anchor>
      <Comment id="{f0b1b83e-6250-4a56-b892-f5dfeeb7c203}"/>
    </Anchor>
    <History>
      <Event time="2026-07-17T20:36:30.00" id="{822d6389-5b5e-4c96-8319-2cc46a76ffad}">
        <Attribution userId="placeholder@email.com" userName="Dhruv Sharma" userProvider="google-sheets"/>
        <Anchor>
          <Comment id="{f0b1b83e-6250-4a56-b892-f5dfeeb7c203}"/>
        </Anchor>
        <Create/>
      </Event>
      <Event time="2026-07-17T20:36:30.00" id="{c12e0037-455c-4a51-a73b-b1cb43083bf4}">
        <Attribution userId="placeholder@email.com" userName="Dhruv Sharma" userProvider="google-sheets"/>
        <Anchor>
          <Comment id="{f0b1b83e-6250-4a56-b892-f5dfeeb7c203}"/>
        </Anchor>
        <Assign userId="jguionnet@guidewire.com" userName="jguionnet@guidewire.com" userProvider="google-sheets"/>
      </Event>
    </History>
  </Task>
  <Task id="{4cb5a4e6-d720-4d34-a1f5-8d7ac66faa49}">
    <Anchor>
      <Comment id="{4a3cae41-5084-421f-945a-f906dd033834}"/>
    </Anchor>
    <History>
      <Event time="2026-07-24T16:32:28.00" id="{92a52ca0-9614-4c4c-a028-1b07a1758573}">
        <Attribution userId="placeholder@email.com" userName="Chakravarthy Petluri" userProvider="google-sheets"/>
        <Anchor>
          <Comment id="{bb791f51-656c-4242-b8de-ab3166083fdb}"/>
        </Anchor>
        <Create/>
      </Event>
      <Event time="2026-07-24T16:32:28.00" id="{f2250cad-aa92-4c81-bece-6fec67a381a9}">
        <Attribution userId="placeholder@email.com" userName="Chakravarthy Petluri" userProvider="google-sheets"/>
        <Anchor>
          <Comment id="{bb791f51-656c-4242-b8de-ab3166083fdb}"/>
        </Anchor>
        <Assign userId="dhsharma@guidewire.com" userName="dhsharma@guidewire.com" userProvider="google-sheets"/>
      </Event>
    </History>
  </Task>
  <Task id="{e8ae9306-d697-4446-a8d3-d6db4c9aa2db}">
    <Anchor>
      <Comment id="{cada88fb-a4a5-49dc-b8a8-9e745682b26b}"/>
    </Anchor>
    <History>
      <Event time="2026-07-24T16:36:28.00" id="{8d91d1f6-5a2b-4b0f-86b5-d5bef62ba99f}">
        <Attribution userId="placeholder@email.com" userName="Chakravarthy Petluri" userProvider="google-sheets"/>
        <Anchor>
          <Comment id="{8eb48585-1a00-457f-9a61-cec93dc531bd}"/>
        </Anchor>
        <Create/>
      </Event>
      <Event time="2026-07-24T16:36:28.00" id="{d81bf2d3-6a73-43a0-b23f-29ca636e2355}">
        <Attribution userId="placeholder@email.com" userName="Chakravarthy Petluri" userProvider="google-sheets"/>
        <Anchor>
          <Comment id="{8eb48585-1a00-457f-9a61-cec93dc531bd}"/>
        </Anchor>
        <Assign userId="jdobson@guidewire.com" userName="jdobson@guidewire.com" userProvider="google-sheets"/>
      </Event>
    </History>
  </Task>
  <Task id="{5e6f4e14-113f-403c-9216-c1fcdb59074e}">
    <Anchor>
      <Comment id="{bb77686f-5554-4f9e-9421-d680ca231f58}"/>
    </Anchor>
    <History>
      <Event time="2026-07-17T20:51:58.00" id="{2afd46f4-a461-4945-b17a-faedb33d6ff6}">
        <Attribution userId="placeholder@email.com" userName="Ashish Tomar" userProvider="google-sheets"/>
        <Anchor>
          <Comment id="{bb77686f-5554-4f9e-9421-d680ca231f58}"/>
        </Anchor>
        <Create/>
      </Event>
      <Event time="2026-07-17T20:51:58.00" id="{cb803231-7b97-4420-bc8d-6af7170cd7a6}">
        <Attribution userId="placeholder@email.com" userName="Ashish Tomar" userProvider="google-sheets"/>
        <Anchor>
          <Comment id="{bb77686f-5554-4f9e-9421-d680ca231f58}"/>
        </Anchor>
        <Assign userId="jguionnet@guidewire.com" userName="jguionnet@guidewire.com" userProvider="google-sheets"/>
      </Event>
    </History>
  </Task>
  <Task id="{0ce36ead-c8d4-4b91-9ef5-30112b803a23}">
    <Anchor>
      <Comment id="{877cce4d-de94-4a4d-bba8-44fde5aaf277}"/>
    </Anchor>
    <History>
      <Event time="2026-07-01T23:30:42.00" id="{f2effd1b-5ddc-416c-8f8d-6ee3849bbcbc}">
        <Attribution userId="placeholder@email.com" userName="Bharath Sekar" userProvider="google-sheets"/>
        <Anchor>
          <Comment id="{877cce4d-de94-4a4d-bba8-44fde5aaf277}"/>
        </Anchor>
        <Create/>
      </Event>
      <Event time="2026-07-01T23:30:42.00" id="{306e788f-55ad-436f-a7e0-f9051c7f9880}">
        <Attribution userId="placeholder@email.com" userName="Bharath Sekar" userProvider="google-sheets"/>
        <Anchor>
          <Comment id="{877cce4d-de94-4a4d-bba8-44fde5aaf277}"/>
        </Anchor>
        <Assign userId="gbouzeid@guidewire.com" userName="gbouzeid@guidewire.com" userProvider="google-sheets"/>
      </Event>
    </History>
  </Task>
  <Task id="{ce255ee7-ec01-41af-8db7-b099a3beb044}">
    <Anchor>
      <Comment id="{0c7810be-e99b-4e5a-b823-cf7ad351d625}"/>
    </Anchor>
    <History>
      <Event time="2026-07-14T14:00:27.00" id="{ca595242-66fb-40be-86f1-45bf764f6a4a}">
        <Attribution userId="placeholder@email.com" userName="Dhruv Sharma" userProvider="google-sheets"/>
        <Anchor>
          <Comment id="{2545d49d-023e-4013-adc2-607b0287e13d}"/>
        </Anchor>
        <Create/>
      </Event>
      <Event time="2026-07-14T14:00:27.00" id="{1c38a16f-6624-4f51-9b86-a1bf855e15ad}">
        <Attribution userId="placeholder@email.com" userName="Dhruv Sharma" userProvider="google-sheets"/>
        <Anchor>
          <Comment id="{2545d49d-023e-4013-adc2-607b0287e13d}"/>
        </Anchor>
        <Assign userId="cpetluri@guidewire.com" userName="cpetluri@guidewire.com" userProvider="google-sheets"/>
      </Event>
    </History>
  </Task>
  <Task id="{b7459818-bd41-4a27-bb5e-73b8962d0944}">
    <Anchor>
      <Comment id="{c5103691-f8d0-483c-ace7-d0672090713b}"/>
    </Anchor>
    <History>
      <Event time="2026-07-14T03:39:49.00" id="{128724c2-7455-436c-8f98-944914a75be8}">
        <Attribution userId="placeholder@email.com" userName="Chakravarthy Petluri" userProvider="google-sheets"/>
        <Anchor>
          <Comment id="{c5103691-f8d0-483c-ace7-d0672090713b}"/>
        </Anchor>
        <Create/>
      </Event>
      <Event time="2026-07-14T03:39:49.00" id="{bf91fc60-c36a-4b87-ba37-3878e9d01938}">
        <Attribution userId="placeholder@email.com" userName="Chakravarthy Petluri" userProvider="google-sheets"/>
        <Anchor>
          <Comment id="{c5103691-f8d0-483c-ace7-d0672090713b}"/>
        </Anchor>
        <Assign userId="dhsharma@guidewire.com" userName="dhsharma@guidewire.com" userProvider="google-sheets"/>
      </Event>
    </History>
  </Task>
  <Task id="{bea6a23d-3dc5-4279-9fcf-b80cb4c62169}">
    <Anchor>
      <Comment id="{ef35d713-756a-4bf2-ae0a-d9678bc2fa67}"/>
    </Anchor>
    <History>
      <Event time="2026-07-06T21:35:29.00" id="{39215c29-d05a-466b-9dde-489b30143a50}">
        <Attribution userId="placeholder@email.com" userName="Anoop Gopalakrishnan" userProvider="google-sheets"/>
        <Anchor>
          <Comment id="{ef35d713-756a-4bf2-ae0a-d9678bc2fa67}"/>
        </Anchor>
        <Create/>
      </Event>
      <Event time="2026-07-06T21:35:29.00" id="{4fd18851-3a48-4f89-a3b2-ae0f2476962c}">
        <Attribution userId="placeholder@email.com" userName="Anoop Gopalakrishnan" userProvider="google-sheets"/>
        <Anchor>
          <Comment id="{ef35d713-756a-4bf2-ae0a-d9678bc2fa67}"/>
        </Anchor>
        <Assign userId="gs@guidewire.com" userName="gs@guidewire.com" userProvider="google-sheets"/>
      </Event>
    </History>
  </Task>
  <Task id="{c18b1f5d-18dd-4cdb-9b5d-52db8851b60b}">
    <Anchor>
      <Comment id="{6824c3fa-d240-427f-9a49-3f69a3780e21}"/>
    </Anchor>
    <History>
      <Event time="2026-07-17T16:43:22.00" id="{610bca91-aaa5-4193-a522-42884071e231}">
        <Attribution userId="placeholder@email.com" userName="Chakravarthy Petluri" userProvider="google-sheets"/>
        <Anchor>
          <Comment id="{4502b7ab-42a2-485a-8cbf-f9b122c96f5a}"/>
        </Anchor>
        <Create/>
      </Event>
      <Event time="2026-07-17T16:43:22.00" id="{fa45f06e-046d-42f2-a183-391db1503167}">
        <Attribution userId="placeholder@email.com" userName="Chakravarthy Petluri" userProvider="google-sheets"/>
        <Anchor>
          <Comment id="{4502b7ab-42a2-485a-8cbf-f9b122c96f5a}"/>
        </Anchor>
        <Assign userId="gs@guidewire.com" userName="gs@guidewire.com" userProvider="google-sheets"/>
      </Event>
    </History>
  </Task>
  <Task id="{1ea234b8-08aa-49bf-a893-f7d13a45e886}">
    <Anchor>
      <Comment id="{0b46f774-fcd3-418e-a11a-2490cc75372b}"/>
    </Anchor>
    <History>
      <Event time="2026-07-13T08:36:52.00" id="{45f3b9ef-68c3-4a92-93b2-a312ef0a0eed}">
        <Attribution userId="placeholder@email.com" userName="Michal Zajac" userProvider="google-sheets"/>
        <Anchor>
          <Comment id="{0b46f774-fcd3-418e-a11a-2490cc75372b}"/>
        </Anchor>
        <Create/>
      </Event>
      <Event time="2026-07-13T08:36:52.00" id="{c44c98b8-f519-4a6e-95f3-74cf1d37f403}">
        <Attribution userId="placeholder@email.com" userName="Michal Zajac" userProvider="google-sheets"/>
        <Anchor>
          <Comment id="{0b46f774-fcd3-418e-a11a-2490cc75372b}"/>
        </Anchor>
        <Assign userId="amkhanna@guidewire.com" userName="amkhanna@guidewire.com" userProvider="google-sheets"/>
      </Event>
    </History>
  </Task>
  <Task id="{98128404-87f6-4f43-8188-1cba35fbbc34}">
    <Anchor>
      <Comment id="{ae7509fd-4c28-493a-987f-1e4cadcc9a40}"/>
    </Anchor>
    <History>
      <Event time="2026-07-17T16:01:51.00" id="{f572c8a5-57c3-4b2c-be7c-47a95ba0565c}">
        <Attribution userId="placeholder@email.com" userName="Ashish Tomar" userProvider="google-sheets"/>
        <Anchor>
          <Comment id="{17ff80fb-2b2c-45a5-96b7-ebbe85c30649}"/>
        </Anchor>
        <Create/>
      </Event>
      <Event time="2026-07-17T16:01:51.00" id="{e34986bf-003c-4d54-aafb-c4bd963333a7}">
        <Attribution userId="placeholder@email.com" userName="Ashish Tomar" userProvider="google-sheets"/>
        <Anchor>
          <Comment id="{17ff80fb-2b2c-45a5-96b7-ebbe85c30649}"/>
        </Anchor>
        <Assign userId="beloy@guidewire.com" userName="beloy@guidewire.com" userProvider="google-sheets"/>
      </Event>
    </History>
  </Task>
  <Task id="{87f6f79e-0173-40cc-adaa-69cf67176294}">
    <Anchor>
      <Comment id="{1435960c-4793-4c13-a694-94b080ef2300}"/>
    </Anchor>
    <History>
      <Event time="2026-07-17T10:18:33.00" id="{68b88aec-1679-48e1-828e-f7bd8c602e76}">
        <Attribution userId="placeholder@email.com" userName="Sai Praveen Malladi" userProvider="google-sheets"/>
        <Anchor>
          <Comment id="{1435960c-4793-4c13-a694-94b080ef2300}"/>
        </Anchor>
        <Create/>
      </Event>
      <Event time="2026-07-17T10:18:33.00" id="{c0b78e4b-1cc4-4a09-b5f6-755d8ae86acf}">
        <Attribution userId="placeholder@email.com" userName="Sai Praveen Malladi" userProvider="google-sheets"/>
        <Anchor>
          <Comment id="{1435960c-4793-4c13-a694-94b080ef2300}"/>
        </Anchor>
        <Assign userId="amkhanna@guidewire.com" userName="amkhanna@guidewire.com" userProvider="google-sheets"/>
      </Event>
    </History>
  </Task>
  <Task id="{d3dd3db5-41b5-44c9-80bf-0fdc3496c244}">
    <Anchor>
      <Comment id="{e807c196-8683-4854-a522-f7ec7e82177e}"/>
    </Anchor>
    <History>
      <Event time="2026-07-08T09:16:35.00" id="{a6114998-e9bc-41b6-8b77-80267be5ab35}">
        <Attribution userId="placeholder@email.com" userName="Łukasz Makowski" userProvider="google-sheets"/>
        <Anchor>
          <Comment id="{b40c80b3-acb9-403a-82d5-f4d6981f3b76}"/>
        </Anchor>
        <Create/>
      </Event>
      <Event time="2026-07-08T09:16:35.00" id="{9799d99d-a99d-4aad-851e-371a03c94ce9}">
        <Attribution userId="placeholder@email.com" userName="Łukasz Makowski" userProvider="google-sheets"/>
        <Anchor>
          <Comment id="{b40c80b3-acb9-403a-82d5-f4d6981f3b76}"/>
        </Anchor>
        <Assign userId="agopalakrishnan@guidewire.com" userName="agopalakrishnan@guidewire.com" userProvider="google-sheets"/>
      </Event>
    </History>
  </Task>
  <Task id="{48465913-4e1c-4969-bf78-c69dc230ee09}">
    <Anchor>
      <Comment id="{466223ff-2c7c-4d80-a82a-52074c2b42e7}"/>
    </Anchor>
    <History>
      <Event time="2026-07-17T10:20:48.00" id="{c23232ef-eee0-484f-84e3-9d27419de2f3}">
        <Attribution userId="placeholder@email.com" userName="Sai Praveen Malladi" userProvider="google-sheets"/>
        <Anchor>
          <Comment id="{466223ff-2c7c-4d80-a82a-52074c2b42e7}"/>
        </Anchor>
        <Create/>
      </Event>
      <Event time="2026-07-17T10:20:48.00" id="{460c2523-6027-4a76-bc9b-380e07828e05}">
        <Attribution userId="placeholder@email.com" userName="Sai Praveen Malladi" userProvider="google-sheets"/>
        <Anchor>
          <Comment id="{466223ff-2c7c-4d80-a82a-52074c2b42e7}"/>
        </Anchor>
        <Assign userId="suramasamy@guidewire.com" userName="suramasamy@guidewire.com" userProvider="google-sheets"/>
      </Event>
    </History>
  </Task>
  <Task id="{1892a511-4c4a-4106-b33c-6c646fd1ef94}">
    <Anchor>
      <Comment id="{0e46ed39-24ee-4e19-9841-5993510e6810}"/>
    </Anchor>
    <History>
      <Event time="2026-07-17T10:22:33.00" id="{589fa5e2-062c-447c-9fac-fa4f36e3eed4}">
        <Attribution userId="placeholder@email.com" userName="Sai Praveen Malladi" userProvider="google-sheets"/>
        <Anchor>
          <Comment id="{0e46ed39-24ee-4e19-9841-5993510e6810}"/>
        </Anchor>
        <Create/>
      </Event>
      <Event time="2026-07-17T10:22:33.00" id="{e3af9767-44e3-4ee3-b226-2deaffd9e70c}">
        <Attribution userId="placeholder@email.com" userName="Sai Praveen Malladi" userProvider="google-sheets"/>
        <Anchor>
          <Comment id="{0e46ed39-24ee-4e19-9841-5993510e6810}"/>
        </Anchor>
        <Assign userId="mkasprzyk@guidewire.com" userName="mkasprzyk@guidewire.com" userProvider="google-sheets"/>
      </Event>
    </History>
  </Task>
  <Task id="{706b1784-b737-477f-8fdc-45a7b2068ff6}">
    <Anchor>
      <Comment id="{df38473e-e311-4660-ad2f-ca82f972b8aa}"/>
    </Anchor>
    <History>
      <Event time="2026-07-23T22:12:21.00" id="{bbd29b9c-a48b-4e2b-a84a-8ca3db8cba8a}">
        <Attribution userId="placeholder@email.com" userName="Anoop Gopalakrishnan" userProvider="google-sheets"/>
        <Anchor>
          <Comment id="{df38473e-e311-4660-ad2f-ca82f972b8aa}"/>
        </Anchor>
        <Create/>
      </Event>
      <Event time="2026-07-23T22:12:21.00" id="{78d208ab-6ee3-4a59-a964-de3529c1af24}">
        <Attribution userId="placeholder@email.com" userName="Anoop Gopalakrishnan" userProvider="google-sheets"/>
        <Anchor>
          <Comment id="{df38473e-e311-4660-ad2f-ca82f972b8aa}"/>
        </Anchor>
        <Assign userId="ujain@guidewire.com" userName="ujain@guidewire.com" userProvider="google-sheets"/>
      </Event>
    </History>
  </Task>
  <Task id="{01b7bb4d-a52f-4e30-8b0b-b5e8a5565c75}">
    <Anchor>
      <Comment id="{333d5b58-a800-4144-a275-b26838ff809b}"/>
    </Anchor>
    <History>
      <Event time="2026-07-06T21:39:57.00" id="{34a3cbeb-bf8b-49e3-820d-62984b0e8e15}">
        <Attribution userId="placeholder@email.com" userName="Anoop Gopalakrishnan" userProvider="google-sheets"/>
        <Anchor>
          <Comment id="{333d5b58-a800-4144-a275-b26838ff809b}"/>
        </Anchor>
        <Create/>
      </Event>
      <Event time="2026-07-06T21:39:57.00" id="{3cd30745-d6a0-496f-9c72-8bbff0df37e7}">
        <Attribution userId="placeholder@email.com" userName="Anoop Gopalakrishnan" userProvider="google-sheets"/>
        <Anchor>
          <Comment id="{333d5b58-a800-4144-a275-b26838ff809b}"/>
        </Anchor>
        <Assign userId="amkhanna@guidewire.com" userName="amkhanna@guidewire.com" userProvider="google-sheets"/>
      </Event>
    </History>
  </Task>
  <Task id="{681c1290-0c4d-490e-ace6-5a2634b60937}">
    <Anchor>
      <Comment id="{456b40d2-eb58-41d4-ab53-22a35a9a7042}"/>
    </Anchor>
    <History>
      <Event time="2026-07-06T21:38:05.00" id="{2f6ae80c-43ac-43c0-8864-e5915bdf9b08}">
        <Attribution userId="placeholder@email.com" userName="Anoop Gopalakrishnan" userProvider="google-sheets"/>
        <Anchor>
          <Comment id="{456b40d2-eb58-41d4-ab53-22a35a9a7042}"/>
        </Anchor>
        <Create/>
      </Event>
      <Event time="2026-07-06T21:38:05.00" id="{5c834429-746b-46f6-a615-1bb6005e7f01}">
        <Attribution userId="placeholder@email.com" userName="Anoop Gopalakrishnan" userProvider="google-sheets"/>
        <Anchor>
          <Comment id="{456b40d2-eb58-41d4-ab53-22a35a9a7042}"/>
        </Anchor>
        <Assign userId="amkhanna@guidewire.com" userName="amkhanna@guidewire.com" userProvider="google-sheets"/>
      </Event>
    </History>
  </Task>
  <Task id="{d1723442-27ec-458d-8460-3ff1a6441a1d}">
    <Anchor>
      <Comment id="{9de7cde4-676f-44d3-bac7-3e34b6aa1e66}"/>
    </Anchor>
    <History>
      <Event time="2026-07-06T21:37:34.00" id="{e3abd80d-a2ec-4cb2-bda1-cff2656dbd4e}">
        <Attribution userId="placeholder@email.com" userName="Anoop Gopalakrishnan" userProvider="google-sheets"/>
        <Anchor>
          <Comment id="{9de7cde4-676f-44d3-bac7-3e34b6aa1e66}"/>
        </Anchor>
        <Create/>
      </Event>
      <Event time="2026-07-06T21:37:34.00" id="{34aeadac-1d8e-4e6b-b9f9-785704964ecf}">
        <Attribution userId="placeholder@email.com" userName="Anoop Gopalakrishnan" userProvider="google-sheets"/>
        <Anchor>
          <Comment id="{9de7cde4-676f-44d3-bac7-3e34b6aa1e66}"/>
        </Anchor>
        <Assign userId="amkhanna@guidewire.com" userName="amkhanna@guidewire.com" userProvider="google-sheets"/>
      </Event>
    </History>
  </Task>
  <Task id="{2895151f-1bff-41ba-af12-ff829d330372}">
    <Anchor>
      <Comment id="{cb2a0496-f374-4b99-b320-bed23b330132}"/>
    </Anchor>
    <History>
      <Event time="2026-07-17T14:33:43.00" id="{f6c80fdc-1845-4f11-b39b-0d919669f291}">
        <Attribution userId="placeholder@email.com" userName="Jerome Guionnet" userProvider="google-sheets"/>
        <Anchor>
          <Comment id="{cb2a0496-f374-4b99-b320-bed23b330132}"/>
        </Anchor>
        <Create/>
      </Event>
      <Event time="2026-07-17T14:33:43.00" id="{c7844c81-f99d-4475-bfaf-b1f681b35110}">
        <Attribution userId="placeholder@email.com" userName="Jerome Guionnet" userProvider="google-sheets"/>
        <Anchor>
          <Comment id="{cb2a0496-f374-4b99-b320-bed23b330132}"/>
        </Anchor>
        <Assign userId="jdobson@guidewire.com" userName="jdobson@guidewire.com" userProvider="google-sheets"/>
      </Event>
    </History>
  </Task>
  <Task id="{488ca597-d775-46cd-aeff-faed60a06556}">
    <Anchor>
      <Comment id="{979edbfa-d7a1-4607-b9ca-b08405761810}"/>
    </Anchor>
    <History>
      <Event time="2026-07-06T21:40:30.00" id="{9d01313b-f38b-4336-b596-784c1bc7f3ed}">
        <Attribution userId="placeholder@email.com" userName="Anoop Gopalakrishnan" userProvider="google-sheets"/>
        <Anchor>
          <Comment id="{979edbfa-d7a1-4607-b9ca-b08405761810}"/>
        </Anchor>
        <Create/>
      </Event>
      <Event time="2026-07-06T21:40:30.00" id="{16e6d0fb-d694-4047-bcf4-d9fbc7a04683}">
        <Attribution userId="placeholder@email.com" userName="Anoop Gopalakrishnan" userProvider="google-sheets"/>
        <Anchor>
          <Comment id="{979edbfa-d7a1-4607-b9ca-b08405761810}"/>
        </Anchor>
        <Assign userId="amkhanna@guidewire.com" userName="amkhanna@guidewire.com" userProvider="google-sheets"/>
      </Event>
    </History>
  </Task>
  <Task id="{8e88e731-1a52-4678-a7c5-4e4c49661b9c}">
    <Anchor>
      <Comment id="{0d0f74fd-df30-4121-a236-dd74b630f8c4}"/>
    </Anchor>
    <History>
      <Event time="2026-07-07T14:55:50.00" id="{ec88d4b1-d9ef-468b-8871-3e1254713c3f}">
        <Attribution userId="placeholder@email.com" userName="Gilbert Bouzeid" userProvider="google-sheets"/>
        <Anchor>
          <Comment id="{e20e7e62-d216-4d87-a842-cae64c214efe}"/>
        </Anchor>
        <Create/>
      </Event>
      <Event time="2026-07-07T14:55:50.00" id="{4be3923b-9a5a-4f1b-9678-00f5ba770651}">
        <Attribution userId="placeholder@email.com" userName="Gilbert Bouzeid" userProvider="google-sheets"/>
        <Anchor>
          <Comment id="{e20e7e62-d216-4d87-a842-cae64c214efe}"/>
        </Anchor>
        <Assign userId="ppaul@guidewire.com" userName="ppaul@guidewire.com" userProvider="google-sheets"/>
      </Event>
    </History>
  </Task>
  <Task id="{57a222f8-a28d-4a91-883e-29aedd6d1366}">
    <Anchor>
      <Comment id="{1f35a991-490a-43c0-91ad-d91a65fbdb3f}"/>
    </Anchor>
    <History>
      <Event time="2026-07-16T22:02:09.00" id="{3783e556-e7c9-434e-88a4-af6f2021f624}">
        <Attribution userId="placeholder@email.com" userName="Grzegorz Solinski" userProvider="google-sheets"/>
        <Anchor>
          <Comment id="{1f35a991-490a-43c0-91ad-d91a65fbdb3f}"/>
        </Anchor>
        <Create/>
      </Event>
      <Event time="2026-07-16T22:02:09.00" id="{11802061-1c1d-4954-acd4-18a9e74a9bc3}">
        <Attribution userId="placeholder@email.com" userName="Grzegorz Solinski" userProvider="google-sheets"/>
        <Anchor>
          <Comment id="{1f35a991-490a-43c0-91ad-d91a65fbdb3f}"/>
        </Anchor>
        <Assign userId="gbouzeid@guidewire.com" userName="gbouzeid@guidewire.com" userProvider="google-sheets"/>
      </Event>
    </History>
  </Task>
  <Task id="{e726af0f-3fd1-45a0-a836-fa65af9a22e8}">
    <Anchor>
      <Comment id="{74264e87-f056-448d-80e8-8b9f729fb02b}"/>
    </Anchor>
    <History>
      <Event time="2026-07-10T21:30:54.00" id="{33e9a3b2-b854-4a38-8685-cc08ad9bb882}">
        <Attribution userId="placeholder@email.com" userName="Gilbert Bouzeid" userProvider="google-sheets"/>
        <Anchor>
          <Comment id="{f1e438f3-d337-475c-8651-055766ccd35a}"/>
        </Anchor>
        <Create/>
      </Event>
      <Event time="2026-07-10T21:30:54.00" id="{730f424f-3818-43cd-84f6-ba32fbb9ff5a}">
        <Attribution userId="placeholder@email.com" userName="Gilbert Bouzeid" userProvider="google-sheets"/>
        <Anchor>
          <Comment id="{f1e438f3-d337-475c-8651-055766ccd35a}"/>
        </Anchor>
        <Assign userId="beloy@guidewire.com" userName="beloy@guidewire.com" userProvider="google-sheets"/>
      </Event>
    </History>
  </Task>
  <Task id="{a817d8a6-ed42-47f2-88e0-38ac666f5921}">
    <Anchor>
      <Comment id="{756dee8c-77af-40e4-9532-b89ce684968a}"/>
    </Anchor>
    <History>
      <Event time="2026-07-16T00:26:54.00" id="{765df500-cafd-4d2d-91e6-0116b0f01d5b}">
        <Attribution userId="placeholder@email.com" userName="Bharath Sekar" userProvider="google-sheets"/>
        <Anchor>
          <Comment id="{2fe5277a-297e-4d19-ba51-67dfee756ca8}"/>
        </Anchor>
        <Create/>
      </Event>
      <Event time="2026-07-16T00:26:54.00" id="{9774e37f-106f-4241-bf82-faece44faa51}">
        <Attribution userId="placeholder@email.com" userName="Bharath Sekar" userProvider="google-sheets"/>
        <Anchor>
          <Comment id="{2fe5277a-297e-4d19-ba51-67dfee756ca8}"/>
        </Anchor>
        <Assign userId="mzajac@guidewire.com" userName="mzajac@guidewire.com" userProvider="google-sheets"/>
      </Event>
    </History>
  </Task>
  <Task id="{38d63a18-fca6-432e-be06-901dae2b370f}">
    <Anchor>
      <Comment id="{780e292d-6b13-4f67-9558-8ac2adfa269d}"/>
    </Anchor>
    <History>
      <Event time="2026-07-10T12:44:17.00" id="{4d88f56b-d90b-4611-84d7-7ba1eb43c923}">
        <Attribution userId="placeholder@email.com" userName="Michal Zajac" userProvider="google-sheets"/>
        <Anchor>
          <Comment id="{780e292d-6b13-4f67-9558-8ac2adfa269d}"/>
        </Anchor>
        <Create/>
      </Event>
      <Event time="2026-07-10T12:44:17.00" id="{3c31bb22-1c45-43c5-b07f-4d5475ca3e01}">
        <Attribution userId="placeholder@email.com" userName="Michal Zajac" userProvider="google-sheets"/>
        <Anchor>
          <Comment id="{780e292d-6b13-4f67-9558-8ac2adfa269d}"/>
        </Anchor>
        <Assign userId="cpetluri@guidewire.com" userName="cpetluri@guidewire.com" userProvider="google-sheets"/>
      </Event>
    </History>
  </Task>
  <Task id="{591a57f0-13c6-4f6a-837c-16cf466fe57c}">
    <Anchor>
      <Comment id="{877d6caa-148a-4cea-afba-409ab18ef6a4}"/>
    </Anchor>
    <History>
      <Event time="2026-07-15T17:21:51.00" id="{c144c708-c9a9-45ef-813c-c2c1cba0dc3f}">
        <Attribution userId="placeholder@email.com" userName="Dhruv Sharma" userProvider="google-sheets"/>
        <Anchor>
          <Comment id="{877d6caa-148a-4cea-afba-409ab18ef6a4}"/>
        </Anchor>
        <Create/>
      </Event>
      <Event time="2026-07-15T17:21:51.00" id="{0bced35d-5c80-4381-9e18-c29fc771213e}">
        <Attribution userId="placeholder@email.com" userName="Dhruv Sharma" userProvider="google-sheets"/>
        <Anchor>
          <Comment id="{877d6caa-148a-4cea-afba-409ab18ef6a4}"/>
        </Anchor>
        <Assign userId="amkhanna@guidewire.com" userName="amkhanna@guidewire.com" userProvider="google-sheets"/>
      </Event>
    </History>
  </Task>
  <Task id="{d7e1af5c-b1d9-4d22-9e7c-13c16e5f616d}">
    <Anchor>
      <Comment id="{e9dacff7-d3c7-4362-83d2-c32168cfdf8a}"/>
    </Anchor>
    <History>
      <Event time="2026-07-17T14:24:30.00" id="{32e4d039-7383-4b18-b77f-39faef0b64c0}">
        <Attribution userId="placeholder@email.com" userName="Jerome Guionnet" userProvider="google-sheets"/>
        <Anchor>
          <Comment id="{6d569635-5b11-4327-8830-da94936c1178}"/>
        </Anchor>
        <Create/>
      </Event>
      <Event time="2026-07-17T14:24:30.00" id="{7d7c31d7-15d1-48f6-bb3c-04523bcb8b65}">
        <Attribution userId="placeholder@email.com" userName="Jerome Guionnet" userProvider="google-sheets"/>
        <Anchor>
          <Comment id="{6d569635-5b11-4327-8830-da94936c1178}"/>
        </Anchor>
        <Assign userId="dhsharma@guidewire.com" userName="dhsharma@guidewire.com" userProvider="google-sheets"/>
      </Event>
    </History>
  </Task>
  <Task id="{0d71f0aa-6003-4fda-bda6-a140b2f39c70}">
    <Anchor>
      <Comment id="{48ef96fa-f91b-48c6-b8cc-ac8ced862cbb}"/>
    </Anchor>
    <History>
      <Event time="2026-07-17T14:19:50.00" id="{c8c5a667-b0c7-49d9-a74c-37522f654ded}">
        <Attribution userId="placeholder@email.com" userName="Jerome Guionnet" userProvider="google-sheets"/>
        <Anchor>
          <Comment id="{b118de02-0c70-4ac3-994c-283945f625b1}"/>
        </Anchor>
        <Create/>
      </Event>
      <Event time="2026-07-17T14:19:50.00" id="{5007dc8e-02f5-44f1-833c-0e77190425f8}">
        <Attribution userId="placeholder@email.com" userName="Jerome Guionnet" userProvider="google-sheets"/>
        <Anchor>
          <Comment id="{b118de02-0c70-4ac3-994c-283945f625b1}"/>
        </Anchor>
        <Assign userId="dhsharma@guidewire.com" userName="dhsharma@guidewire.com" userProvider="google-sheets"/>
      </Event>
    </History>
  </Task>
  <Task id="{35407db2-8cc4-4ba7-a2ff-a47aa602ab3f}">
    <Anchor>
      <Comment id="{21d96eea-f7c2-4b69-8113-5102e7c47c15}"/>
    </Anchor>
    <History>
      <Event time="2026-07-23T10:06:31.00" id="{44e98baf-4b02-420b-b3de-d652444741d3}">
        <Attribution userId="placeholder@email.com" userName="Dima Kravchenko" userProvider="google-sheets"/>
        <Anchor>
          <Comment id="{95a12891-4802-41ff-93ac-4e380b4b9845}"/>
        </Anchor>
        <Create/>
      </Event>
      <Event time="2026-07-23T10:06:31.00" id="{ce2dacc0-99f3-4cb2-b313-4b1fd69401a1}">
        <Attribution userId="placeholder@email.com" userName="Dima Kravchenko" userProvider="google-sheets"/>
        <Anchor>
          <Comment id="{95a12891-4802-41ff-93ac-4e380b4b9845}"/>
        </Anchor>
        <Assign userId="atomar@guidewire.com" userName="atomar@guidewire.com" userProvider="google-sheets"/>
      </Event>
    </History>
  </Task>
  <Task id="{a2e34329-593f-4355-abf4-921ad0d150e4}">
    <Anchor>
      <Comment id="{f196e23f-91db-4e14-92da-e6e4d295ab32}"/>
    </Anchor>
    <History>
      <Event time="2026-07-29T17:09:39.00" id="{5d7ac9f9-34fa-4940-bd87-21b1859ff44a}">
        <Attribution userId="placeholder@email.com" userName="Michael Russo" userProvider="google-sheets"/>
        <Anchor>
          <Comment id="{f196e23f-91db-4e14-92da-e6e4d295ab32}"/>
        </Anchor>
        <Create/>
      </Event>
      <Event time="2026-07-29T17:09:39.00" id="{a80a919a-1b17-4d24-a2f7-a26ea1fcf838}">
        <Attribution userId="placeholder@email.com" userName="Michael Russo" userProvider="google-sheets"/>
        <Anchor>
          <Comment id="{f196e23f-91db-4e14-92da-e6e4d295ab32}"/>
        </Anchor>
        <Assign userId="ujain@guidewire.com" userName="ujain@guidewire.com" userProvider="google-sheets"/>
      </Event>
    </History>
  </Task>
  <Task id="{4b42d9f5-b7e0-415b-b8f0-001552c74161}">
    <Anchor>
      <Comment id="{dc30c620-2196-4b92-883d-d261a5c1f6ca}"/>
    </Anchor>
    <History>
      <Event time="2026-07-15T16:51:24.00" id="{5fea7068-86ec-4f1d-8eea-ed41aa575e38}">
        <Attribution userId="placeholder@email.com" userName="Chakravarthy Petluri" userProvider="google-sheets"/>
        <Anchor>
          <Comment id="{dc30c620-2196-4b92-883d-d261a5c1f6ca}"/>
        </Anchor>
        <Create/>
      </Event>
      <Event time="2026-07-15T16:51:24.00" id="{dcbaf646-d424-42c9-a15a-ebb302ab837a}">
        <Attribution userId="placeholder@email.com" userName="Chakravarthy Petluri" userProvider="google-sheets"/>
        <Anchor>
          <Comment id="{dc30c620-2196-4b92-883d-d261a5c1f6ca}"/>
        </Anchor>
        <Assign userId="amkhanna@guidewire.com" userName="amkhanna@guidewire.com" userProvider="google-sheets"/>
      </Event>
    </History>
  </Task>
  <Task id="{9005c575-01f0-457e-8bba-2b0ab4e0510b}">
    <Anchor>
      <Comment id="{ab65d65b-76be-4056-bddf-e8c667b045ad}"/>
    </Anchor>
    <History>
      <Event time="2026-07-24T16:23:01.00" id="{e2eb1003-041a-4bc5-a596-68cb17666781}">
        <Attribution userId="placeholder@email.com" userName="Chakravarthy Petluri" userProvider="google-sheets"/>
        <Anchor>
          <Comment id="{ab65d65b-76be-4056-bddf-e8c667b045ad}"/>
        </Anchor>
        <Create/>
      </Event>
      <Event time="2026-07-24T16:23:01.00" id="{9b4e5e97-88ff-432c-b835-fa96a22ac21b}">
        <Attribution userId="placeholder@email.com" userName="Chakravarthy Petluri" userProvider="google-sheets"/>
        <Anchor>
          <Comment id="{ab65d65b-76be-4056-bddf-e8c667b045ad}"/>
        </Anchor>
        <Assign userId="apers@guidewire.com" userName="apers@guidewire.com" userProvider="google-sheets"/>
      </Event>
    </History>
  </Task>
  <Task id="{bade85bf-9165-4309-80f7-0a024a5f180b}">
    <Anchor>
      <Comment id="{1daa958c-8874-46d9-8db4-f0b5f1b5e0da}"/>
    </Anchor>
    <History>
      <Event time="2026-07-24T16:24:03.00" id="{c4871f02-3280-4c97-9608-dff3d140abfc}">
        <Attribution userId="placeholder@email.com" userName="Chakravarthy Petluri" userProvider="google-sheets"/>
        <Anchor>
          <Comment id="{1daa958c-8874-46d9-8db4-f0b5f1b5e0da}"/>
        </Anchor>
        <Create/>
      </Event>
      <Event time="2026-07-24T16:24:03.00" id="{cc15c4ab-8674-41b1-995d-1d5c6d7a8643}">
        <Attribution userId="placeholder@email.com" userName="Chakravarthy Petluri" userProvider="google-sheets"/>
        <Anchor>
          <Comment id="{1daa958c-8874-46d9-8db4-f0b5f1b5e0da}"/>
        </Anchor>
        <Assign userId="apers@guidewire.com" userName="apers@guidewire.com" userProvider="google-sheets"/>
      </Event>
    </History>
  </Task>
  <Task id="{7d3bd7ea-24ea-4f68-a299-058fc3f4927b}">
    <Anchor>
      <Comment id="{ecf79049-5378-43d0-978c-06754d6a7912}"/>
    </Anchor>
    <History>
      <Event time="2026-07-22T15:39:30.00" id="{09ca1d9c-20ce-4019-9666-06c6e448f1ab}">
        <Attribution userId="placeholder@email.com" userName="Ashish Tomar" userProvider="google-sheets"/>
        <Anchor>
          <Comment id="{e8fa8b09-280d-4e12-99b9-0df976dcd955}"/>
        </Anchor>
        <Create/>
      </Event>
      <Event time="2026-07-22T15:39:30.00" id="{042f4705-03ec-4a2e-91c9-8617d1c8c467}">
        <Attribution userId="placeholder@email.com" userName="Ashish Tomar" userProvider="google-sheets"/>
        <Anchor>
          <Comment id="{e8fa8b09-280d-4e12-99b9-0df976dcd955}"/>
        </Anchor>
        <Assign userId="gsolinski@guidewire.com" userName="gsolinski@guidewire.com" userProvider="google-sheets"/>
      </Event>
    </History>
  </Task>
  <Task id="{a43f4518-ccb4-4255-b7b8-fb0a33a02cfa}">
    <Anchor>
      <Comment id="{d1f0de43-0b7b-4240-9138-29468fcf364c}"/>
    </Anchor>
    <History>
      <Event time="2026-07-15T16:11:30.00" id="{6a3e7dc3-57f4-4bc6-9b33-b7994d586d89}">
        <Attribution userId="placeholder@email.com" userName="James Dobson" userProvider="google-sheets"/>
        <Anchor>
          <Comment id="{d1f0de43-0b7b-4240-9138-29468fcf364c}"/>
        </Anchor>
        <Create/>
      </Event>
      <Event time="2026-07-15T16:11:30.00" id="{a436c466-c811-4546-8e14-7b200412bcc0}">
        <Attribution userId="placeholder@email.com" userName="James Dobson" userProvider="google-sheets"/>
        <Anchor>
          <Comment id="{d1f0de43-0b7b-4240-9138-29468fcf364c}"/>
        </Anchor>
        <Assign userId="bsekar@guidewire.com" userName="bsekar@guidewire.com" userProvider="google-sheets"/>
      </Event>
    </History>
  </Task>
  <Task id="{4fa33ce5-d1b8-4cbe-88e3-9df7d7aa7388}">
    <Anchor>
      <Comment id="{6656b5d5-0f2d-4d54-8dcc-bf8380bf052c}"/>
    </Anchor>
    <History>
      <Event time="2026-07-14T20:13:32.00" id="{f01b8fd6-3531-422e-a3da-57d1c9b474fb}">
        <Attribution userId="placeholder@email.com" userName="Gilbert Bouzeid" userProvider="google-sheets"/>
        <Anchor>
          <Comment id="{1512476d-eb6b-4b6d-a353-1a8ee4a3cba6}"/>
        </Anchor>
        <Create/>
      </Event>
      <Event time="2026-07-14T20:13:32.00" id="{7a59da08-2c67-45c9-aaa5-c3b296a71336}">
        <Attribution userId="placeholder@email.com" userName="Gilbert Bouzeid" userProvider="google-sheets"/>
        <Anchor>
          <Comment id="{1512476d-eb6b-4b6d-a353-1a8ee4a3cba6}"/>
        </Anchor>
        <Assign userId="beloy@guidewire.com" userName="beloy@guidewire.com" userProvider="google-sheets"/>
      </Event>
    </History>
  </Task>
  <Task id="{b9e9e165-0247-4d3b-a526-6f9b2c31bcc8}">
    <Anchor>
      <Comment id="{22dd4a6a-27c7-4307-8a6d-e7dd0a250f4a}"/>
    </Anchor>
    <History>
      <Event time="2026-07-16T23:59:35.00" id="{b388cf64-1ae5-40f4-95bc-50a6f4404557}">
        <Attribution userId="placeholder@email.com" userName="Grzegorz Solinski" userProvider="google-sheets"/>
        <Anchor>
          <Comment id="{22dd4a6a-27c7-4307-8a6d-e7dd0a250f4a}"/>
        </Anchor>
        <Create/>
      </Event>
      <Event time="2026-07-16T23:59:35.00" id="{6abdcdb7-2d91-40ee-8a95-d3bed8ae1c7a}">
        <Attribution userId="placeholder@email.com" userName="Grzegorz Solinski" userProvider="google-sheets"/>
        <Anchor>
          <Comment id="{22dd4a6a-27c7-4307-8a6d-e7dd0a250f4a}"/>
        </Anchor>
        <Assign userId="amkhanna@guidewire.com" userName="amkhanna@guidewire.com" userProvider="google-sheets"/>
      </Event>
    </History>
  </Task>
  <Task id="{85d3a2f8-a527-492f-9621-c6ca40e8e757}">
    <Anchor>
      <Comment id="{a36f1065-e053-4d9f-ae84-5103ef8e4a3d}"/>
    </Anchor>
    <History>
      <Event time="2026-07-07T16:58:52.00" id="{1739e5ac-1c19-412b-b56f-b59b119a424b}">
        <Attribution userId="placeholder@email.com" userName="Chakravarthy Petluri" userProvider="google-sheets"/>
        <Anchor>
          <Comment id="{a36f1065-e053-4d9f-ae84-5103ef8e4a3d}"/>
        </Anchor>
        <Create/>
      </Event>
      <Event time="2026-07-07T16:58:52.00" id="{6ff2e3a9-a0a3-4c09-9880-11225d17d53b}">
        <Attribution userId="placeholder@email.com" userName="Chakravarthy Petluri" userProvider="google-sheets"/>
        <Anchor>
          <Comment id="{a36f1065-e053-4d9f-ae84-5103ef8e4a3d}"/>
        </Anchor>
        <Assign userId="bsekar@guidewire.com" userName="bsekar@guidewire.com" userProvider="google-sheets"/>
      </Event>
    </History>
  </Task>
  <Task id="{55f29853-1d76-4b69-abd1-bfcae5a31819}">
    <Anchor>
      <Comment id="{256ceb0c-5c6e-4b8e-bfe7-9fc8008070bb}"/>
    </Anchor>
    <History>
      <Event time="2026-07-24T16:18:56.00" id="{f80cb175-62f6-444b-81a9-b3cd3b08789f}">
        <Attribution userId="placeholder@email.com" userName="Chakravarthy Petluri" userProvider="google-sheets"/>
        <Anchor>
          <Comment id="{256ceb0c-5c6e-4b8e-bfe7-9fc8008070bb}"/>
        </Anchor>
        <Create/>
      </Event>
      <Event time="2026-07-24T16:18:56.00" id="{bccb26e3-6e94-4d4e-99d5-5603e1ded0b2}">
        <Attribution userId="placeholder@email.com" userName="Chakravarthy Petluri" userProvider="google-sheets"/>
        <Anchor>
          <Comment id="{256ceb0c-5c6e-4b8e-bfe7-9fc8008070bb}"/>
        </Anchor>
        <Assign userId="mzawadzka@guidewire.com" userName="mzawadzka@guidewire.com" userProvider="google-sheets"/>
      </Event>
    </History>
  </Task>
  <Task id="{11ebac66-c1c1-4c47-96cd-c0167b0adecf}">
    <Anchor>
      <Comment id="{ccfc27c4-29f6-4d16-9c31-68ac241a1b72}"/>
    </Anchor>
    <History>
      <Event time="2026-07-24T16:14:12.00" id="{1f5bbaa8-4990-4eb4-bc71-f2e2fd42ddf6}">
        <Attribution userId="placeholder@email.com" userName="Chakravarthy Petluri" userProvider="google-sheets"/>
        <Anchor>
          <Comment id="{ccfc27c4-29f6-4d16-9c31-68ac241a1b72}"/>
        </Anchor>
        <Create/>
      </Event>
      <Event time="2026-07-24T16:14:12.00" id="{7f26e686-df1f-49cc-80a2-6eff9893d3d4}">
        <Attribution userId="placeholder@email.com" userName="Chakravarthy Petluri" userProvider="google-sheets"/>
        <Anchor>
          <Comment id="{ccfc27c4-29f6-4d16-9c31-68ac241a1b72}"/>
        </Anchor>
        <Assign userId="amkhanna@guidewire.com" userName="amkhanna@guidewire.com" userProvider="google-sheets"/>
      </Event>
    </History>
  </Task>
  <Task id="{7088b8a3-dd31-4136-94bf-3dc7f1329900}">
    <Anchor>
      <Comment id="{c5c39f25-57fe-4336-9658-ccd85204ea50}"/>
    </Anchor>
    <History>
      <Event time="2026-07-14T20:14:00.00" id="{8dd25823-366e-47f3-a297-2cffcb4f963c}">
        <Attribution userId="placeholder@email.com" userName="Gilbert Bouzeid" userProvider="google-sheets"/>
        <Anchor>
          <Comment id="{17588598-3574-407e-af1e-005ef8ca4863}"/>
        </Anchor>
        <Create/>
      </Event>
      <Event time="2026-07-14T20:14:00.00" id="{f6b7b586-0884-4c13-a188-9c116c11f3a9}">
        <Attribution userId="placeholder@email.com" userName="Gilbert Bouzeid" userProvider="google-sheets"/>
        <Anchor>
          <Comment id="{17588598-3574-407e-af1e-005ef8ca4863}"/>
        </Anchor>
        <Assign userId="bsekar@guidewire.com" userName="bsekar@guidewire.com" userProvider="google-sheets"/>
      </Event>
    </History>
  </Task>
  <Task id="{f69f789d-878e-42c0-8776-dc497c1adc95}">
    <Anchor>
      <Comment id="{427d1402-0b7f-4f82-a546-8e0ed561705e}"/>
    </Anchor>
    <History>
      <Event time="2026-07-24T16:35:58.00" id="{43188b38-c41a-4fcc-a3fe-ad6ea738d841}">
        <Attribution userId="placeholder@email.com" userName="Chakravarthy Petluri" userProvider="google-sheets"/>
        <Anchor>
          <Comment id="{427d1402-0b7f-4f82-a546-8e0ed561705e}"/>
        </Anchor>
        <Create/>
      </Event>
      <Event time="2026-07-24T16:35:58.00" id="{231616f0-2844-46f7-9d5a-3dc4e85a18d4}">
        <Attribution userId="placeholder@email.com" userName="Chakravarthy Petluri" userProvider="google-sheets"/>
        <Anchor>
          <Comment id="{427d1402-0b7f-4f82-a546-8e0ed561705e}"/>
        </Anchor>
        <Assign userId="kwcislo@guidewire.com" userName="kwcislo@guidewire.com" userProvider="google-sheets"/>
      </Event>
    </History>
  </Task>
  <Task id="{4ddd5e41-53f2-4031-b22e-617b36d43a79}">
    <Anchor>
      <Comment id="{e4bb87dd-ade2-49b2-ae20-d7562a7912c3}"/>
    </Anchor>
    <History>
      <Event time="2026-07-27T11:53:36.00" id="{afe8fc76-d1e8-4d1f-b170-415e4446629a}">
        <Attribution userId="placeholder@email.com" userName="Kamil Wcisło" userProvider="google-sheets"/>
        <Anchor>
          <Comment id="{c9f8331f-d943-43bf-ae75-a6ccb6cc8b8d}"/>
        </Anchor>
        <Create/>
      </Event>
      <Event time="2026-07-27T11:53:36.00" id="{7e08a45d-5613-4d47-972f-b583d5f9806d}">
        <Attribution userId="placeholder@email.com" userName="Kamil Wcisło" userProvider="google-sheets"/>
        <Anchor>
          <Comment id="{c9f8331f-d943-43bf-ae75-a6ccb6cc8b8d}"/>
        </Anchor>
        <Assign userId="gbouzeid@guidewire.com" userName="gbouzeid@guidewire.com" userProvider="google-sheets"/>
      </Event>
    </History>
  </Task>
  <Task id="{c85868db-bb7e-4a80-aa33-6177e46baa71}">
    <Anchor>
      <Comment id="{8db4b7e9-19bd-4e21-b5e1-924af704ed7c}"/>
    </Anchor>
    <History>
      <Event time="2026-07-17T06:33:23.00" id="{b31373ca-9051-4aa1-bd1d-961d0817ed6c}">
        <Attribution userId="placeholder@email.com" userName="Grzegorz Solinski" userProvider="google-sheets"/>
        <Anchor>
          <Comment id="{0499ddb1-2671-4181-a2e1-ae82bcc38bc1}"/>
        </Anchor>
        <Create/>
      </Event>
      <Event time="2026-07-17T06:33:23.00" id="{7373a1a7-34c8-4577-a49c-10699d9b3741}">
        <Attribution userId="placeholder@email.com" userName="Grzegorz Solinski" userProvider="google-sheets"/>
        <Anchor>
          <Comment id="{0499ddb1-2671-4181-a2e1-ae82bcc38bc1}"/>
        </Anchor>
        <Assign userId="pikumar@guidewire.com" userName="pikumar@guidewire.com" userProvider="google-sheets"/>
      </Event>
    </History>
  </Task>
  <Task id="{7f37d6c3-bcd7-46ae-9066-8a866c110b73}">
    <Anchor>
      <Comment id="{cc75ecf2-eb65-41b4-844e-dc7fd2c6104b}"/>
    </Anchor>
    <History>
      <Event time="2026-07-24T16:35:15.00" id="{c03b5cbe-66c8-422d-8388-866c6997cd9e}">
        <Attribution userId="placeholder@email.com" userName="Chakravarthy Petluri" userProvider="google-sheets"/>
        <Anchor>
          <Comment id="{cc75ecf2-eb65-41b4-844e-dc7fd2c6104b}"/>
        </Anchor>
        <Create/>
      </Event>
      <Event time="2026-07-24T16:35:15.00" id="{17a95a01-b488-48eb-a8b0-08bb17532821}">
        <Attribution userId="placeholder@email.com" userName="Chakravarthy Petluri" userProvider="google-sheets"/>
        <Anchor>
          <Comment id="{cc75ecf2-eb65-41b4-844e-dc7fd2c6104b}"/>
        </Anchor>
        <Assign userId="msmriti@guidewire.com" userName="msmriti@guidewire.com" userProvider="google-sheets"/>
      </Event>
    </History>
  </Task>
  <Task id="{12be694a-f3b0-4c87-abad-c72fa9759b72}">
    <Anchor>
      <Comment id="{d3c7bed6-d89c-4207-a7b3-b9150519e1a3}"/>
    </Anchor>
    <History>
      <Event time="2026-07-07T17:09:05.00" id="{06f50ba1-a1af-4daa-b64c-22ed8f0c2148}">
        <Attribution userId="placeholder@email.com" userName="Anoop Gopalakrishnan" userProvider="google-sheets"/>
        <Anchor>
          <Comment id="{57043527-7021-43a0-a37c-bde5f4719bd0}"/>
        </Anchor>
        <Create/>
      </Event>
      <Event time="2026-07-07T17:09:05.00" id="{f1862b41-38d7-414a-a615-45f6be62bf07}">
        <Attribution userId="placeholder@email.com" userName="Anoop Gopalakrishnan" userProvider="google-sheets"/>
        <Anchor>
          <Comment id="{57043527-7021-43a0-a37c-bde5f4719bd0}"/>
        </Anchor>
        <Assign userId="jguionnet@guidewire.com" userName="jguionnet@guidewire.com" userProvider="google-sheets"/>
      </Event>
    </History>
  </Task>
  <Task id="{d02b9a59-7561-4b1f-a310-5d84ca646fac}">
    <Anchor>
      <Comment id="{68913f1e-819d-42c9-b405-846d247926ae}"/>
    </Anchor>
    <History>
      <Event time="2026-07-24T16:17:10.00" id="{d6269739-1e8e-4e4a-9a86-db1aaa836ac5}">
        <Attribution userId="placeholder@email.com" userName="Chakravarthy Petluri" userProvider="google-sheets"/>
        <Anchor>
          <Comment id="{68913f1e-819d-42c9-b405-846d247926ae}"/>
        </Anchor>
        <Create/>
      </Event>
      <Event time="2026-07-24T16:17:10.00" id="{322205d8-d73b-4622-ba29-229c6a452c26}">
        <Attribution userId="placeholder@email.com" userName="Chakravarthy Petluri" userProvider="google-sheets"/>
        <Anchor>
          <Comment id="{68913f1e-819d-42c9-b405-846d247926ae}"/>
        </Anchor>
        <Assign userId="suramasamy@guidewire.com" userName="suramasamy@guidewire.com" userProvider="google-sheets"/>
      </Event>
    </History>
  </Task>
  <Task id="{09ccfe3f-e8d2-47d7-80b0-8b5c9d9df569}">
    <Anchor>
      <Comment id="{1a95edef-6f30-4ddb-b2e1-5d93c9d06588}"/>
    </Anchor>
    <History>
      <Event time="2026-07-20T08:57:44.00" id="{d3c887ae-408f-4fa4-be1f-773ab8d5e8ef}">
        <Attribution userId="placeholder@email.com" userName="Michal Zajac" userProvider="google-sheets"/>
        <Anchor>
          <Comment id="{2d4fb217-cc00-41d8-b3f6-768d0393f8c0}"/>
        </Anchor>
        <Create/>
      </Event>
      <Event time="2026-07-20T08:57:44.00" id="{eb36d14c-935f-4eb9-a530-facb76f27ef6}">
        <Attribution userId="placeholder@email.com" userName="Michal Zajac" userProvider="google-sheets"/>
        <Anchor>
          <Comment id="{2d4fb217-cc00-41d8-b3f6-768d0393f8c0}"/>
        </Anchor>
        <Assign userId="amkhanna@guidewire.com" userName="amkhanna@guidewire.com" userProvider="google-sheets"/>
      </Event>
    </History>
  </Task>
  <Task id="{1fbb8a8c-4052-4143-a496-63b4c0f94a12}">
    <Anchor>
      <Comment id="{8584ea0c-6c87-415d-84aa-e55cbbf67b95}"/>
    </Anchor>
    <History>
      <Event time="2026-07-17T14:13:48.00" id="{eb8b3ba4-feb4-45d8-9f85-58be915d0f32}">
        <Attribution userId="placeholder@email.com" userName="Jerome Guionnet" userProvider="google-sheets"/>
        <Anchor>
          <Comment id="{8584ea0c-6c87-415d-84aa-e55cbbf67b95}"/>
        </Anchor>
        <Create/>
      </Event>
      <Event time="2026-07-17T14:13:48.00" id="{7f907efc-290a-47b6-8199-fa68c403d0eb}">
        <Attribution userId="placeholder@email.com" userName="Jerome Guionnet" userProvider="google-sheets"/>
        <Anchor>
          <Comment id="{8584ea0c-6c87-415d-84aa-e55cbbf67b95}"/>
        </Anchor>
        <Assign userId="srajashekaran@guidewire.com" userName="srajashekaran@guidewire.com" userProvider="google-sheets"/>
      </Event>
    </History>
  </Task>
  <Task id="{98a6626c-6d0a-4c65-9f53-933d22cb7721}">
    <Anchor>
      <Comment id="{ffb3e0be-0ba9-4487-ad68-d221d8a5bf6c}"/>
    </Anchor>
    <History>
      <Event time="2026-07-20T08:58:19.00" id="{1d8898df-c38f-4884-9f68-fe96d49e6968}">
        <Attribution userId="placeholder@email.com" userName="Michal Zajac" userProvider="google-sheets"/>
        <Anchor>
          <Comment id="{1d90742c-f8b8-47f8-8be4-fb1b98cd0546}"/>
        </Anchor>
        <Create/>
      </Event>
      <Event time="2026-07-20T08:58:19.00" id="{a8f09822-0a87-4e9f-bfdd-239584c04366}">
        <Attribution userId="placeholder@email.com" userName="Michal Zajac" userProvider="google-sheets"/>
        <Anchor>
          <Comment id="{1d90742c-f8b8-47f8-8be4-fb1b98cd0546}"/>
        </Anchor>
        <Assign userId="pikumar@guidewire.com" userName="pikumar@guidewire.com" userProvider="google-sheets"/>
      </Event>
    </History>
  </Task>
  <Task id="{36e0d217-d6f4-478a-b04e-0042ee7440b3}">
    <Anchor>
      <Comment id="{b45088e1-3475-41fd-b2c9-c34453dfbb22}"/>
    </Anchor>
    <History>
      <Event time="2026-07-09T17:11:17.00" id="{35c5caf5-82bf-4e87-9592-4dea0eb033e8}">
        <Attribution userId="placeholder@email.com" userName="Michal Zajac" userProvider="google-sheets"/>
        <Anchor>
          <Comment id="{b45088e1-3475-41fd-b2c9-c34453dfbb22}"/>
        </Anchor>
        <Create/>
      </Event>
      <Event time="2026-07-09T17:11:17.00" id="{d367e564-b206-4794-83b5-97e7bde0495f}">
        <Attribution userId="placeholder@email.com" userName="Michal Zajac" userProvider="google-sheets"/>
        <Anchor>
          <Comment id="{b45088e1-3475-41fd-b2c9-c34453dfbb22}"/>
        </Anchor>
        <Assign userId="atomar@guidewire.com" userName="atomar@guidewire.com" userProvider="google-sheets"/>
      </Event>
    </History>
  </Task>
  <Task id="{e26d2755-f115-4627-9ef0-b7a57a702ba8}">
    <Anchor>
      <Comment id="{f946d7d0-6658-4529-869a-3e0d9091ac28}"/>
    </Anchor>
    <History>
      <Event time="2026-07-09T17:10:25.00" id="{6631d225-1c15-46d5-ba09-50cb1f0c5734}">
        <Attribution userId="placeholder@email.com" userName="Michal Zajac" userProvider="google-sheets"/>
        <Anchor>
          <Comment id="{f946d7d0-6658-4529-869a-3e0d9091ac28}"/>
        </Anchor>
        <Create/>
      </Event>
      <Event time="2026-07-09T17:10:25.00" id="{6d961c57-7fdb-4002-a3e6-2a18cf9c8e38}">
        <Attribution userId="placeholder@email.com" userName="Michal Zajac" userProvider="google-sheets"/>
        <Anchor>
          <Comment id="{f946d7d0-6658-4529-869a-3e0d9091ac28}"/>
        </Anchor>
        <Assign userId="atomar@guidewire.com" userName="atomar@guidewire.com" userProvider="google-sheets"/>
      </Event>
    </History>
  </Task>
  <Task id="{b5788367-2d88-4e16-bff5-c100df2036c9}">
    <Anchor>
      <Comment id="{c2f11987-cd2f-47f7-92b5-a76deb75f6e8}"/>
    </Anchor>
    <History>
      <Event time="2026-07-24T16:21:01.00" id="{47edcc50-f609-4aaa-b707-544e5619e3cb}">
        <Attribution userId="placeholder@email.com" userName="Chakravarthy Petluri" userProvider="google-sheets"/>
        <Anchor>
          <Comment id="{c2f11987-cd2f-47f7-92b5-a76deb75f6e8}"/>
        </Anchor>
        <Create/>
      </Event>
      <Event time="2026-07-24T16:21:01.00" id="{a6553efb-5e62-486a-987e-7623ea371e07}">
        <Attribution userId="placeholder@email.com" userName="Chakravarthy Petluri" userProvider="google-sheets"/>
        <Anchor>
          <Comment id="{c2f11987-cd2f-47f7-92b5-a76deb75f6e8}"/>
        </Anchor>
        <Assign userId="dhsharma@guidewire.com" userName="dhsharma@guidewire.com" userProvider="google-sheets"/>
      </Event>
    </History>
  </Task>
  <Task id="{e83322e3-b5a3-431e-9056-d6f801639b05}">
    <Anchor>
      <Comment id="{8c5fa8b8-a307-4db5-b21d-d869940cd381}"/>
    </Anchor>
    <History>
      <Event time="2026-07-09T16:47:03.00" id="{b445ed33-af8a-4e95-9a4e-ee81fa0da024}">
        <Attribution userId="placeholder@email.com" userName="Michal Zajac" userProvider="google-sheets"/>
        <Anchor>
          <Comment id="{8c5fa8b8-a307-4db5-b21d-d869940cd381}"/>
        </Anchor>
        <Create/>
      </Event>
      <Event time="2026-07-09T16:47:03.00" id="{b4ddb9e5-4dfd-4641-80d6-74b873490fac}">
        <Attribution userId="placeholder@email.com" userName="Michal Zajac" userProvider="google-sheets"/>
        <Anchor>
          <Comment id="{8c5fa8b8-a307-4db5-b21d-d869940cd381}"/>
        </Anchor>
        <Assign userId="gs@guidewire.com" userName="gs@guidewire.com" userProvider="google-sheets"/>
      </Event>
    </History>
  </Task>
  <Task id="{a7b22cb5-1b9b-4504-91df-5e8e3838c982}">
    <Anchor>
      <Comment id="{49c8f8b5-8a85-4d3d-8e82-7d7eef3dfd44}"/>
    </Anchor>
    <History>
      <Event time="2026-07-24T16:28:59.00" id="{1359f415-bf5e-4956-8dba-4f37fa58b7e0}">
        <Attribution userId="placeholder@email.com" userName="Chakravarthy Petluri" userProvider="google-sheets"/>
        <Anchor>
          <Comment id="{49c8f8b5-8a85-4d3d-8e82-7d7eef3dfd44}"/>
        </Anchor>
        <Create/>
      </Event>
      <Event time="2026-07-24T16:28:59.00" id="{c009ea89-969e-4dac-80a3-25f0a909ec89}">
        <Attribution userId="placeholder@email.com" userName="Chakravarthy Petluri" userProvider="google-sheets"/>
        <Anchor>
          <Comment id="{49c8f8b5-8a85-4d3d-8e82-7d7eef3dfd44}"/>
        </Anchor>
        <Assign userId="llinville@guidewire.com" userName="llinville@guidewire.com" userProvider="google-sheets"/>
      </Event>
    </History>
  </Task>
  <Task id="{24a39d08-3754-4513-8d98-e1f337751f50}">
    <Anchor>
      <Comment id="{5cac3f44-cdad-4238-b70a-bd310bcfd1c0}"/>
    </Anchor>
    <History>
      <Event time="2026-07-09T16:46:05.00" id="{40250edf-e535-4fde-9e7f-142e2cfceef6}">
        <Attribution userId="placeholder@email.com" userName="Michal Zajac" userProvider="google-sheets"/>
        <Anchor>
          <Comment id="{5cac3f44-cdad-4238-b70a-bd310bcfd1c0}"/>
        </Anchor>
        <Create/>
      </Event>
      <Event time="2026-07-09T16:46:05.00" id="{8eb8a38a-eda7-4664-82af-3b8f504af31f}">
        <Attribution userId="placeholder@email.com" userName="Michal Zajac" userProvider="google-sheets"/>
        <Anchor>
          <Comment id="{5cac3f44-cdad-4238-b70a-bd310bcfd1c0}"/>
        </Anchor>
        <Assign userId="gs@guidewire.com" userName="gs@guidewire.com" userProvider="google-sheets"/>
      </Event>
    </History>
  </Task>
  <Task id="{36a3cf81-4820-4d35-b47d-bdd9ba004e0b}">
    <Anchor>
      <Comment id="{6c97d8c2-b6ac-4648-8121-f58aad88f8f0}"/>
    </Anchor>
    <History>
      <Event time="2026-07-17T16:27:47.00" id="{15bbc2cf-fef2-4997-a8cb-a3d4a3a2b6ec}">
        <Attribution userId="placeholder@email.com" userName="Ashish Tomar" userProvider="google-sheets"/>
        <Anchor>
          <Comment id="{6c97d8c2-b6ac-4648-8121-f58aad88f8f0}"/>
        </Anchor>
        <Create/>
      </Event>
      <Event time="2026-07-17T16:27:47.00" id="{9ad5bc4b-da53-44aa-9c5a-b3eba9953db9}">
        <Attribution userId="placeholder@email.com" userName="Ashish Tomar" userProvider="google-sheets"/>
        <Anchor>
          <Comment id="{6c97d8c2-b6ac-4648-8121-f58aad88f8f0}"/>
        </Anchor>
        <Assign userId="suramasamy@guidewire.com" userName="suramasamy@guidewire.com" userProvider="google-sheets"/>
      </Event>
    </History>
  </Task>
  <Task id="{7e09d2c5-e81a-4184-9918-d6b9ec5588d1}">
    <Anchor>
      <Comment id="{24851f65-b50c-4642-b020-a8fdcd433935}"/>
    </Anchor>
    <History>
      <Event time="2026-07-14T13:42:50.00" id="{c5620ae2-ea10-4c66-8135-55eaf0ca4969}">
        <Attribution userId="placeholder@email.com" userName="Michal Zajac" userProvider="google-sheets"/>
        <Anchor>
          <Comment id="{7f14a840-c82a-4e2f-87d9-c6d48ffdb45b}"/>
        </Anchor>
        <Create/>
      </Event>
      <Event time="2026-07-14T13:42:50.00" id="{ae3cd26e-37a2-4a20-8d49-7b504103737a}">
        <Attribution userId="placeholder@email.com" userName="Michal Zajac" userProvider="google-sheets"/>
        <Anchor>
          <Comment id="{7f14a840-c82a-4e2f-87d9-c6d48ffdb45b}"/>
        </Anchor>
        <Assign userId="jdobson@guidewire.com" userName="jdobson@guidewire.com" userProvider="google-sheets"/>
      </Event>
    </History>
  </Task>
  <Task id="{b213575e-5bd2-4beb-9ff2-f932336399cf}">
    <Anchor>
      <Comment id="{9bab65fb-2112-4315-98c1-738ddc7bef59}"/>
    </Anchor>
    <History>
      <Event time="2026-07-09T16:35:01.00" id="{34623b73-640f-4cf7-b593-bf21e4c37460}">
        <Attribution userId="placeholder@email.com" userName="Michal Zajac" userProvider="google-sheets"/>
        <Anchor>
          <Comment id="{9bab65fb-2112-4315-98c1-738ddc7bef59}"/>
        </Anchor>
        <Create/>
      </Event>
      <Event time="2026-07-09T16:35:01.00" id="{d846d064-acb2-4aa8-8b72-77d331d49d22}">
        <Attribution userId="placeholder@email.com" userName="Michal Zajac" userProvider="google-sheets"/>
        <Anchor>
          <Comment id="{9bab65fb-2112-4315-98c1-738ddc7bef59}"/>
        </Anchor>
        <Assign userId="amkhanna@guidewire.com" userName="amkhanna@guidewire.com" userProvider="google-sheets"/>
      </Event>
    </History>
  </Task>
  <Task id="{9ec99af1-9680-4451-bf28-c78021d82dfd}">
    <Anchor>
      <Comment id="{bbf005cc-3403-4495-a422-b15018bf1f5f}"/>
    </Anchor>
    <History>
      <Event time="2026-07-14T13:41:58.00" id="{ba462971-f5a2-4f4a-a8b8-8180cf520fe2}">
        <Attribution userId="placeholder@email.com" userName="Michal Zajac" userProvider="google-sheets"/>
        <Anchor>
          <Comment id="{54a99076-2566-4ae0-9b2c-016ec088b82d}"/>
        </Anchor>
        <Create/>
      </Event>
      <Event time="2026-07-14T13:41:58.00" id="{899a249e-7e86-4656-a8c6-c0499b5b216b}">
        <Attribution userId="placeholder@email.com" userName="Michal Zajac" userProvider="google-sheets"/>
        <Anchor>
          <Comment id="{54a99076-2566-4ae0-9b2c-016ec088b82d}"/>
        </Anchor>
        <Assign userId="jdobson@guidewire.com" userName="jdobson@guidewire.com" userProvider="google-sheets"/>
      </Event>
    </History>
  </Task>
  <Task id="{05d9daac-d7bf-47a4-952f-7b9817a26c16}">
    <Anchor>
      <Comment id="{f28da837-91ad-431f-8ed8-30cc3d3e3a42}"/>
    </Anchor>
    <History>
      <Event time="2026-07-24T16:39:37.00" id="{74b2cfa3-a851-49dd-8f0f-0cb69a63e73d}">
        <Attribution userId="placeholder@email.com" userName="Chakravarthy Petluri" userProvider="google-sheets"/>
        <Anchor>
          <Comment id="{f28da837-91ad-431f-8ed8-30cc3d3e3a42}"/>
        </Anchor>
        <Create/>
      </Event>
      <Event time="2026-07-24T16:39:37.00" id="{f85494c4-7575-45f4-aa8e-7487f3958e6c}">
        <Attribution userId="placeholder@email.com" userName="Chakravarthy Petluri" userProvider="google-sheets"/>
        <Anchor>
          <Comment id="{f28da837-91ad-431f-8ed8-30cc3d3e3a42}"/>
        </Anchor>
        <Assign userId="apers@guidewire.com" userName="apers@guidewire.com" userProvider="google-sheets"/>
      </Event>
    </History>
  </Task>
  <Task id="{7bdae437-8932-4a91-a3ca-ee0b41032b79}">
    <Anchor>
      <Comment id="{630cbd6f-d969-425c-bf78-ebddd2cd65bf}"/>
    </Anchor>
    <History>
      <Event time="2026-07-09T16:28:44.00" id="{3da2194e-f136-471d-b766-dda0cd5c2020}">
        <Attribution userId="placeholder@email.com" userName="Michal Zajac" userProvider="google-sheets"/>
        <Anchor>
          <Comment id="{630cbd6f-d969-425c-bf78-ebddd2cd65bf}"/>
        </Anchor>
        <Create/>
      </Event>
      <Event time="2026-07-09T16:28:44.00" id="{960d09c3-b800-460e-aceb-28fe776d1d73}">
        <Attribution userId="placeholder@email.com" userName="Michal Zajac" userProvider="google-sheets"/>
        <Anchor>
          <Comment id="{630cbd6f-d969-425c-bf78-ebddd2cd65bf}"/>
        </Anchor>
        <Assign userId="gs@guidewire.com" userName="gs@guidewire.com" userProvider="google-sheets"/>
      </Event>
    </History>
  </Task>
  <Task id="{2cd4d432-1d63-47a8-bce7-7b33371e18a7}">
    <Anchor>
      <Comment id="{c3f913b7-e973-4359-8bc7-183d299bd022}"/>
    </Anchor>
    <History>
      <Event time="2026-07-09T16:51:44.00" id="{3d54754b-6830-4cd1-adb4-2e5788ff00dd}">
        <Attribution userId="placeholder@email.com" userName="Michal Zajac" userProvider="google-sheets"/>
        <Anchor>
          <Comment id="{c3f913b7-e973-4359-8bc7-183d299bd022}"/>
        </Anchor>
        <Create/>
      </Event>
      <Event time="2026-07-09T16:51:44.00" id="{aea96335-e03b-47d4-8ba2-e8121b80fbf1}">
        <Attribution userId="placeholder@email.com" userName="Michal Zajac" userProvider="google-sheets"/>
        <Anchor>
          <Comment id="{c3f913b7-e973-4359-8bc7-183d299bd022}"/>
        </Anchor>
        <Assign userId="kjayachandran@guidewire.com" userName="kjayachandran@guidewire.com" userProvider="google-sheets"/>
      </Event>
    </History>
  </Task>
  <Task id="{d6b85a37-d73b-4d8e-8663-c20d3bec4917}">
    <Anchor>
      <Comment id="{b7d4ccff-9950-45cb-9c5d-635af4f717fc}"/>
    </Anchor>
    <History>
      <Event time="2026-07-24T16:33:54.00" id="{a188db23-c645-4c1c-a856-c20ea757ee43}">
        <Attribution userId="placeholder@email.com" userName="Chakravarthy Petluri" userProvider="google-sheets"/>
        <Anchor>
          <Comment id="{b7d4ccff-9950-45cb-9c5d-635af4f717fc}"/>
        </Anchor>
        <Create/>
      </Event>
      <Event time="2026-07-24T16:33:54.00" id="{2f1ba3b2-5817-49d8-b9b1-a38f835607ce}">
        <Attribution userId="placeholder@email.com" userName="Chakravarthy Petluri" userProvider="google-sheets"/>
        <Anchor>
          <Comment id="{b7d4ccff-9950-45cb-9c5d-635af4f717fc}"/>
        </Anchor>
        <Assign userId="msmriti@guidewire.com" userName="msmriti@guidewire.com" userProvider="google-sheets"/>
      </Event>
    </History>
  </Task>
  <Task id="{6b3f50f1-f55a-48ff-938d-6d1aed377650}">
    <Anchor>
      <Comment id="{d194f3ad-eca1-47dc-88c4-43fa2cb9cd16}"/>
    </Anchor>
    <History>
      <Event time="2026-07-22T13:42:00.00" id="{77a4e427-df1a-4648-83ba-fc607eca0802}">
        <Attribution userId="placeholder@email.com" userName="Ashish Tomar" userProvider="google-sheets"/>
        <Anchor>
          <Comment id="{b487f809-3810-4146-9993-ae92cd5458d2}"/>
        </Anchor>
        <Create/>
      </Event>
      <Event time="2026-07-22T13:42:00.00" id="{1b72e11d-75b4-4bf2-a90e-cb69e746f07c}">
        <Attribution userId="placeholder@email.com" userName="Ashish Tomar" userProvider="google-sheets"/>
        <Anchor>
          <Comment id="{b487f809-3810-4146-9993-ae92cd5458d2}"/>
        </Anchor>
        <Assign userId="lmakowski@guidewire.com" userName="lmakowski@guidewire.com" userProvider="google-sheets"/>
      </Event>
    </History>
  </Task>
  <Task id="{87f24a3a-2465-4124-8e8d-68a20cc641f8}">
    <Anchor>
      <Comment id="{51230f0b-cff4-41f4-a860-01cecdf2f9b3}"/>
    </Anchor>
    <History>
      <Event time="2026-07-09T16:25:59.00" id="{6af4f30b-546d-479f-9b78-013b1a8aa90f}">
        <Attribution userId="placeholder@email.com" userName="Michal Zajac" userProvider="google-sheets"/>
        <Anchor>
          <Comment id="{51230f0b-cff4-41f4-a860-01cecdf2f9b3}"/>
        </Anchor>
        <Create/>
      </Event>
      <Event time="2026-07-09T16:25:59.00" id="{36a9ebb3-6f65-459b-87b2-69cb775e3951}">
        <Attribution userId="placeholder@email.com" userName="Michal Zajac" userProvider="google-sheets"/>
        <Anchor>
          <Comment id="{51230f0b-cff4-41f4-a860-01cecdf2f9b3}"/>
        </Anchor>
        <Assign userId="gs@guidewire.com" userName="gs@guidewire.com" userProvider="google-sheets"/>
      </Event>
    </History>
  </Task>
  <Task id="{4ab4b3f2-66d2-4b30-ab89-943115fc6366}">
    <Anchor>
      <Comment id="{607afb98-a8e6-4005-9440-602cdcfed8cb}"/>
    </Anchor>
    <History>
      <Event time="2026-07-17T14:04:54.00" id="{8b038a11-823f-4624-8a4b-1c76f0af5b99}">
        <Attribution userId="placeholder@email.com" userName="Jerome Guionnet" userProvider="google-sheets"/>
        <Anchor>
          <Comment id="{607afb98-a8e6-4005-9440-602cdcfed8cb}"/>
        </Anchor>
        <Create/>
      </Event>
      <Event time="2026-07-17T14:04:54.00" id="{29071f2d-2661-4c89-9a6a-62a928c379d8}">
        <Attribution userId="placeholder@email.com" userName="Jerome Guionnet" userProvider="google-sheets"/>
        <Anchor>
          <Comment id="{607afb98-a8e6-4005-9440-602cdcfed8cb}"/>
        </Anchor>
        <Assign userId="srajashekaran@guidewire.com" userName="srajashekaran@guidewire.com" userProvider="google-sheets"/>
      </Event>
    </History>
  </Task>
  <Task id="{ce6cc9af-85e9-42ba-a3ff-2288cb334ec3}">
    <Anchor>
      <Comment id="{df072ebb-1976-457d-ab0d-9fa102d744ee}"/>
    </Anchor>
    <History>
      <Event time="2026-07-09T16:50:59.00" id="{b7082dc3-f4ce-4a3c-992b-4d3c4bbbac9e}">
        <Attribution userId="placeholder@email.com" userName="Michal Zajac" userProvider="google-sheets"/>
        <Anchor>
          <Comment id="{df072ebb-1976-457d-ab0d-9fa102d744ee}"/>
        </Anchor>
        <Create/>
      </Event>
      <Event time="2026-07-09T16:50:59.00" id="{310eb30f-5057-4f05-8ac5-d425ab8d9ed9}">
        <Attribution userId="placeholder@email.com" userName="Michal Zajac" userProvider="google-sheets"/>
        <Anchor>
          <Comment id="{df072ebb-1976-457d-ab0d-9fa102d744ee}"/>
        </Anchor>
        <Assign userId="kjayachandran@guidewire.com" userName="kjayachandran@guidewire.com" userProvider="google-sheets"/>
      </Event>
    </History>
  </Task>
  <Task id="{02f95bff-2e23-4f1e-909e-f0f764584114}">
    <Anchor>
      <Comment id="{096f6ed9-c09e-4290-a7f7-99499de4f232}"/>
    </Anchor>
    <History>
      <Event time="2026-07-09T17:04:50.00" id="{da81445b-d828-48d0-bf5d-a45f2d5d7a31}">
        <Attribution userId="placeholder@email.com" userName="Michal Zajac" userProvider="google-sheets"/>
        <Anchor>
          <Comment id="{096f6ed9-c09e-4290-a7f7-99499de4f232}"/>
        </Anchor>
        <Create/>
      </Event>
      <Event time="2026-07-09T17:04:50.00" id="{1bf113db-8317-42c8-a9a8-97e092ef9b63}">
        <Attribution userId="placeholder@email.com" userName="Michal Zajac" userProvider="google-sheets"/>
        <Anchor>
          <Comment id="{096f6ed9-c09e-4290-a7f7-99499de4f232}"/>
        </Anchor>
        <Assign userId="kjayachandran@guidewire.com" userName="kjayachandran@guidewire.com" userProvider="google-sheets"/>
      </Event>
    </History>
  </Task>
  <Task id="{a2232122-f492-48c3-b01d-262b3757456e}">
    <Anchor>
      <Comment id="{6b9cd006-be98-4754-8930-e8ce6557e83f}"/>
    </Anchor>
    <History>
      <Event time="2026-07-24T16:38:50.00" id="{40e5128d-4542-427c-93e8-60f676a350e5}">
        <Attribution userId="placeholder@email.com" userName="Chakravarthy Petluri" userProvider="google-sheets"/>
        <Anchor>
          <Comment id="{6b9cd006-be98-4754-8930-e8ce6557e83f}"/>
        </Anchor>
        <Create/>
      </Event>
      <Event time="2026-07-24T16:38:50.00" id="{f53ecb5e-9d99-4346-bb9c-c99edc5e1081}">
        <Attribution userId="placeholder@email.com" userName="Chakravarthy Petluri" userProvider="google-sheets"/>
        <Anchor>
          <Comment id="{6b9cd006-be98-4754-8930-e8ce6557e83f}"/>
        </Anchor>
        <Assign userId="apers@guidewire.com" userName="apers@guidewire.com" userProvider="google-sheets"/>
      </Event>
    </History>
  </Task>
  <Task id="{c49196bb-e3ba-44b8-aaf5-4ee53f200b5a}">
    <Anchor>
      <Comment id="{468e2cfb-820f-4b7c-9295-fde636c08b57}"/>
    </Anchor>
    <History>
      <Event time="2026-07-17T16:31:20.00" id="{4718f88d-ed5c-42db-8658-ae63d7a477e3}">
        <Attribution userId="placeholder@email.com" userName="Ashish Tomar" userProvider="google-sheets"/>
        <Anchor>
          <Comment id="{468e2cfb-820f-4b7c-9295-fde636c08b57}"/>
        </Anchor>
        <Create/>
      </Event>
      <Event time="2026-07-17T16:31:20.00" id="{98625ed4-5919-4aad-bbe9-442c06682d03}">
        <Attribution userId="placeholder@email.com" userName="Ashish Tomar" userProvider="google-sheets"/>
        <Anchor>
          <Comment id="{468e2cfb-820f-4b7c-9295-fde636c08b57}"/>
        </Anchor>
        <Assign userId="mkasprzyk@guidewire.com" userName="mkasprzyk@guidewire.com" userProvider="google-sheets"/>
      </Event>
    </History>
  </Task>
  <Task id="{c2bbf4f3-7382-42d5-9092-34c2022a5ba9}">
    <Anchor>
      <Comment id="{d23eb0f8-94ad-4239-a4f4-b8c78b611934}"/>
    </Anchor>
    <History>
      <Event time="2026-07-09T17:02:34.00" id="{8edda5fc-1d74-469a-bdf0-e8b8f7d8c05c}">
        <Attribution userId="placeholder@email.com" userName="Michal Zajac" userProvider="google-sheets"/>
        <Anchor>
          <Comment id="{d23eb0f8-94ad-4239-a4f4-b8c78b611934}"/>
        </Anchor>
        <Create/>
      </Event>
      <Event time="2026-07-09T17:02:34.00" id="{7023a4e0-566b-4b8a-ad0b-ca58d6dec1d9}">
        <Attribution userId="placeholder@email.com" userName="Michal Zajac" userProvider="google-sheets"/>
        <Anchor>
          <Comment id="{d23eb0f8-94ad-4239-a4f4-b8c78b611934}"/>
        </Anchor>
        <Assign userId="dhsharma@guidewire.com" userName="dhsharma@guidewire.com" userProvider="google-sheets"/>
      </Event>
    </History>
  </Task>
  <Task id="{1d29a865-6d3d-495d-96cb-047de7155222}">
    <Anchor>
      <Comment id="{764a6a07-4fc4-4cc3-9e6f-61d5cf7de5f0}"/>
    </Anchor>
    <History>
      <Event time="2026-07-24T16:37:18.00" id="{56a77efa-1d5e-4689-a225-7a7f5ed839e2}">
        <Attribution userId="placeholder@email.com" userName="Chakravarthy Petluri" userProvider="google-sheets"/>
        <Anchor>
          <Comment id="{764a6a07-4fc4-4cc3-9e6f-61d5cf7de5f0}"/>
        </Anchor>
        <Create/>
      </Event>
      <Event time="2026-07-24T16:37:18.00" id="{0c26bf3e-1ee0-436c-9924-0c7d35aec1e6}">
        <Attribution userId="placeholder@email.com" userName="Chakravarthy Petluri" userProvider="google-sheets"/>
        <Anchor>
          <Comment id="{764a6a07-4fc4-4cc3-9e6f-61d5cf7de5f0}"/>
        </Anchor>
        <Assign userId="amkhanna@guidewire.com" userName="amkhanna@guidewire.com" userProvider="google-sheets"/>
      </Event>
    </History>
  </Task>
  <Task id="{479eecc8-4db1-4416-9506-c3fe6d3b92d8}">
    <Anchor>
      <Comment id="{1973c981-018e-4cd5-9270-612ee7d87797}"/>
    </Anchor>
    <History>
      <Event time="2026-07-24T16:31:51.00" id="{8dd9f394-b2d7-4e87-b31a-9fa73ddbd766}">
        <Attribution userId="placeholder@email.com" userName="Chakravarthy Petluri" userProvider="google-sheets"/>
        <Anchor>
          <Comment id="{1973c981-018e-4cd5-9270-612ee7d87797}"/>
        </Anchor>
        <Create/>
      </Event>
      <Event time="2026-07-24T16:31:51.00" id="{91b2b220-8c32-4c51-8cce-500133acab52}">
        <Attribution userId="placeholder@email.com" userName="Chakravarthy Petluri" userProvider="google-sheets"/>
        <Anchor>
          <Comment id="{1973c981-018e-4cd5-9270-612ee7d87797}"/>
        </Anchor>
        <Assign userId="krosner@guidewire.com" userName="krosner@guidewire.com" userProvider="google-sheets"/>
      </Event>
    </History>
  </Task>
  <Task id="{189ba27f-58b1-4be4-bb9d-8a6b120ef625}">
    <Anchor>
      <Comment id="{f0f056f2-3bcc-44c6-9036-772606ca35f0}"/>
    </Anchor>
    <History>
      <Event time="2026-07-09T17:01:21.00" id="{f27d0d98-fa1c-499e-a091-341b5965a1c9}">
        <Attribution userId="placeholder@email.com" userName="Michal Zajac" userProvider="google-sheets"/>
        <Anchor>
          <Comment id="{f0f056f2-3bcc-44c6-9036-772606ca35f0}"/>
        </Anchor>
        <Create/>
      </Event>
      <Event time="2026-07-09T17:01:21.00" id="{7c2a752d-c6c2-426d-9816-1a3b3487f5ad}">
        <Attribution userId="placeholder@email.com" userName="Michal Zajac" userProvider="google-sheets"/>
        <Anchor>
          <Comment id="{f0f056f2-3bcc-44c6-9036-772606ca35f0}"/>
        </Anchor>
        <Assign userId="dhsharma@guidewire.com" userName="dhsharma@guidewire.com" userProvider="google-sheets"/>
      </Event>
    </History>
  </Task>
  <Task id="{544773c2-6e07-4e7e-9a0b-65f2393bea23}">
    <Anchor>
      <Comment id="{509f6549-ebb3-41cb-ac50-bf16cbb895d4}"/>
    </Anchor>
    <History>
      <Event time="2026-07-07T17:08:11.00" id="{61d81310-a59c-4281-8567-6cdeb87bac86}">
        <Attribution userId="placeholder@email.com" userName="Anoop Gopalakrishnan" userProvider="google-sheets"/>
        <Anchor>
          <Comment id="{509f6549-ebb3-41cb-ac50-bf16cbb895d4}"/>
        </Anchor>
        <Create/>
      </Event>
      <Event time="2026-07-07T17:08:11.00" id="{57ccb8e4-7a84-4a8f-b11f-183b820d5666}">
        <Attribution userId="placeholder@email.com" userName="Anoop Gopalakrishnan" userProvider="google-sheets"/>
        <Anchor>
          <Comment id="{509f6549-ebb3-41cb-ac50-bf16cbb895d4}"/>
        </Anchor>
        <Assign userId="amkhanna@guidewire.com" userName="amkhanna@guidewire.com" userProvider="google-sheets"/>
      </Event>
    </History>
  </Task>
  <Task id="{16adce04-51d6-4fe9-bd80-942c2c536353}">
    <Anchor>
      <Comment id="{4f57e44f-35e4-4f7e-878b-074de31e6fda}"/>
    </Anchor>
    <History>
      <Event time="2026-07-14T13:46:18.00" id="{bab9a8b5-7a52-46bb-801d-bc9d9c5b026d}">
        <Attribution userId="placeholder@email.com" userName="Michal Zajac" userProvider="google-sheets"/>
        <Anchor>
          <Comment id="{4f57e44f-35e4-4f7e-878b-074de31e6fda}"/>
        </Anchor>
        <Create/>
      </Event>
      <Event time="2026-07-14T13:46:18.00" id="{5e148d5c-43f7-4237-8429-853c703b10a3}">
        <Attribution userId="placeholder@email.com" userName="Michal Zajac" userProvider="google-sheets"/>
        <Anchor>
          <Comment id="{4f57e44f-35e4-4f7e-878b-074de31e6fda}"/>
        </Anchor>
        <Assign userId="mkasprzyk@guidewire.com" userName="mkasprzyk@guidewire.com" userProvider="google-sheets"/>
      </Event>
    </History>
  </Task>
  <Task id="{ad7f88ec-defe-4d98-9363-a93bedf0fa32}">
    <Anchor>
      <Comment id="{42802fef-c0b2-4f6e-b845-c51082914658}"/>
    </Anchor>
    <History>
      <Event time="2026-07-09T17:08:46.00" id="{ae35252f-092f-429d-9967-7d0fac2e4908}">
        <Attribution userId="placeholder@email.com" userName="Michal Zajac" userProvider="google-sheets"/>
        <Anchor>
          <Comment id="{42802fef-c0b2-4f6e-b845-c51082914658}"/>
        </Anchor>
        <Create/>
      </Event>
      <Event time="2026-07-09T17:08:46.00" id="{2fb754c3-8d22-48f2-94ee-11960b2cd9db}">
        <Attribution userId="placeholder@email.com" userName="Michal Zajac" userProvider="google-sheets"/>
        <Anchor>
          <Comment id="{42802fef-c0b2-4f6e-b845-c51082914658}"/>
        </Anchor>
        <Assign userId="dhsharma@guidewire.com" userName="dhsharma@guidewire.com" userProvider="google-sheets"/>
      </Event>
    </History>
  </Task>
  <Task id="{4ca092dd-a3ba-45c9-a7e4-748de680e15d}">
    <Anchor>
      <Comment id="{c1907e11-56b7-4548-a6f1-34e53c128a74}"/>
    </Anchor>
    <History>
      <Event time="2026-07-09T17:05:44.00" id="{9fcceb17-077a-405e-9099-ef77c2f9d0a0}">
        <Attribution userId="placeholder@email.com" userName="Michal Zajac" userProvider="google-sheets"/>
        <Anchor>
          <Comment id="{c1907e11-56b7-4548-a6f1-34e53c128a74}"/>
        </Anchor>
        <Create/>
      </Event>
      <Event time="2026-07-09T17:05:44.00" id="{7f7e3b4f-8c90-4dbe-879a-dcca6fbbd831}">
        <Attribution userId="placeholder@email.com" userName="Michal Zajac" userProvider="google-sheets"/>
        <Anchor>
          <Comment id="{c1907e11-56b7-4548-a6f1-34e53c128a74}"/>
        </Anchor>
        <Assign userId="kjayachandran@guidewire.com" userName="kjayachandran@guidewire.com" userProvider="google-sheets"/>
      </Event>
    </History>
  </Task>
  <Task id="{9e240d70-56c2-4a88-90e7-4fb73966d7d9}">
    <Anchor>
      <Comment id="{6218e846-345b-4d1f-a389-86b82d3fa5bc}"/>
    </Anchor>
    <History>
      <Event time="2026-07-07T17:08:04.00" id="{2ba9d152-b419-414d-84b1-af44434b5233}">
        <Attribution userId="placeholder@email.com" userName="Anoop Gopalakrishnan" userProvider="google-sheets"/>
        <Anchor>
          <Comment id="{6218e846-345b-4d1f-a389-86b82d3fa5bc}"/>
        </Anchor>
        <Create/>
      </Event>
      <Event time="2026-07-07T17:08:04.00" id="{2b6d6b0c-6154-4b1f-a2e7-2778c0f613a1}">
        <Attribution userId="placeholder@email.com" userName="Anoop Gopalakrishnan" userProvider="google-sheets"/>
        <Anchor>
          <Comment id="{6218e846-345b-4d1f-a389-86b82d3fa5bc}"/>
        </Anchor>
        <Assign userId="amkhanna@guidewire.com" userName="amkhanna@guidewire.com" userProvider="google-sheets"/>
      </Event>
    </History>
  </Task>
  <Task id="{9f291641-16dc-4565-88ba-ed60817d0464}">
    <Anchor>
      <Comment id="{9b406bfa-13d6-46db-8246-86459b1cfce8}"/>
    </Anchor>
    <History>
      <Event time="2026-07-07T17:01:50.00" id="{4b59a653-dd8e-454c-948d-c406715a0718}">
        <Attribution userId="placeholder@email.com" userName="Anoop Gopalakrishnan" userProvider="google-sheets"/>
        <Anchor>
          <Comment id="{9b406bfa-13d6-46db-8246-86459b1cfce8}"/>
        </Anchor>
        <Create/>
      </Event>
      <Event time="2026-07-07T17:01:50.00" id="{7e30669b-7f18-48cb-a2e0-81b3d7700b39}">
        <Attribution userId="placeholder@email.com" userName="Anoop Gopalakrishnan" userProvider="google-sheets"/>
        <Anchor>
          <Comment id="{9b406bfa-13d6-46db-8246-86459b1cfce8}"/>
        </Anchor>
        <Assign userId="mzajac@guidewire.com" userName="mzajac@guidewire.com" userProvider="google-sheets"/>
      </Event>
    </History>
  </Task>
  <Task id="{a3413b21-d50b-49d1-a5c5-3f169a786f72}">
    <Anchor>
      <Comment id="{1efe5b4c-bcc2-41ba-a988-4c4878b666b5}"/>
    </Anchor>
    <History>
      <Event time="2026-07-03T17:44:35.00" id="{db5d41de-1eac-476b-bf9d-cb957d20e712}">
        <Attribution userId="placeholder@email.com" userName="James Dobson" userProvider="google-sheets"/>
        <Anchor>
          <Comment id="{1efe5b4c-bcc2-41ba-a988-4c4878b666b5}"/>
        </Anchor>
        <Create/>
      </Event>
      <Event time="2026-07-03T17:44:35.00" id="{34572b8e-214e-4047-8385-27283535bf58}">
        <Attribution userId="placeholder@email.com" userName="James Dobson" userProvider="google-sheets"/>
        <Anchor>
          <Comment id="{1efe5b4c-bcc2-41ba-a988-4c4878b666b5}"/>
        </Anchor>
        <Assign userId="bsekar@guidewire.com" userName="bsekar@guidewire.com" userProvider="google-sheets"/>
      </Event>
    </History>
  </Task>
  <Task id="{e8e53949-b172-457d-ba7f-646dd8851b07}">
    <Anchor>
      <Comment id="{d33a66a8-333a-4ab4-8646-3d4332643f0a}"/>
    </Anchor>
    <History>
      <Event time="2026-07-07T17:02:17.00" id="{1a2c55be-84c9-4e05-b94d-ded6056e0c93}">
        <Attribution userId="placeholder@email.com" userName="Anoop Gopalakrishnan" userProvider="google-sheets"/>
        <Anchor>
          <Comment id="{d33a66a8-333a-4ab4-8646-3d4332643f0a}"/>
        </Anchor>
        <Create/>
      </Event>
      <Event time="2026-07-07T17:02:17.00" id="{9a42d8e3-55ef-48c2-bd2c-778f4eb2396d}">
        <Attribution userId="placeholder@email.com" userName="Anoop Gopalakrishnan" userProvider="google-sheets"/>
        <Anchor>
          <Comment id="{d33a66a8-333a-4ab4-8646-3d4332643f0a}"/>
        </Anchor>
        <Assign userId="lmakowski@guidewire.com" userName="lmakowski@guidewire.com" userProvider="google-sheets"/>
      </Event>
    </History>
  </Task>
  <Task id="{2183a997-11b2-407d-a9a4-cfe242509131}">
    <Anchor>
      <Comment id="{c12cbe8a-4830-411d-bf4f-f420f7e8272a}"/>
    </Anchor>
    <History>
      <Event time="2026-07-17T16:43:35.00" id="{0feb01b5-fdad-4760-a3bd-45bf9d794d1e}">
        <Attribution userId="placeholder@email.com" userName="Ashish Tomar" userProvider="google-sheets"/>
        <Anchor>
          <Comment id="{c12cbe8a-4830-411d-bf4f-f420f7e8272a}"/>
        </Anchor>
        <Create/>
      </Event>
      <Event time="2026-07-17T16:43:35.00" id="{666c3a02-bd18-41ce-a177-ad673497ce16}">
        <Attribution userId="placeholder@email.com" userName="Ashish Tomar" userProvider="google-sheets"/>
        <Anchor>
          <Comment id="{c12cbe8a-4830-411d-bf4f-f420f7e8272a}"/>
        </Anchor>
        <Assign userId="bsekar@guidewire.com" userName="bsekar@guidewire.com" userProvider="google-sheets"/>
      </Event>
    </History>
  </Task>
  <Task id="{dacbf151-fb28-4306-a1c7-015a4a275cbe}">
    <Anchor>
      <Comment id="{597431a9-4032-462c-9e69-8c2584aa041d}"/>
    </Anchor>
    <History>
      <Event time="2026-07-03T17:44:07.00" id="{a5f6104e-6f86-4e9c-95d4-6bce2abd00cf}">
        <Attribution userId="placeholder@email.com" userName="James Dobson" userProvider="google-sheets"/>
        <Anchor>
          <Comment id="{597431a9-4032-462c-9e69-8c2584aa041d}"/>
        </Anchor>
        <Create/>
      </Event>
      <Event time="2026-07-03T17:44:07.00" id="{5c91bedc-2ad6-4779-b9b9-50390e92b6e8}">
        <Attribution userId="placeholder@email.com" userName="James Dobson" userProvider="google-sheets"/>
        <Anchor>
          <Comment id="{597431a9-4032-462c-9e69-8c2584aa041d}"/>
        </Anchor>
        <Assign userId="rasubramanian@guidewire.com" userName="rasubramanian@guidewire.com" userProvider="google-sheets"/>
      </Event>
    </History>
  </Task>
  <Task id="{20ce9425-00c7-4874-819d-cc6349e600df}">
    <Anchor>
      <Comment id="{bdaf521c-26cc-4777-8fb8-b55c29c3629f}"/>
    </Anchor>
    <History>
      <Event time="2026-07-07T17:00:40.00" id="{87d3c88c-a528-4aaa-bd0e-da3173b3d852}">
        <Attribution userId="placeholder@email.com" userName="Anoop Gopalakrishnan" userProvider="google-sheets"/>
        <Anchor>
          <Comment id="{bdaf521c-26cc-4777-8fb8-b55c29c3629f}"/>
        </Anchor>
        <Create/>
      </Event>
      <Event time="2026-07-07T17:00:40.00" id="{5fcbdfcd-c261-42e1-8174-874930202073}">
        <Attribution userId="placeholder@email.com" userName="Anoop Gopalakrishnan" userProvider="google-sheets"/>
        <Anchor>
          <Comment id="{bdaf521c-26cc-4777-8fb8-b55c29c3629f}"/>
        </Anchor>
        <Assign userId="amkhanna@guidewire.com" userName="amkhanna@guidewire.com" userProvider="google-sheets"/>
      </Event>
    </History>
  </Task>
</Tasks>
</file>

<file path=xl/documenttasks/documenttask3.xml><?xml version="1.0" encoding="utf-8"?>
<Tasks xmlns="http://schemas.microsoft.com/office/tasks/2019/documenttasks">
  <Task id="{bf1fcc64-c66a-40c5-a26f-605abbd9cf7e}">
    <Anchor>
      <Comment id="{a9ee83fa-8f38-4c17-a8ec-9d8ee4b36a60}"/>
    </Anchor>
    <History>
      <Event time="2026-08-25T22:21:16.00" id="{050da8ee-650b-49d8-a6cb-1bf9ce464808}">
        <Attribution userId="placeholder@email.com" userName="Umang Jain" userProvider="google-sheets"/>
        <Anchor>
          <Comment id="{a9ee83fa-8f38-4c17-a8ec-9d8ee4b36a60}"/>
        </Anchor>
        <Create/>
      </Event>
      <Event time="2026-08-25T22:21:16.00" id="{0fd7c405-b816-4cfc-b498-2733d8e43dba}">
        <Attribution userId="placeholder@email.com" userName="Umang Jain" userProvider="google-sheets"/>
        <Anchor>
          <Comment id="{a9ee83fa-8f38-4c17-a8ec-9d8ee4b36a60}"/>
        </Anchor>
        <Assign userId="asridhar@guidewire.com" userName="asridhar@guidewire.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rry Linville" id="{9f5fb3f6-8305-48d1-8390-5bafcffd324a}" providerId="google-sheets"/>
  <x18tc:person displayName="Amrit Khanna" id="{21736235-477c-461c-84dc-a8b9be3bd74c}" providerId="google-sheets"/>
  <x18tc:person displayName="mzajac@guidewire.com" id="{7290d324-2e37-4c44-bab7-310330e7fcf9}" userId="mzajac@guidewire.com" providerId="google-sheets"/>
  <x18tc:person displayName="gs@guidewire.com" id="{266944f1-17de-482c-a280-997a68ef1dcb}" userId="gs@guidewire.com" providerId="google-sheets"/>
  <x18tc:person displayName="sapatil@guidewire.com" id="{f311167c-0f82-4f20-b48a-86240309ee08}" userId="sapatil@guidewire.com" providerId="google-sheets"/>
  <x18tc:person displayName="Dima Kravchenko" id="{8e157234-d69b-418e-841c-69e28314c5d0}" providerId="google-sheets"/>
  <x18tc:person displayName="asridhar@guidewire.com" id="{9d4ed8d9-7fd6-4b80-a95a-846581247432}" userId="asridhar@guidewire.com" providerId="google-sheets"/>
  <x18tc:person displayName="James Dobson" id="{5ec39123-4a15-47f2-87a8-13dfe758f6e2}" providerId="google-sheets"/>
  <x18tc:person displayName="beloysu@guidewire.com" id="{a45287d0-34ee-46a6-82c5-f28ad1d6136f}" userId="beloysu@guidewire.com" providerId="google-sheets"/>
  <x18tc:person displayName="dhrsharma@guidewire.com" id="{aa9777e6-fef9-497d-b0ae-bf9e52851404}" userId="dhrsharma@guidewire.com" providerId="google-sheets"/>
  <x18tc:person displayName="Gaurav Jaswal" id="{4b9461a6-2cd7-419c-9e4f-545a60a17bc5}" providerId="google-sheets"/>
  <x18tc:person displayName="agopalakrishnan@guidewire.com" id="{55349863-6a08-451e-90d8-f6ad025db8f5}" userId="agopalakrishnan@guidewire.com" providerId="google-sheets"/>
  <x18tc:person displayName="Muralicharan Gurumoorthy" id="{53eacbaa-b284-476d-89c0-8a0d10ce7b50}" providerId="google-sheets"/>
  <x18tc:person displayName="apers@guidewire.com" id="{9e53b3d0-d239-47a2-ba08-3df186c9f734}" userId="apers@guidewire.com" providerId="google-sheets"/>
  <x18tc:person displayName="Ashish Tomar" id="{7fd15008-94ee-4f23-a195-6d4dedd4ea7e}" providerId="google-sheets"/>
  <x18tc:person displayName="ujain@guidewire.com" id="{879de53f-a744-4b67-987f-1006b3ceb550}" userId="ujain@guidewire.com" providerId="google-sheets"/>
  <x18tc:person displayName="Jerome Guionnet" id="{fdd9deb0-0752-4724-9af1-ea031bd01e48}" providerId="google-sheets"/>
  <x18tc:person displayName="Michael Russo" id="{b8c5c968-34dc-4851-bdeb-1b4e1462cb2b}" providerId="google-sheets"/>
  <x18tc:person displayName="llinville@guidewire.com" id="{b3198054-86d9-46da-8d87-3b38363ad7c6}" userId="llinville@guidewire.com" providerId="google-sheets"/>
  <x18tc:person displayName="Swathi Sandebiksham" id="{f13fb00e-f10a-435c-815a-4d45504c7acc}" providerId="google-sheets"/>
  <x18tc:person displayName="kmarcinkaczor@guidewire.com" id="{56150199-b956-4f44-a9ad-0bf050302bc9}" userId="kmarcinkaczor@guidewire.com" providerId="google-sheets"/>
  <x18tc:person displayName="Bharath Sekar" id="{589022af-f09c-4505-b48f-db8f7a94e760}" providerId="google-sheets"/>
  <x18tc:person displayName="Messiha Sherwin" id="{3a98b0a9-292e-4dc0-bf9d-144e28dbe050}" providerId="google-sheets"/>
  <x18tc:person displayName="gbouzeid@guidewire.com" id="{745d7f76-f965-499b-8df6-91dbc43b9fb3}" userId="gbouzeid@guidewire.com" providerId="google-sheets"/>
  <x18tc:person displayName="Krishnendu Jayachandran" id="{a301db1b-8307-4a75-8c75-f5b9345401fb}" providerId="google-sheets"/>
  <x18tc:person displayName="mdykes@guidewire.com" id="{5156ce53-8531-4acb-8049-5e6065240f6c}" userId="mdykes@guidewire.com" providerId="google-sheets"/>
  <x18tc:person displayName="amkhanna@guidewire.com" id="{0a8aed59-9de1-4881-b9af-625628e8f795}" userId="amkhanna@guidewire.com" providerId="google-sheets"/>
  <x18tc:person displayName="Gilbert Bouzeid" id="{54eae484-93a2-444b-bad4-b9c1b9b87098}" providerId="google-sheets"/>
  <x18tc:person displayName="atomar@guidewire.com" id="{b1e856c7-db14-4a0e-b4a6-b642dfdfb6ed}" userId="atomar@guidewire.com" providerId="google-sheets"/>
  <x18tc:person displayName="Sreejith Rajashekaran" id="{bd50c6ca-3225-4178-9115-62cd4eafdb60}" providerId="google-sheets"/>
  <x18tc:person displayName="Ben Eloy" id="{c9dd6b42-40f6-4055-84f6-44364668c572}" providerId="google-sheets"/>
  <x18tc:person displayName="pikumar@guidewire.com" id="{46d15241-4c81-4146-94fb-3a2dc3e5cc58}" userId="pikumar@guidewire.com" providerId="google-sheets"/>
  <x18tc:person displayName="lmakowski@guidewire.com" id="{40b025f4-2e12-4c24-b8c7-59ba67cfd388}" userId="lmakowski@guidewire.com" providerId="google-sheets"/>
  <x18tc:person displayName="pflasinski@guidewire.com" id="{cd223930-9fa8-4745-bd4a-709a216e143a}" userId="pflasinski@guidewire.com" providerId="google-sheets"/>
  <x18tc:person displayName="ssandebiksham@guidewire.com" id="{82a8f867-3c05-49c1-986a-2b1d429f7733}" userId="ssandebiksham@guidewire.com" providerId="google-sheets"/>
  <x18tc:person displayName="vsura@guidewire.com" id="{658d383e-acf1-4b72-948a-362d3cf505a2}" userId="vsura@guidewire.com" providerId="google-sheets"/>
  <x18tc:person displayName="mkasprzyk@guidewire.com" id="{5e424c13-ecad-444a-bf13-ba0bafc0a458}" userId="mkasprzyk@guidewire.com" providerId="google-sheets"/>
  <x18tc:person displayName="Anna Pers" id="{bc56bac3-b681-4b44-b2e3-7e5386a68645}" providerId="google-sheets"/>
  <x18tc:person displayName="dhsharma@guidewire.com" id="{8caf03f4-4a5e-4075-a37e-b0df4b86d6b2}" userId="dhsharma@guidewire.com" providerId="google-sheets"/>
  <x18tc:person displayName="Piotr Domider" id="{f6366c9e-cebb-4b9b-a866-08c7b4ba8334}" providerId="google-sheets"/>
  <x18tc:person displayName="suramasamy@guidewire.com" id="{703efb3d-5bb5-4040-a4ec-8bcba53659af}" userId="suramasamy@guidewire.com" providerId="google-sheets"/>
  <x18tc:person displayName="srajashekaran@guidewire.com" id="{9188f49e-8929-499c-8bc1-7ada386d3397}" userId="srajashekaran@guidewire.com" providerId="google-sheets"/>
  <x18tc:person displayName="Medha Smriti" id="{b55620b1-97e8-4c3f-9b2b-992c195732e8}" providerId="google-sheets"/>
  <x18tc:person displayName="Michael Dykes" id="{dc1210a4-b4c4-461b-89cb-8dc65cd353ac}" providerId="google-sheets"/>
  <x18tc:person displayName="lkota@guidewire.com" id="{38671922-a19d-4120-870a-84f4fb8c1c6e}" userId="lkota@guidewire.com" providerId="google-sheets"/>
  <x18tc:person displayName="Sai Praveen Malladi" id="{ae832a63-a301-45ea-93ea-93de8308c03a}" providerId="google-sheets"/>
  <x18tc:person displayName="fvarghese@guidewire.com" id="{7906c3cb-3c2e-48ca-8e54-67d5eed803d4}" userId="fvarghese@guidewire.com" providerId="google-sheets"/>
  <x18tc:person displayName="jguionnet@guidewire.com" id="{15899f7f-e862-4c2e-86b4-7ca98f25b9f4}" userId="jguionnet@guidewire.com" providerId="google-sheets"/>
  <x18tc:person displayName="msmriti@guidewire.com" id="{4fa32788-b19d-42ec-b2db-713f60a44711}" userId="msmriti@guidewire.com" providerId="google-sheets"/>
  <x18tc:person displayName="Srinivas Gunda" id="{3b7324a1-9d25-4e69-9ad3-2beb0ba3f18b}" providerId="google-sheets"/>
  <x18tc:person displayName="Michal Zajac" id="{204883d9-ce2c-4ba0-815c-503d69b6b19e}" providerId="google-sheets"/>
  <x18tc:person displayName="Chakravarthy Petluri" id="{e28f70c1-ef12-4c89-8349-6cb27991439b}" providerId="google-sheets"/>
  <x18tc:person displayName="pmandayambheeman@guidewire.com" id="{616ee950-1b34-4f9f-ab64-3e51cf3e373c}" userId="pmandayambheeman@guidewire.com" providerId="google-sheets"/>
  <x18tc:person displayName="ssandebiksham@guidewire.co" id="{da173be0-67e2-4405-bc96-f21e0c208906}" userId="ssandebiksham@guidewire.co" providerId="google-sheets"/>
  <x18tc:person displayName="Lina King" id="{d2c41af9-dcab-4077-9f50-4ed638d50c9f}" providerId="google-sheets"/>
  <x18tc:person displayName="Suresh Ramasamy" id="{e5d3dd1d-cf3f-4447-9596-54dc3fd5ef0c}" providerId="google-sheets"/>
  <x18tc:person displayName="Krzysztof Rosner" id="{426d6788-5168-43d2-98b3-974fdfba695a}" providerId="google-sheets"/>
  <x18tc:person displayName="beloy@guidewire.com" id="{2a75f47e-94ab-4e0f-88b5-7d5c15aedead}" userId="beloy@guidewire.com" providerId="google-sheets"/>
  <x18tc:person displayName="Dhruv Sharma" id="{61cac862-3159-478e-bfc8-f7bb69b5daa8}" providerId="google-sheets"/>
  <x18tc:person displayName="bmzyk@guidewire.com" id="{0386ae49-7b92-46fe-87c6-87b4383b5882}" userId="bmzyk@guidewire.com" providerId="google-sheets"/>
  <x18tc:person displayName="Gowtham S" id="{9b7c6d63-494a-4fe4-a4ff-6214c3fedfaa}" providerId="google-sheets"/>
  <x18tc:person displayName="Umang Jain" id="{fd59b3ae-1428-41b2-8457-2cfb0f5b7546}" providerId="google-sheets"/>
  <x18tc:person displayName="cpetluri@guidewire.com" id="{8406af2e-9a76-40b2-a7a0-2c6afa310f9d}" userId="cpetluri@guidewire.com" providerId="google-sheets"/>
  <x18tc:person displayName="Falgo Francis" id="{c6de0e33-195e-4738-ae51-ff8f5a192ad9}" providerId="google-sheets"/>
  <x18tc:person displayName="Ram Subramanian" id="{286bd2de-8ccd-4afa-8208-966c0aa309b9}" providerId="google-sheets"/>
  <x18tc:person displayName="gsolinski@guidewire.com" id="{4642e6ac-8553-4b76-99a1-9750c6af1edc}" userId="gsolinski@guidewire.com" providerId="google-sheets"/>
  <x18tc:person displayName="smalladi@guidewire.com" id="{afb4716a-a070-4d76-8d21-f9809f3d3492}" userId="smalladi@guidewire.com" providerId="google-sheets"/>
  <x18tc:person displayName="jcwik@guidewire.com" id="{4e15e0ef-7205-4b6b-9e13-3843d789db2a}" userId="jcwik@guidewire.com" providerId="google-sheets"/>
  <x18tc:person displayName="kjayachandran@guidewire.com" id="{0a13f472-83e1-4ed7-b5f7-f3e6fab0b303}" userId="kjayachandran@guidewire.com" providerId="google-sheets"/>
  <x18tc:person displayName="lowen@guidewire.com" id="{fa9f48d9-40b2-47a2-8290-f0ceb6420e38}" userId="lowen@guidewire.com" providerId="google-sheets"/>
  <x18tc:person displayName="mzawadzka@guidewire.com" id="{02efe0e5-fe76-4e6d-9da2-4e8a023aff8e}" userId="mzawadzka@guidewire.com" providerId="google-sheets"/>
  <x18tc:person displayName="Finsen Varghese" id="{c5185a3c-c389-4769-9801-bc01f799d56e}" providerId="google-sheets"/>
  <x18tc:person displayName="kwcislo@guidewire.com" id="{8ec8fb78-e716-416a-8d49-5396e860cdda}" userId="kwcislo@guidewire.com" providerId="google-sheets"/>
  <x18tc:person displayName="liking@guidewire.com" id="{6ce91589-522a-46d9-9a79-2b07f2182569}" userId="liking@guidewire.com" providerId="google-sheets"/>
  <x18tc:person displayName="bsekar@guidewire.com" id="{72d6c93c-3592-4ad8-bf9d-420c1e2be403}" userId="bsekar@guidewire.com" providerId="google-sheets"/>
  <x18tc:person displayName="Kamil Wcisło" id="{a54b1372-8648-4c98-a592-ef9a12c7eb12}" providerId="google-sheets"/>
  <x18tc:person displayName="Piotr Flasiński" id="{924f2a14-453f-443a-b46a-ffe32a106350}" providerId="google-sheets"/>
  <x18tc:person displayName="Anoop Gopalakrishnan" id="{7d6d157a-310c-4a7e-b624-fd05cd31f5f1}" providerId="google-sheets"/>
  <x18tc:person displayName="Łukasz Makowski" id="{682da16d-5c98-41f2-abe5-082371878093}" providerId="google-sheets"/>
  <x18tc:person displayName="Marta Zawadzka" id="{9a4dd64a-64e5-4cec-902d-a9c164a918af}" providerId="google-sheets"/>
  <x18tc:person displayName="dkravchenko@guidewire.com" id="{8f344497-f5c4-4332-b5e3-f7d4e8a53cb6}" userId="dkravchenko@guidewire.com" providerId="google-sheets"/>
  <x18tc:person displayName="ppaul@guidewire.com" id="{b9e5cf21-d7ea-4fe5-a729-64b89cb59d40}" userId="ppaul@guidewire.com" providerId="google-sheets"/>
  <x18tc:person displayName="mrusso@guidewire.com" id="{d2ee7563-ce62-4e76-b17d-fe5b98eaeea7}" userId="mrusso@guidewire.com" providerId="google-sheets"/>
  <x18tc:person displayName="jdobson@guidewire.com" id="{fb559fcf-211f-4073-84f5-555b4ff178df}" userId="jdobson@guidewire.com" providerId="google-sheets"/>
  <x18tc:person displayName="pdomider@guidewire.com" id="{9bf17f32-22f2-482c-9e47-de425774ad20}" userId="pdomider@guidewire.com" providerId="google-sheets"/>
  <x18tc:person displayName="rasubramanian@guidewire.com" id="{e24471b3-06fb-4838-ab9a-5a17bd74c488}" userId="rasubramanian@guidewire.com" providerId="google-sheets"/>
  <x18tc:person displayName="krosner@guidewire.com" id="{d88de86d-278d-4794-9436-96071479b281}" userId="krosner@guidewire.com" providerId="google-sheets"/>
  <x18tc:person displayName="Grzegorz Solinski" id="{4829e030-29ff-4d9e-9e93-390c2a54ea65}" providerId="google-sheets"/>
  <x18tc:person displayName="msherwin@guidewire.com" id="{24de4957-e6f2-42b2-a0c8-54c40f8be555}" userId="msherwin@guidewire.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1002" sheet="Proposals to consider "/>
  </cacheSource>
  <cacheFields>
    <cacheField name="Requestor / Evangelist" numFmtId="0">
      <sharedItems containsBlank="1">
        <s v="Piotr Domider"/>
        <s v="Gilbert Bouzeid"/>
        <s v="Krishnendu Jayachandran"/>
        <s v="Jerome Guionnet"/>
        <s v="Michael Dykes"/>
        <s v="Jeff Cooper"/>
        <s v="Gowtham S"/>
        <s v="Anna Pers"/>
        <s v="Kamil Wcisło"/>
        <s v="Ashish Tomar"/>
        <s v="Marta Zawadzka"/>
        <s v="Amrit Khanna"/>
        <s v="Dima Kravchenko"/>
        <s v="Michal Zajac"/>
        <s v="Dhruv Sharma"/>
        <s v="James Dobson"/>
        <s v="Łukasz Makowski"/>
        <s v="Gal Josefsberg"/>
        <s v="Glenda Andes"/>
        <s v="Diego Devalle"/>
        <s v="Medha Smriti"/>
        <s v="Chakravarthy Petluri"/>
        <s v="Ram Subramanian"/>
        <s v="Security"/>
        <s v="Quinton McCombs"/>
        <s v="Anoop Gopalakrishnan"/>
        <s v="GGS (Sheena) "/>
        <m/>
      </sharedItems>
    </cacheField>
    <cacheField name="Secondary Requestor " numFmtId="0">
      <sharedItems containsBlank="1">
        <s v="Piotr Flasiński"/>
        <m/>
        <s v="Security "/>
        <s v="Umang Jain"/>
        <s v="David Denton"/>
        <s v="Marta Zawadzka Piotr Flasiński Krzysztof Szczurek"/>
        <s v="Bharath Sekar Gilbert Bouzeid"/>
        <s v="Sreejith Rajashekaran"/>
        <s v="Piotr Flasiński Krzysztof Szczurek"/>
        <s v="Piotr Flasiński Krzysztof Szczurek Marta Zawadzka"/>
        <s v="Colum O'Reilly"/>
        <s v="Amrutha Srinivas Łukasz Makowski"/>
        <s v="Amrutha Srinivas Ram Subramanian"/>
        <s v="Amrutha Srinivas"/>
        <s v="  LM DR Program"/>
        <s v="Security"/>
        <s v="UC / Persistence / App Platform"/>
        <s v=" MSK Team / Architecture"/>
        <s v="DR Team / BC Team / Architecture"/>
        <s v="Helios / Architecture / Security Team"/>
        <s v="Larry Owen"/>
        <s v="Larry Owen Bharath Sekar Krzysztof Rosner"/>
        <s v="Michael Dykes"/>
        <s v="Ashish Tomar"/>
        <s v="Michael Russo"/>
        <s v="Satish Patil"/>
      </sharedItems>
    </cacheField>
    <cacheField name="What should we consider prioritizing ? Technical Initiative, Architectural Change, Customer requested Feature, Dependency from other Apps teams. " numFmtId="0">
      <sharedItems containsBlank="1">
        <s v="Aurora Cluster OAM Components&#10;Database Cluster self-service management (Cepheid)"/>
        <s v="Audit Events and Access logs in DD - CI/CD and other self-services&#10;&#10;&#10;Ability to raise audit events/ access logs into logs for system action of interest  (GB, PF redcue the scope to adjust what team discussed)"/>
        <s v="Snapshot Export Self-Service"/>
        <s v="Aurora 18 upgrade- Ensure the backups also work after the upgrade"/>
        <s v="Self-service initiatives to Reduce DB Case Load&#10;&#10;(Prioritize the ones that ABSOLUTLEY MUST DO this year)"/>
        <s v="API Gateway Log/Telemetry Streaming to customers/DD sub account"/>
        <s v="DORA metrics For DataDog/TC"/>
        <s v="OTEL Telemetry Streaming GA"/>
        <s v="Customer Gosu Code Security Scanning in GCH (Checkmarx Gosu Scanner) — Customer-requested Feature + Technical Initiative."/>
        <s v="Platform Scalability and Limits Management"/>
        <s v="Isolation: infra, Authn/Z/Security for AI Workload"/>
        <s v="KTLO and day 2 Automation"/>
        <s v="Onboard EMR (Predict)  to Atmos &#10;&#10;(100k costs per month running siloed infra) unblocks other things on their end. "/>
        <s v="Ability to support Immutable ID / Persistent ID. It could be a Tag or a value that stays persistent. "/>
        <s v="DB Monitoring with Query Performance with OTEL GA"/>
        <s v="Telemetry Architving / Streaming Telemetry to Customer S3 buckets"/>
        <s v="Ensuring Star tag is available / valid on all telemtry&#10;&#10;Could be covered with Tagging initiative "/>
        <s v="Karpenter"/>
        <s v="VAMOS EA &amp; GA"/>
        <s v="Migrate all Log Forwarding enablements to OTEL Log Streaming"/>
        <s v="Enable OTEL Instrumentation in GWCP&#10;&#10;&#10;Anoop to check with L3s and PDO VPMOM for FY 2027"/>
        <s v="Enforce constraints around tagging so that we can get better reliable values in our tags to make faster decisions&#10;- Help with cost attribution to L3s + Customers. (SedAi)&#10;- Reduce Toil in attributing container vulns in Shared AWS accounts byt allowing Sec"/>
        <s v="Enable Telemtry Filtering in GWCP Observability Pipeline for customers/GA"/>
        <s v="Sensitive Data Scanner GA&#10;&#10;perhapos we need to check with Diego if this is really needed to be GA"/>
        <s v="Platform stability and KubeVela/OAM Scalability"/>
        <s v="OAM Adoption and Integration with BYOA, Nova, Polaris"/>
        <s v="Cluster Infrastructure Abstraction"/>
        <s v="Upgrade-readiness automation and ATMOS EKS lifecycle assurance"/>
        <s v="Build Time Optimization - Upgrade EC2 machines to reduce build times in TC by 50%"/>
        <s v="AI in DevOps - code review assistant, CI/CD assistant"/>
        <s v="CI/CD Management Center"/>
        <s v="Canary Relases for InsuranceSuite"/>
        <s v="Bring-Your-Own Application (Asteroids) EA and GA"/>
        <s v="Improving Planet Lifecycle Experience — New Offerings &amp; Self-Service Enhancements"/>
        <s v="Guard Complete Roll out to all LHS Services "/>
        <s v="SCIM Based User Provisioning in IS &#10;&#10;Conditionally Approved: Only what is needed for Liberty Mutual. Everything else is optional. "/>
        <s v="Self Serve Idp Experience"/>
        <s v="CR-DR Nov 2026 in Prod"/>
        <s v="CR-DR Nov LM Demo - Universal URL for PL Ingress&#10;(Part of CRDR initiative)"/>
        <s v="CR-DR - NPE"/>
        <s v="CR-DR GA - SMS to Helio Migration Automation&#10;&#10;&#10;(Part of CRDR initiative)"/>
        <s v="CR-DR GA - IS Read Replica from the DR Region&#10;&#10;&#10;(Part of CRDR initiative)"/>
        <s v="CR-DR GA - IS Snapshot Export from the DR Region&#10;&#10;&#10;(Part of CRDR initiative)"/>
        <s v="Hub automated recovery&#10;&#10;(Part of CRDR initiative)"/>
        <s v="CR-DR Self-Serve Testing&#10;&#10;&#10;(Part of CRDR initiative)"/>
        <s v="Finish TMD"/>
        <s v="Resolve the LHS cluster buildout effort and painpoints"/>
        <s v="Dynamic creation of the clusters"/>
        <s v="Optimize CR-DR related cost for LHS Infrastructure"/>
        <s v="Sovereign Observability for our platform"/>
        <s v="An LLM or a native model - which has complete context of GWCP"/>
        <s v="AI Enabled Forecasting &amp; Governance for Platform Usage"/>
        <s v="Atlas as a System of Record for Stars&#10;&#10;(May get done via Immutable ID)"/>
        <s v="Fulfillment Service (Voyager dependecy inversion)&#10;&#10;Refer to the ask under Glenda. "/>
        <s v="Extract Cassini as a standalone service, federate with Polaris under a shared metadata"/>
        <s v="Keti DR Readiness for LM DR Support"/>
        <s v="Security Remediation for Cross-Tenant Access Control Hardening"/>
        <s v="Mithril App 2.0 AuthZ MVP - UC/Persistence"/>
        <s v="GADS Admin UI and APIs for App 2.0 AuthZ Operationalization"/>
        <s v="Keti Per-IZ Deployment and Event Locality"/>
        <s v="UAA Replacement MVP using Okta Realms"/>
        <s v="Okta Enhanced DR Validation and DR Org Readiness"/>
        <s v="Okta Multi-Org Tenant Isolation and Identity Architecture Modernization"/>
        <s v="Backend Services Identity and M2M Authorization using SPIFFE/SPIRE and Mithril"/>
        <s v="Keti AI Cross App Access and ID-JAG Support"/>
        <s v="Cloud Resource Limit Observability and Prediction&#10;&#10;Covered in Platform Scalability and Limits Management"/>
        <s v="BinRepo - Self-Serve Provisioning and Access Management"/>
        <s v="Certificate Service (Certificate Storage)"/>
        <s v="API Gateway Self Service (AGCS)"/>
        <s v="Provisioning Hartford, GEICO and Nationwide on US EAST 2,. "/>
        <s v="IP Allowlist on App level"/>
        <s v="Kubernetes Quotas"/>
        <s v="Accountable Resource Lifecycles, Productization"/>
        <s v="Ensure maintenance can be completed within 6 hous despite our growing customer base. "/>
        <s v="Entitlement Service "/>
        <s v=" &quot;I would like LHS and RHS merge and overall cluster reduction by 50% (reduction of the projected #of cluster end of Fy27)&quot;"/>
        <s v="Complete Atmos NG decomposition"/>
        <s v="Automated Release using Kargo leading Biweekly Release of Atmos NG "/>
        <s v="Autonomous Platform Intelligence (Predictive Release Engineering) "/>
        <s v="Unified Observability - Release Engineering Platform"/>
        <s v="K8s operator for Helios"/>
        <s v="Secrets rotation"/>
        <s v="SPIRE"/>
        <s v="BYOK"/>
        <s v="SSM to DynamoDB security improvements"/>
        <s v="Mithril adoption"/>
        <s v="DR support for MSK"/>
        <s v="MSK Express Brokers - adoption"/>
        <s v="MSK Star isolation"/>
        <s v="OAM component for topics and ACLs"/>
        <s v="Localstack adoption"/>
        <s v="AWS Resources – Tenant Isolation"/>
        <s v="Oort v2 APIs  "/>
        <s v="CRDR - PrivateLink"/>
        <s v="Resource Quotas for Networking Resources&#10;&#10;already covered - Duplicate "/>
        <s v="PrivateLink Self Service"/>
        <s v="Evaluate Kong alternatives"/>
        <s v="OIDC Feature Replacement"/>
        <s v="Security Initiative – Route53 to New DNS Provider"/>
        <s v="Cache as a Service – OAM"/>
        <s v="Postgres OAM – CNPG MVP"/>
        <s v="Postgres OAM – Cluster Management Service"/>
        <s v="DR – Global DB for Postgres OAM"/>
        <s v="BYOA Support for Database OAM components&#10;"/>
        <s v="Tenant Renaming&#10;&#10;(Covered as part of Immutable ID)"/>
        <s v="RFC-19 isolation zones&#10;&#10;&#10;&#10;Could be considered within CRDR initiative "/>
        <s v="Platform Perception Changers "/>
        <s v="French Customers asking and DORA which empowers customers to get out of Guidewire with their data. We may have to support it. &#10;Enable customers on vclusters. ??&#10;or just do this manually?"/>
        <s v="GHA Integration with Polaris"/>
        <s v="CR-DR for NPE"/>
        <s v="Single pane for tenant configuration &amp; limits - showing app versions, infra sizing, feature flags, integration endpoints, API rate limits, DB/read-replica details, API timeouts at each infra layer(Kong, pods etc., ) "/>
        <s v="A diagnostics tool in GCH at the planet level. Basically a button that, when clicked, runs several connectivity and usage checks against a pod/application/planet. Aha was open for it last year and it's got plenty of votes: https://erasethewaste.ideas.aha."/>
        <s v="Having a list all components used in GWCP platform and the timeouts (Response and Idle Connection) specified in each of those components, minimum allowed connections and maximum allowed connections etc. &#10;Currently this list is unavailable and while invest"/>
        <m/>
      </sharedItems>
    </cacheField>
    <cacheField name="Why (Contracts / Cost of Delay) - if there is any explicit contract OR $$$$ amounts associated with our ability to not deliver, please call this out. " numFmtId="0">
      <sharedItems containsBlank="1">
        <s v="https://docs.google.com/document/d/1sGAXnIbOqPrNpPqY1ObRSAGC5h0Z4x8_T1Bg1RjcvDk/edit?tab=t.0  "/>
        <s v="That's a functionality our platorms is missing for a long time. It comes up during almost every customer interaction / contract / requirements negotiations. Customers asking for this:&#10;- https://guidewire.aha.io/ideas/IPI-I-1233&#10;- https://guidewire.aha.io/"/>
        <s v="Currently Snapshot Export functionality is a backend only (no UI) process owned by Infrastructure team. Goal of this work is to transfer the ownership to the GWCP Tooling space and provide self-service layer integrated with PPP platform. This would reduce"/>
        <s v="https://guidewireconfluence.atlassian.net/wiki/spaces/ORANGE/pages/2890563810/Aurora+PostgreSQL+Upgrade+Plan+v15+v18"/>
        <s v="Aim is to reduce the workload for GGS (especially GGS DBAs) by providing the self-service capabilies that would reduce the amount of tickets/cases risen by the customers. Exact scope is based on GGS feedback (from Jim Sciarra, Raphael Pessoa and Leo Drobn"/>
        <s v="Critical Market &amp; Regulatory Demand: There is a high priority requirement from tier-one customers (including USAA, MACIF, AXA, and BPCE) to enable API Gateway and OTel Log Streaming to their own Datadog sub-accounts and external environments. This is a pr"/>
        <s v="&quot;https://guidewire.aha.io/ideas/ideas/IPI-I-1129  &#10;https://guidewire.slack.com/archives/C0B29SW2T96/p1777990615967379 "/>
        <s v="- With 14 customers already in the EA program, demand is active and high-intent rather than theoretical.&#10;- Customers in highly regulated markets (e.g., EU/DORA) require telemetry streaming to integrate logs and traces into their own stacks for audit and o"/>
        <s v="Direct Liberty Mutual ask — LM (and PZU) have active demand for in-pipeline security scanning of their custom code; No generic SAST tool covers Gosu.                                                                                                          "/>
        <s v="Plan for&#10;- Organic growth, ie more RHS Tenant&#10;   - Cluster as cattle and tenant migration&#10;- DR doubling the number of RHS tenant and LHS cluster&#10;- OAM based application delivery increase AWS API load, K8s Load&#10;- Business Functions challenging for example "/>
        <s v="Dhruv Sharma / Helios Team  (SPIFFE/SPIRE) / Architecture (See below) / Security Team (any tenant)&#10;&#10;Infra:&#10;- microVM/Kata sandbox + dedicated tainted node pools + default-deny egress for any model-code/tool-driven workload; &#10;- Asteroids/vCluster as the mi"/>
        <s v="Ignite team in FY 26 was critical to improve the situation but I am not sure they will be done by end of FY 26&#10;- operations as a product not a process&#10;  - Vector Continuous release&#10;  - ...&#10;- AI: AGS/gwcp (wiz) for GGS (need SRE prod cluster support)&#10;&#10;OAM "/>
        <s v="Refer to Slack thread &#10;&#10;Stakeholders: @Sourabh Govil @Subha Sathiam @Praveen Vukkadala @Charles Francis &#10;&#10;https://guidewireconfluence.atlassian.net/wiki/spaces/PA/pages/2967339010/Predict+-+Build+Atmos+Migration+Plan &#10;&#10;Zoom Recording &#10;"/>
        <s v="The resources should be tagged with immutable IDs or mapped (e.g. via a mapping table) to the immutable IDs. In the same way I can change the name of a Slack channel or the name of an AWS account alias or the name of an Account in Salesforce or the name o"/>
        <s v="LM and large customers needing it&#10;https://guidewireinternal.ideas.aha.io/ideas/IPI-I-933 "/>
        <s v="- Many customer want to access the archived logs for different Audit, Regulatory and Compliance reason and for a defined duration (i.e. 5, 7, 10, etc. years)"/>
        <s v="Based on original calculatation, and since billing for observability is driven from Solaris based on Star system, we are currently loosing about 50K a month to missing Star tag!"/>
        <s v="Currently, deploying and scaling workloads within GWCP environments is inefficient, leading to potential cost overruns due to over-provisioning and increased provisioning latency. The use of traditional Auto-Scaling Groups limits the ability to dynamicall"/>
        <s v="Vamos is currently highly requested feature by our customers - we have around 10 customers on EA wishlist, with even more of them expressing interest in the product.&#10;&#10;At same time Vamos 2.0 brings design changes that seems to be not aligned with some of r"/>
        <s v="https://guidewirejira.atlassian.net/browse/GWCP-71718  "/>
        <s v="https://guidewireconfluence.atlassian.net/wiki/spaces/ORANGE/pages/2392523671/The+Future+of+GWCP+Platform &#10;&#10;1. Vendor Independence: Datadog should shift to a primarily visualization-layer role to reduce lock-in, with OTEL handling the API and distribution"/>
        <s v="https://guidewire.aha.io/ideas/IPI-I-732"/>
        <s v="i.e. https://guidewireinternal.ideas.aha.io/ideas/IPI-I-915 "/>
        <s v="Datadog Sensitive Data Scanner GA &#10;https://guidewire.aha.io/features/LNM-201 "/>
        <s v="Multi-controller strategy for ATMOS KubeVela OAM &#10;&#10; Why this investment matters&#10;&#10;  Crossplane reconciliation under KubeVela OAM is now the scaling ceiling for our entire OAM delivery path. Continuous reconcile loops drive EKS API-server load, etcd pressur"/>
        <s v=" Why this investment matters&#10;&#10;  OAM will be the common application-delivery flow for our Platform — but its value is realized only when the initiatives that depend on it actually deliver through it rather than around it. Today BYOA, Nova, and Polaris each"/>
        <s v="Cluster Infrastructure Abstraction for ATMOS using KubeVela OAM&#10;&#10;Why this investment matters&#10;&#10;The OAM `Application` path assumes the cluster already exists. Everything beneath it — VPC/EKS, CNI/ingress, security, observability — is duct-taped with Terrafo"/>
        <s v="Adopt AWS EKS upgrade-readiness skill as a pre-upgrade gate for ATMOS&#10;&#10;  Why this investment matters&#10;&#10;  EKS follows AWS's roughly annual release train, and GWCP commits to staying on a supported version — so every bump (1.34 → 1.35 → 1.36 …) lands on the "/>
        <s v="Long build times are becoming a major pain point for both customers and Guidewire leadership. Average build times for customer implementations are currently around 40 minutes, with some builds taking up to 3 hours. This is significantly behind market stan"/>
        <s v="Currently Guidewire focus its AI revolution on accelerating Dev experience, while the DevOps experience is being omitted.&#10;&#10;Customers are looking for our leadership and guidance in that area, requesting capabilities that can reduce their overall developmen"/>
        <s v="Problem: &#10;Scattered Information = Missing Context -&gt; It's hard for customers to map existing CI/CD features for a tailored solution.&#10;Context Switching Increases Complexity -&gt; Triaging in case of errors takes a long time as existing experiences is scattere"/>
        <s v="Lack of canary releases support is considered as a setback for many customers. They have to invest into their own workaround using 3rd party tooling (e.g. Launch Darkly) to allow themselves with segmented deployments.&#10;&#10;Supporting canary releases out of th"/>
        <s v="Even though customers seems reluctant to use Asteroids, there is a common theme of those conversations - prove it before I use it. Early Access program seems to be the best way to validate our assumptions in practise.&#10;&#10;At the same time we have other facto"/>
        <s v="The current planet provisioning, deprovisioning, and update flows do not fully reflect the needs and expectations gathered from PPP customers in production. In FY27 we plan to &#10;deliver key improvements: including Performance Planet self-service, one-click"/>
        <s v="Why - AD groups in LHS service are broad based, opaque and static disallowing customers to shape their access management as they please &#10;Cost Of Delay - LM Go-Live , Fine grained access is a security prerequiste to onboard any Big customer, &#10;Dependency - "/>
        <s v="Why: Provisioning and deprovisioning of Insurance Suite users today is manual or bespoke per customer — operationally expensive at enterprise scale, error-prone, and routinely flagged in customer security audits for orphaned accounts and delayed deprovisi"/>
        <s v="Why: Onboarding a customer's identity provider (Okta, Entra ID, Ping) into Guidewire Cloud is a high-touch, GGS - led engagement today — measured in weeks per environment, per tenant. Customers expect modern SaaS-grade self-service: register an IdP, valid"/>
        <s v="Liberty Contractual commitment 2026"/>
        <s v="Why: &#10;- Customer commitment (LM, Hartford, etc)&#10;- This will eliminate the manual switching of the PL on the customer side when GW fails over from the primary to the DR region."/>
        <s v="Liberty commitment in 2028"/>
        <s v="Why:&#10;- Secrets are globally replicated in Helios, required for CR-DR failover to function "/>
        <s v="Why:&#10;- Customer commitment (LM, Hartford)&#10;- This allows customers to continue to power IS data for their own data products "/>
        <s v="Why:&#10;- Customer commitment (LM, Hartford)&#10;- This allows customers to continue taking core data snapshots as they run core business from the new DR region"/>
        <s v="Why:&#10;- We lack an automated system for backing up and recovering our hub clusters.&#10;&#10;What:&#10;- We have an RFC!&#10;&#10;Cost of not doing it:&#10;- Our three hubs in AMER, EMEA, and APAC are set up in a criss-cross configuration. For example, the EMEA hub manages AMER0/"/>
        <s v="Reason:&#10;- The customer intends to perform a regular failover test to confirm their ability to switch over during an actual disaster and to verify that their integration endpoints are working correctly to ensure a successful failover with GW.&#10;- If this pro"/>
        <m/>
        <s v="Why:&#10;- 98 microservices need to be deployed for each new LHS cluster, typically taking about one sprint per service.&#10;- The recent Sculptor cluster build took three months, and there is difficulty coordinating teams for the DR-0 LHS cluster deployment.&#10;- N"/>
        <s v="Why:&#10;- We currently create clusters manually for various reasons: when cluster quotas and limits are reached, &#10;- Or when additional clusters are needed for disaster recovery (DR). For instance, we plan to set up 4-5 LHS DR clusters.&#10;- Manual creation is t"/>
        <s v="Reasons:&#10;- Building the necessary infrastructure for CR-DR will create an additional yearly expense of about ~$3.5M.&#10;- This cost mainly comes from setting up new LHS clusters, reserving compute resources, and data replication for LHS services.&#10;&#10;Opportunit"/>
        <s v="Why&#10;- Eliminate the &quot;Growth Penalty&quot;: We need to observe what and how much we want without the &quot;Datadog Tax&quot; looming over every scaling decision. By decoupling our telemetry from a per-host pricing model, we turn observability from a cost center into a ut"/>
        <s v="Why&#10;&#10;BYOA customers on GWCP lack platform context. When they design or deploy workloads, they don’t know their Galactic hierarchy, what compute options exist, which AWS/OAM resources are available, or what guardrails, policies, and principles apply. They "/>
        <s v="Why&#10;&#10;Forecasting today is too thin to be trusted. Solaris extrapolates from past usage only — useless for new PPP customers and anyone not yet on the full platform. AI-driven forecasting, peer benchmarking, and on-prem-history estimation close that gap.&#10;&#10;"/>
        <s v="Problem: Tenant v3 reframes the Star as the engineering primitive of GWCP. The tenant remains a legal/data-sovereignty envelope (one buying entity, one Isolation Zone) - but every operational property of the platform hangs off the Star, not the tenant:&#10;- "/>
        <s v="Problem: Contract-to-platform handoff is manual and brittle: 56 % provisioning success rate over the last 53 onboardings, ~6-day average lead time, multi-step SRE runbook, revenue leakage from handoff gaps, Salesforce SKUs are opaque (Sunrise is about to "/>
        <s v="Problem: Cassini runs as endpoints inside the Atlas codebase. Polaris (backstage design-time catalog) and Cassini (runtime discovery) overlap conceptually (service discovery) but operate at different layers. Service metadata is fragmented across Atlas (Ca"/>
        <s v="Why?&#10;This matters because LM DR readiness depends not only on infrastructure DR, but also on Keti being able to support the required identity and platform operations during DR scenarios. If Keti is not validated, the broader LM DR initiative may carry unr"/>
        <s v="What?&#10;Implement a confidential security fix that reduces cross-tenant access risk by hardening the relevant control points, improving validation and guardrails, closing identified gaps, and ensuring the platform enforces tenant-boundary expectations consi"/>
        <s v="What?&#10;Build and validate the first four agreed thin slices of App 2.0 AuthZ for UC/Persistence, including modeling real principals and resources, creating/storing grants in GADS, enabling Mithril authorization decisions, integrating runtime enforcement po"/>
        <s v="What?&#10;Deliver the GADS Admin UI and APIs needed for App 2.0 AuthZ teams to view, create, update, manage, audit, and troubleshoot authorization grants, principals, resources, and related configuration without relying on manual database changes or engineeri"/>
        <s v="What?&#10;Deploy Keti as an IZ-local service capability across all required Isolation Zones (instead of Keti Proxies), publish Keti user/group/membership lifecycle events into the local MSK cluster for each IZ, standardize topic naming and schemas, and migrat"/>
        <s v="What?&#10;Validate the first end-to-end UAA Replacement MVP in lower environments by provisioning a test tenant as an Okta Realm through Voyager and Proxy, attaching groups, creating delegated admin access, and proving observability and operational support pa"/>
        <s v="What?&#10;Validate Okta Enhanced DR readiness end-to-end by creating a separate Okta Org for safe testing, configuring it with required Hub/Keti/Okta settings, migrating DR application details, and confirming that downstream GWCP services and platform functio"/>
        <s v="What?&#10;Design and implement a future-state Okta multi-org architecture where tenants can be isolated into separate Okta orgs or dedicated identity boundaries, with tenant-specific domains, branding, federation configuration, rollout controls, SCIM options,"/>
        <s v="What?&#10;Build a backend services identity and authorization architecture where SPIFFE/SPIRE issues secure workload identities to services and Mithril evaluates M2M authorization policies, removing the need for Okta or traditional auth-server based credentia"/>
        <s v="What?&#10;Build Keti support for AI Cross App Access and ID-JAG by introducing agent application modeling, resource API classification, cross-app access policy records, APIs for managing agent apps and access policies, discovery APIs for consumers, Okta confi"/>
        <s v="Why? GWCP spans multiple EKS clusters and AWS accounts with a wide variety of resource types subject to AWS-imposed limits — plus finite IP address ranges consumed by every pod. SRE has no reliable way to know whether a deployment will breach any of these"/>
        <s v="Why? Onboarding to BinRepo demands effort from Pod-Vulcan and SRE-Plat, leading to many interrupt requests.&#10;&#10;What? We're halfway through because, during the decomposition of the BinRepo module from TMD, we turned it into a native K8s resource. This allows"/>
        <s v="What&#10;&#10;We want to invest in a dedicated Certificate Service (Certificate Storage) to centralize how certificates are managed across our platform.&#10;&#10;Why&#10;&#10;Today, certificates are split between SMS and Outbound Connections, which makes configuration and featur"/>
        <s v="What&#10;&#10;We want to provide API Gateway Self Service (AGCS) to our customers so they can directly configure API Gateway for their InsuranceSuite applications, instead of relying on internal teams.&#10;&#10;Why&#10;&#10;Today, self service is available only to our internal t"/>
        <s v="What&#10;&#10;Replace the current environment-level IP Allowlist model with a granular, three-scope model: starsystem (all planets on a starsystem), planet (all apps on a planet), and application (specific app, on one or all planets). Allowlists are additive - lo"/>
        <s v="What&#10;Implement a quota-based system + observability for basic Kubernetes resources in an Atmos cluster - https://guidewireconfluence.atlassian.net/wiki/spaces/CCS/pages/2268070095/rfc-106+WIP+Kubernetes+Object+Quotas &#10;&#10;Why&#10;Kubernetes clusters have certain"/>
        <s v="What&#10;Implement mechanisms to ensure provisioned GWCP resources are actively being used, not abandoned or orphaned. https://guidewireconfluence.atlassian.net/wiki/spaces/CCS/pages/2953904216/rfc-141+Accountable+Resource+Lifecycles &#10;&#10;Why&#10;Abandoned and orpha"/>
        <s v="Customers are growing, Clusters are increasing, But maintenance windows are not. "/>
        <s v="I think we need one central service that all the apps can call to see if a customer can have (or not) a product. It doesn't make sense to me to have all the apps try to talk to SalesForce, but instead have this service do that and then all of the other ap"/>
        <s v="Invest in not building solution but design"/>
        <s v="What?&#10;Decompose Atmos NG from the monolithic Atmos infrastructure. &#10;&#10;Why? &#10;Faster &amp; shorter deployment &#10;&#10;Status: &#10;6/23 components pending (73% completed) &#10;&#10;Dependency: Builders(Tentative Effort): &#10;- Avondale: oort, cert-manager (4-5 SOLs)&#10;- Danville: exte"/>
        <s v="What:&#10;An automated, wave-based rolled release system that delivers biweekly updates strictly for Atmos NG components requiring a pod restart or provisioner change, bypassing the 1-to-1.5-month full release cycle while allowing unchanged components to rema"/>
        <s v="What&#10;The goal is to achieve zero-to-low-touch deployments by building an autonomous platform intelligence layer that pairs Dagger as a portable execution trigger with HolmesGPT and RAG as the intelligence engine. This system continuously monitors pipeline"/>
        <s v="What&#10;The system is an API-driven, centralized orchestrator and single source of truth that automates and controls the global configuration and deployment lifecycle of GWCP releases via a multi-tenant operational interface.&#10;&#10;Why Now&#10;Manual upkeep is no lon"/>
        <s v="What?&#10;- Build a connector between the Kubernetes external secrets operator and Helios.&#10;- Enable applications to get secrets and settings from Helios, regardless of application type or framework.&#10;- Support KubeVela and OAM deployments to connect to Helios&#10;"/>
        <s v="What?&#10;- Auto-rotate secrets (passwords, certs, etc) within Helios, to support secure applications. &#10;&#10;Why?&#10;- As a settings vault storing secrets, efficiently manage the secrets as per infosec requirements, save bandwidth in the process of rotation, reduce/"/>
        <s v="What?&#10;- SPIRE as an alternate AuthN for Okta&#10;&#10;Why?&#10; - Secure cross-quadrant / cross-cloud authentication: SPIRE gives workloads SPIFFE identities so services can trust each other across clusters and trust domains without relying on shared-secret patterns."/>
        <s v="What?&#10; - Enables customer use their own key/key-material for their data (when possible)&#10;&#10;Why?&#10; - Adhere to LM contractual obligation of delivery by Dec-2028 to NOT share their key with other customers for LM data&#10; - Unblock multiple contractual blockers w"/>
        <s v="What?&#10;- Migrate Helios secrets from AWS Secrets Manager to DynamoDB.&#10;- Ensure auto-replication of secrets across AWS regions using DynamoDB.&#10;- Ensure encryption and seamless access for all clients and applications.&#10;- Provide a migration runbook and valida"/>
        <s v="What?&#10; - Phase-1: Adopt Mithril for any-tenant authentication&#10;&#10;Why?&#10; - Move towards the GW standard of Mithril for granular control of AuthN in Helios"/>
        <s v="What?&#10; - DR support for MSK failover&#10;&#10;Why?&#10; - Meet contractual obligation of LM for DR&#10; - Support broader DR initiative across GW"/>
        <s v="What?&#10; - Adopt Express brokers in the place of existing standard brokers for AWS MSK&#10;&#10;Why?&#10; - Solve for memory overwhelming issues that caused Sev1s last year"/>
        <s v="What?&#10; - Enable memory and network metrics are isolated at the star level&#10;&#10;Why?&#10; - Start memory and network throttling when required&#10; - Move towards billing MSK usage (if possible)"/>
        <s v="What?&#10; - Provide OAM components for topics and ACLs creation/management&#10;&#10;Why?&#10; - Provide standardized OAM components for topics and ACLs to leverage GW's OAM library and provisioning"/>
        <s v="What?&#10;- Restructure the account-level terratests&#10;- Ensure testing can be done using both localstack and AWS&#10;&#10;Why?&#10;- To reduce the testing time on the changes made by the developers&#10;- To reduce the complexity of the terratest code base of MSK"/>
        <s v="What&#10;Standardize and complete tenant-level AWS resource isolation for networking: per-tenant PrivateLink endpoint services, VPC endpoints, NLBs, and their security groups (not just DNS/ingress), driven by Oort tenant isolation and PrivateLink Endpoint Net"/>
        <s v="What&#10;Deliver the next-generation Oort networking APIs (e.g., OortHTTPIngress and related traits) based on Kubernetes Gateway API, as the long‑term replacement for GatewayConfig/Ingress and the primary control plane for ingress/egress/PL. &#10;&#10;Why&#10;Provides a "/>
        <s v="What&#10;Implement PrivateLink ingress and egress with DR and cross‑region support, including pre‑provisioned endpoint services in primary and DR regions and support for AWS cross‑region connectivity for GWCP services. &#10;&#10;Why&#10;Key building block in CR‑DR strate"/>
        <s v="What&#10;Define and enforce quotas/limits for key networking resources (GatewayConfigs, PL endpoint services, VPC endpoints, NLBs, allowlists) at tenant/platform scopes, and document supported bounds. &#10;&#10;Why&#10;Prevents configuration and account‑level exhaustion "/>
        <s v="What&#10;Expose PL ingress configuration (regions, endpoint services, DR options) through Guidewire Home so customers can request and manage PL without GGS Cloud tickets. &#10;&#10;Why&#10;Reduces provisioning lead time, scales out PL adoption, and aligns with the cross‑"/>
        <s v="What&#10;Evaluate whether Kong Enterprise remains the right GWCP gateway, and if not, define a migration path (or architectural pattern) that preserves Oort abstractions while reducing cost and operational complexity. &#10;&#10;Why&#10;Kong is central today but brings li"/>
        <s v="&#10;What&#10;Refactor Oort’s OIDC behavior (including anonymous requests) into a more robust, centralized identity approach aligned with platform SSO and Mithril/Keti, and away from per‑feature hacks in Kong. &#10;&#10;Why&#10;This would remove the Kong's enterprise support"/>
        <s v="What&#10;Refactor Oort Route53 usage to the new DNS provider that is evaluated by Infosec&#10;&#10;Why&#10;Needed for the the continued usage of GLB v2 and Universal URL features&#10;&#10;Cost of not doing it&#10;Security or compliance pressure. "/>
        <s v="What&#10;Provide a Redis OAM component (Cache as a Service) integrated into the OAM Library and Asteroid, so teams can provision and operate cache instances using the same patterns as Postgres/Dynamo OAM. &#10;&#10;Why&#10;Gives Quantee and external developers a standard"/>
        <s v="What&#10;Ship CNPG OAM MVP (Phase 1) so LHS microservices can provision CloudNativePG clusters via the same OAM API in dev/lower environments, with basic provisioning, backup/restore. &#10;&#10;Why&#10;Introduces a cloud‑native alternative to Aurora for cost and topology"/>
        <s v="&#10;What&#10;Improve the Postgres OAM component into a full cluster management service that orchestrates provisioning, scaling, upgrades, and failover for Aurora clusters via a unified OAM API. &#10;&#10;Why&#10;Reduces Terraform dependence, centralizes cluster lifecycle. E"/>
        <s v="What&#10;Enable LHS/Nova services to provision Aurora Global Database clusters via Postgres OAM, including global endpoints, as a standard way to get DR for Postgres workloads. &#10;&#10;Why&#10;Provides a uniform DR mechanism for OAM‑managed Aurora databases, aligns wit"/>
        <s v="&#10;What&#10;Deliver the provisioning and Day2 operations capabilities of Postgres, DynamoDB and Cache OAM components required for BYOA Asteroids product&#10;&#10;Why&#10;Lets partners/customers operate their own data resources safely while still using OAM, and reduces reli"/>
        <s v="&#10;What&#10;Assign randomly generated immutable ids for tenant and star; suppot renaming of tenant and star&#10;&#10;Why&#10;- Avoid the time-consuming and error-prone migrations required to rename a tenant. Estimated at ~3–5 per year, driven by M&amp;A, rebrands, and implemen"/>
        <s v="&#10;What&#10;Complete the migration from supergalaxy to isolation zone across GWCP&#10;&#10;Why&#10;- supergalaxies become obsolete when we started creating addional LHS quadrants for data sovereignty. TenantV3 addressed this issue in Oct 2024 by replacing supergalaxy with "/>
        <s v="Why&#10;Reduce the wait time for developers for the Agents, Save the PD TC license cost, leaverage the GHA ecosystems"/>
        <s v="Why&#10;- Customer's ask and commitment to deliver by CY 2028!"/>
        <s v="...to eliminate hunting across tools"/>
        <s v="Update: Architect can Spike this and get back on the volume of work involved. (check with Marek )"/>
        <s v="Update: Can Larry take a look and present opinions. "/>
      </sharedItems>
    </cacheField>
    <cacheField name="What is the last date [mm/dd/yyyy] by when this MUST BE DONE. ?&#10;If there are no explicit dates that apply, please use N/A">
      <sharedItems containsDate="1" containsBlank="1" containsMixedTypes="1">
        <s v="N/A"/>
        <s v="Upgrade Window: 2027 → Early 2028&#10;&#10;v15 End of Support: 29 Feb 2028"/>
        <m/>
        <s v="Tentative GA Date (Oct -2026) , Scope is still getting finalised. Depends on how early CheckMarx can deliver the scanning tool"/>
        <s v="FY 27"/>
        <s v="End of year 2026"/>
        <s v="August 1, 2026 - Available for Internal customers&#10;&#10;August 16, 2026- Demo in Synergy through GH&#10;&#10;Oct 1, 2026 - EA for customers"/>
        <s v="No immediate date commitment"/>
        <s v="1st April - Evergreen Go-Live"/>
        <s v="LM is asking for this feature for 1st April Evergreen but dates are open for negotiation as LM already has a Sailpoint Connector that does the same job. But LM would prefer SCIM Conenct to do thsi job"/>
        <s v="NA"/>
        <d v="2026-11-26T00:00:00Z"/>
        <n v="2028.0"/>
        <d v="2026-07-01T00:00:00Z"/>
        <s v="Sept 2026"/>
        <d v="2026-08-01T00:00:00Z"/>
        <s v="ASAP after MVP Finish"/>
        <s v="ASAP - DR scenario's may have challenge if not done"/>
        <s v="End of 2026"/>
        <s v="ASAP - DR Program team to define a priority/timeline on when this should be done, as this would require a testing effort from multiple teams. "/>
        <s v="ASAP - there is a massive risk of not doing"/>
        <s v="~ Q1 2027"/>
        <s v="End of 2026, Requested by Liberty and Zurich Germany"/>
        <s v="ASAP since our cluster are increasing post CRDR. "/>
        <s v="PL Egress Feature is already GA and Security already request to isolate the VPC Endpoints. This needs to be addressed soon once DR scope for Networking is delivered.&#10;&#10;"/>
        <s v="FY27 "/>
        <s v="FY27, Currently evaluation in progress by Security. Once confirmed Atmos Networking should start the work to move our current DNS and R53 usage to the new DNS provider"/>
        <s v="Target for FY27 "/>
        <s v="FY27"/>
        <s v="Early FY27"/>
      </sharedItems>
    </cacheField>
    <cacheField name="Other Links and Notes and Considerations" numFmtId="0">
      <sharedItems containsBlank="1">
        <m/>
        <s v="Dependent teams:&#10;- GPR: including SRE, GGS, InfoSEC, etc.&#10;- Database / Data Platform: Provide access to raw Postgres logs (login/logout, DDL, slow queries); define service account exclusion criteria; validate obfuscation approach before automation is buil"/>
        <s v="Implementation-wise it would be easier to implement it as a part of Cepheid, but this would delay go-to-market by additional year at least. So timing and dependencies would need to be considered.   Monetization is a big deal. Current ARR for SE is 1.44M ("/>
        <s v="Work with Global DB on this "/>
        <s v="Based on the email exchange ('Fwd: Initiatives to Reduce DB Case Load') between Jim Sciarra, Krzysztof Rosner and Anoop"/>
        <s v="Dependencies:&#10;- GPR: including SRE, GGS, InfoSEC, etc.&#10;- Atmos Networking (Oort Pod): Expose Oort/API Gateway access logs (HTTP request/response data passing through the gateway) to the customer's Datadog instance with proper attributes."/>
        <s v="Dependencies:&#10;- GPR: including SRE, GGS, InfoSEC, etc.&#10;- TeamCity Pod (CI/CD): Emit structured build/deployment events from TeamCity (build success, failure, promotion to production) that can be ingested by Datadog. &#10;- BitBucket: Provide commit timestamps"/>
        <s v="Dependencies:&#10;- GPR: including SRE, GGS, InfoSEC, etc.&#10;- Solaris and pricing teams&#10;- GH: Self-service enablement of OTEL Streaming&#10;Also needed for BYOA"/>
        <s v="Functional proposal: guidewireconfluence.atlassian.net/wiki/x/4IAXwg."/>
        <s v="Infrom Jan Gaddi of the decision"/>
        <s v="Depends on Tenant renaming/immutability for immutable id generation&#10;&#10;KR, to drive meeting with jeff and Glenda to understand the Why "/>
        <s v="Dependencies:&#10;- GPR: including SRE, GGS, InfoSEC, etc.&#10;- Solaris / Pricing&#10;- GH: Self Service enablement&#10;- DB Service: DBM monitoring enablement"/>
        <s v="Dependencies:&#10;- GPR: including SRE, GGS, InfoSEC, etc."/>
        <s v="Dependencies:&#10;- GPR: including SRE, GGS, InfoSEC, etc.&#10;- All application PODs (cross-cutting)&#10;Each pod owning AWS resources (MSK, EFS, OAM components, etc.) must ensure their provisioning code applies the star:id tag."/>
        <s v="Dependencies:&#10;- GPR: including SRE, GGS, InfoSEC, etc.&#10;- Atmos Networking / Oort Pod: The prior Karpenter work (GWCP-73249) explicitly referenced HAProxy decommissioning as an RHS dependency.&#10;- CDP / IS App Teams: IS app workloads need to be validated aga"/>
        <s v="Dependencies:&#10;- GPR: including SRE, GGS, InfoSEC, etc.&#10;- Networking&#10;- KDC&#10;- TRUE"/>
        <s v="Dependencies&#10;- Customer Communication&#10;- TAMs&#10;- SRE/GGS"/>
        <s v="Dependencies:&#10;- GPR: including SRE, GGS, InfoSEC, etc.&#10;- IS / Apps Teams: need to be instrumented with OTEL SDKs to emit logs, metrics and traces in OTLP format"/>
        <s v="Dependencies:&#10;- GPR: including SRE, GGS, InfoSEC, etc.&#10;- All application PODs (cross-cutting)&#10;Each pod owning AWS resources (MSK, EFS, OAM components, etc.) must ensure their provisioning code applies the proper tags"/>
        <s v="Dependencies:&#10;- GPR: including SRE, GGS, InfoSEC, etc.&#10;- GH: Self-service"/>
        <s v="Dependencies:&#10;- GPR: including SRE, GGS, InfoSEC, etc.&#10;- Solaris / Pricing"/>
        <s v="Reference: https://guidewire.slack.com/archives/G01CVBB1K16/p1776268926217409 "/>
        <s v="This was part of FY26 VPMOM and needle did not move because of other high priority initiatives "/>
        <s v="https://github.com/anoop2811/kubevela/blob/kep-cluster-planes/design/vela-core/kep-cluster-infrastructure.md"/>
        <s v="Reference: https://github.com/aws-samples/sample-eks-upgrade-skill "/>
        <s v="Dependencies - https://guidewireconfluence.atlassian.net/wiki/spaces/CCS/pages/2430402590/BYOA+-+EA+GA+Deliverables+to+be+reviewed+in+Jan+2026"/>
        <s v="Cross team dependencies: ISDO, IG, CDA, IG other, Self-Service RDS"/>
        <s v="Dependency on Piotr Domider Storage Service Pod"/>
        <s v="Dependency on Łukasz Makowski pod"/>
        <s v="Dependency on Ram Subramanian Piotr Domider Pod"/>
        <s v="Mostly Vulcan to enable Orchestration from GH"/>
        <s v="Why not in CY 27, we will develop additional LHS clusters, but they won't require deployment of Services. Additionally, I believe that any merging of LHS and RHS should be postponed until we have clearer understanding."/>
        <s v="This is not a development effort but rather a Program to&#10;- Identify services affecting PII&#10;&#10;The only developement would be to provide a tag when services"/>
        <s v="Why not in FY27?&#10;- First, let's focus on building Asteroid and validating demand.&#10;- Also, Anoop with a pod in India is exploring local model development, so it's better to wait and see how it shapes up. I will offline share the thoughts with the pod in In"/>
        <s v="Refer to the note from Glenda under row 76"/>
        <s v="Status: In Progress. &#10;Health: Green."/>
        <s v="Status: OnHold. &#10;Health: Red"/>
        <s v="This is a significant body of work and is expected to consume the remaining capacity of the Mithril team after the MVP is completed. To maintain focus and delivery confidence, we are not planning to take on additional Mithril work at this time, except for"/>
        <s v="Status: Not Started. &#10;Health: Red. &#10;&#10;Important for IZ isolation principles, event locality, consumer simplification, and reducing MSK/SRE operational burden."/>
        <s v="Status: Paused. &#10;Health: Red&#10;&#10;Dependency: Voyager (post Keti work is done)"/>
        <s v="Status: Not Started. &#10;Health: Red. "/>
        <s v="Status: Not Started. &#10;Health: Red. &#10;&#10;This is a foundational architecture initiative and should be positioned as security-by-design, scalability, customer-experience, and revenue/chargeback enablement."/>
        <s v="Status: Not Started. &#10;Health: Red."/>
        <s v="Status: Not Started. &#10;Health: Red.&#10;&#10;RA: https://docs.google.com/document/d/14P_YyGoEoHdQ_jTAZC3ra0OKPLaZn-ZB2gQru-sqocs/edit?tab=t.0 &#10;&#10;Given Risk Likelyhood is called out as &quot;Highly Unlikely&quot; the RA date can be extended. "/>
        <s v="This needs more information .. KR, Michael, Lukasz. "/>
        <s v="We do have XR private Link. &#10;&#10;Piotr F to check with Gal "/>
        <s v="Murali to own "/>
        <s v="This is needed for Guard as Guard needs to know which app to allow a tenant to control &#10;&#10;Piotr Flasinski: This one is already covered (see Fullfilment service by Michal Zajac) Michal to reach out to Glenda. "/>
        <s v="https://docs.google.com/document/d/1d1HmYN1NpI4C_8w5iyslf6sucsjLR7mclGOzEdSVZTc/edit?tab=t.z3l4aylls6hs"/>
        <s v="https://guidewireconfluence.atlassian.net/wiki/spaces/~qmccombs/pages/929432457/Tenant+renaming+Immutable+tenant+id"/>
        <s v="https://guidewireconfluence.atlassian.net/wiki/spaces/ORANGE/pages/2046230805/Isolation+Zones+Implementation+rfc-19"/>
        <s v="Not prioritizing because NPE will be expensive in terms of cloud costs and will also require significant scope for implementation.&#10;&#10;Additionally, we should wait for&#10;- See how much demand there is for CR DR in PROD&#10;- How strongly contracted customers push&#10;"/>
      </sharedItems>
    </cacheField>
    <cacheField name="Triage at Offsite  (UJ) " numFmtId="0">
      <sharedItems containsBlank="1">
        <s v="Consider for FY 27"/>
        <s v="Local Product Initiative "/>
        <s v="Not in FY 2027"/>
        <s v="Duplicate"/>
        <s v="Revisit"/>
        <s v="Needs Review"/>
        <m/>
      </sharedItems>
    </cacheField>
    <cacheField name="Priority order " numFmtId="0">
      <sharedItems containsBlank="1">
        <m/>
        <s v="Refer to 55"/>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G17" firstHeaderRow="0" firstDataRow="1" firstDataCol="1"/>
  <pivotFields>
    <pivotField name="Requestor / Evangelist" axis="axisRow" dataField="1" compact="0" outline="0" multipleItemSelectionAllowed="1" showAll="0" sortType="ascending">
      <items>
        <item h="1" x="27"/>
        <item x="11"/>
        <item h="1" x="7"/>
        <item h="1" x="25"/>
        <item x="9"/>
        <item h="1" x="21"/>
        <item h="1" x="14"/>
        <item h="1" x="19"/>
        <item h="1" x="12"/>
        <item h="1" x="17"/>
        <item x="26"/>
        <item x="1"/>
        <item h="1" x="18"/>
        <item h="1" x="6"/>
        <item x="15"/>
        <item h="1" x="5"/>
        <item x="3"/>
        <item h="1" x="8"/>
        <item h="1" x="2"/>
        <item x="16"/>
        <item h="1" x="10"/>
        <item x="20"/>
        <item h="1" x="4"/>
        <item x="13"/>
        <item x="0"/>
        <item x="24"/>
        <item x="22"/>
        <item x="23"/>
        <item t="default"/>
      </items>
    </pivotField>
    <pivotField name="Secondary Requesto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What should we consider prioritizing ? Technical Initiative, Architectural Change, Customer requested Feature, Dependency from other Apps teams.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Why (Contracts / Cost of Delay) - if there is any explicit contract OR $$$$ amounts associated with our ability to not deliver, please call this ou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What is the last date [mm/dd/yyyy] by when this MUST BE DONE. ?&#10;If there are no explicit dates that apply, please use N/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Other Links and Notes and Consider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Triage at Offsite  (UJ) " axis="axisCol" compact="0" outline="0" multipleItemSelectionAllowed="1" showAll="0" sortType="ascending">
      <items>
        <item x="6"/>
        <item x="0"/>
        <item x="3"/>
        <item x="1"/>
        <item x="5"/>
        <item x="2"/>
        <item x="4"/>
        <item t="default"/>
      </items>
    </pivotField>
    <pivotField name="Priority order " compact="0" outline="0" multipleItemSelectionAllowed="1" showAll="0">
      <items>
        <item x="0"/>
        <item x="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s>
  <rowFields>
    <field x="0"/>
  </rowFields>
  <colFields>
    <field x="6"/>
  </colFields>
  <dataFields>
    <dataField name="COUNTA of Requestor / Evangelist" fld="0" subtotal="count" baseField="0"/>
  </dataFields>
</pivotTableDefinition>
</file>

<file path=xl/pivotTables/pivotTable2.xml><?xml version="1.0" encoding="utf-8"?>
<pivotTableDefinition xmlns="http://schemas.openxmlformats.org/spreadsheetml/2006/main" name="Pivot Table 2 2" cacheId="0" dataCaption="" compact="0" compactData="0">
  <location ref="A24:H53" firstHeaderRow="0" firstDataRow="1" firstDataCol="1"/>
  <pivotFields>
    <pivotField name="Requestor / Evangelist" axis="axisRow" compact="0" outline="0" multipleItemSelectionAllowed="1" showAll="0" sortType="ascending">
      <items>
        <item h="1" x="27"/>
        <item x="11"/>
        <item h="1" x="7"/>
        <item x="25"/>
        <item x="9"/>
        <item h="1" x="21"/>
        <item x="14"/>
        <item x="19"/>
        <item x="12"/>
        <item x="17"/>
        <item x="26"/>
        <item x="1"/>
        <item x="18"/>
        <item x="6"/>
        <item x="15"/>
        <item x="5"/>
        <item x="3"/>
        <item h="1" x="8"/>
        <item x="2"/>
        <item x="16"/>
        <item h="1" x="10"/>
        <item x="20"/>
        <item x="4"/>
        <item x="13"/>
        <item x="0"/>
        <item x="24"/>
        <item x="22"/>
        <item x="23"/>
        <item t="default"/>
      </items>
    </pivotField>
    <pivotField name="Secondary Requesto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What should we consider prioritizing ? Technical Initiative, Architectural Change, Customer requested Feature, Dependency from other Apps teams.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Why (Contracts / Cost of Delay) - if there is any explicit contract OR $$$$ amounts associated with our ability to not deliver, please call this ou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What is the last date [mm/dd/yyyy] by when this MUST BE DONE. ?&#10;If there are no explicit dates that apply, please use N/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Other Links and Notes and Consider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Triage at Offsite  (UJ) " axis="axisCol" compact="0" outline="0" multipleItemSelectionAllowed="1" showAll="0" sortType="ascending">
      <items>
        <item x="6"/>
        <item x="0"/>
        <item x="3"/>
        <item x="1"/>
        <item x="5"/>
        <item x="2"/>
        <item x="4"/>
        <item t="default"/>
      </items>
    </pivotField>
    <pivotField name="Priority order " compact="0" outline="0" multipleItemSelectionAllowed="1" showAll="0">
      <items>
        <item x="0"/>
        <item x="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s>
  <rowFields>
    <field x="0"/>
  </rowFields>
  <colFields>
    <field x="6"/>
  </colFields>
  <dataFields>
    <dataField name="COUNTA of What should we consider prioritizing ? Technical Initiative, Architectural Change, Customer requested Feature, Dependency from other Apps teams. " fld="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13T19:22:23.00" personId="{e28f70c1-ef12-4c89-8349-6cb27991439b}" id="{3a0d5026-b3da-4be6-8453-2350102a9f91}" done="0">
    <x18tc:text xml:space="preserve">@amkhanna@guidewire.com Please help us out here
Assigned to amkhanna@guidewire.com</x18tc:text>
    <x18tc:mentions>
      <x18tc:mention mentionpersonId="{0a8aed59-9de1-4881-b9af-625628e8f795}" mentionId="{e1f5ec14-b5e1-4591-b318-87a635a572fb}" startIndex="0" length="23"/>
    </x18tc:mentions>
  </x18tc:threadedComment>
  <x18tc:threadedComment ref="A1" dT="2026-07-13T19:21:17.00" personId="{e28f70c1-ef12-4c89-8349-6cb27991439b}" id="{89767933-de7b-4bd2-afa4-7d0627c19382}" done="0">
    <x18tc:text xml:space="preserve">@amkhanna@guidewire.com Please help us out here
Assigned to amkhanna@guidewire.com</x18tc:text>
    <x18tc:mentions>
      <x18tc:mention mentionpersonId="{0a8aed59-9de1-4881-b9af-625628e8f795}" mentionId="{c394fc16-a166-4aba-a19f-37b6f77fc405}" startIndex="0" length="23"/>
    </x18tc:mentions>
  </x18tc:threadedComment>
  <x18tc:threadedComment ref="A1" dT="2026-06-29T13:56:37.00" personId="{8e157234-d69b-418e-841c-69e28314c5d0}" id="{91a1ae9c-be94-4ca5-9963-3b0e7e5af11c}" done="0">
    <x18tc:text xml:space="preserve">@ujain@guidewire.com This pod doesn't exist anymore.</x18tc:text>
    <x18tc:mentions>
      <x18tc:mention mentionpersonId="{879de53f-a744-4b67-987f-1006b3ceb550}" mentionId="{0c4c2fb3-b3f3-40f6-9d01-bf5fa14a3366}" startIndex="0" length="20"/>
    </x18tc:mentions>
  </x18tc:threadedComment>
  <x18tc:threadedComment ref="A1" dT="2026-07-14T19:26:43.00" personId="{e28f70c1-ef12-4c89-8349-6cb27991439b}" id="{67781802-305c-43c8-bb88-e95762c3f6f1}" done="0">
    <x18tc:text xml:space="preserve">@amkhanna@guidewire.com Please look into the one-pager and help us out here. If you migrate to IAM as part of DR project, you can mark no dependency for express brokers adoption
Assigned to amkhanna@guidewire.com</x18tc:text>
    <x18tc:mentions>
      <x18tc:mention mentionpersonId="{0a8aed59-9de1-4881-b9af-625628e8f795}" mentionId="{271a7070-a195-4275-8d96-5b402df5d3f8}" startIndex="0" length="23"/>
    </x18tc:mentions>
  </x18tc:threadedComment>
  <x18tc:threadedComment ref="A1" dT="2026-07-17T16:29:40.00" personId="{e28f70c1-ef12-4c89-8349-6cb27991439b}" id="{03bbffba-eb30-4ec9-ae71-21be65e253e9}" parentId="{67781802-305c-43c8-bb88-e95762c3f6f1}">
    <x18tc:text xml:space="preserve">Marked as "No dependency" based on our conversations</x18tc:text>
  </x18tc:threadedComment>
  <x18tc:threadedComment ref="A1" dT="2026-07-14T19:27:19.00" personId="{e28f70c1-ef12-4c89-8349-6cb27991439b}" id="{8879cba9-3fc5-4e20-b01c-ee07e5091166}" done="1">
    <x18tc:text xml:space="preserve">@gbouzeid@guidewire.com I assume there is no MSK usage here. If yes, please mark this as no dependency
Assigned to gbouzeid@guidewire.com</x18tc:text>
    <x18tc:mentions>
      <x18tc:mention mentionpersonId="{745d7f76-f965-499b-8df6-91dbc43b9fb3}" mentionId="{ccfaa331-8062-4949-a847-337bc10d4c3f}" startIndex="0" length="23"/>
    </x18tc:mentions>
  </x18tc:threadedComment>
  <x18tc:threadedComment ref="A1" dT="2026-07-15T19:52:15.00" personId="{54eae484-93a2-444b-bad4-b9c1b9b87098}" id="{49c89f09-31b2-4025-aa40-f4987297dec6}" parentId="{8879cba9-3fc5-4e20-b01c-ee07e5091166}">
    <x18tc:text xml:space="preserve">not aware of MSK usage for Bolinas - adding @bsekar@guidewire.com to comment as needed thx</x18tc:text>
    <x18tc:mentions>
      <x18tc:mention mentionpersonId="{72d6c93c-3592-4ad8-bf9d-420c1e2be403}" mentionId="{2470fa45-f501-4b53-9027-372e246461c3}" startIndex="44" length="21"/>
    </x18tc:mentions>
  </x18tc:threadedComment>
  <x18tc:threadedComment ref="A1" dT="2026-07-07T17:15:30.00" personId="{7d6d157a-310c-4a7e-b624-fd05cd31f5f1}" id="{638bf7a5-55bb-4ae7-bad6-00868e33f404}" done="0">
    <x18tc:text xml:space="preserve">@cpetluri@guidewire.com :
should this be subsumed under okta secrets rotation? Is this a necessary piece for doing okta secrets rotation?
Assigned to cpetluri@guidewire.com</x18tc:text>
    <x18tc:mentions>
      <x18tc:mention mentionpersonId="{8406af2e-9a76-40b2-a7a0-2c6afa310f9d}" mentionId="{5f4d2f7c-f284-4667-9018-17232f20e900}" startIndex="0" length="23"/>
    </x18tc:mentions>
  </x18tc:threadedComment>
  <x18tc:threadedComment ref="A1" dT="2026-07-07T17:19:38.00" personId="{e28f70c1-ef12-4c89-8349-6cb27991439b}" id="{70d2d4db-8e6f-4d90-a23d-45370f643d3d}" parentId="{638bf7a5-55bb-4ae7-bad6-00868e33f404}">
    <x18tc:text xml:space="preserve">Since SPIRE is required for Okta secrets rotation adoption (not the actual rotation), the team's rationale is to create a separate VPMOM for this. This way tracking and handling SPIRE alone is easier.</x18tc:text>
  </x18tc:threadedComment>
  <x18tc:threadedComment ref="A1" dT="2026-07-13T21:54:14.00" personId="{c9dd6b42-40f6-4055-84f6-44364668c572}" id="{34fafea5-0faf-4dd9-8a8d-c31cfbb424c5}" parentId="{638bf7a5-55bb-4ae7-bad6-00868e33f404}">
    <x18tc:text xml:space="preserve">I'm not sure any work is required from Danville to unblock this initiative. @llinville@guidewire.com do you think anything is needed from Atmos Core? Thank you!</x18tc:text>
    <x18tc:mentions>
      <x18tc:mention mentionpersonId="{b3198054-86d9-46da-8d87-3b38363ad7c6}" mentionId="{b6caa7ef-4337-4bac-8cae-636fd1447f3d}" startIndex="76" length="24"/>
    </x18tc:mentions>
  </x18tc:threadedComment>
  <x18tc:threadedComment ref="A1" dT="2026-07-14T12:30:17.00" personId="{9f5fb3f6-8305-48d1-8390-5bafcffd324a}" id="{ceba3a52-0e65-430a-bd95-d67911a30942}" parentId="{638bf7a5-55bb-4ae7-bad6-00868e33f404}">
    <x18tc:text xml:space="preserve">@beloysu@guidewire.com  I believe the ask here is for all LHS and RHS app teams to set aside a little time for adopting changes that will be required to enable SPIRE / SPIFFE in the Helios Client. This would involve a Helios Client upgrade and making a few changes to one's deployment provisioning (i.e. impacts one's k8s deployments and secrets).
1 total reaction
Chakravarthy Petluri reacted with ☝️ at 07/14/2026, 1:41 PM UTC</x18tc:text>
    <x18tc:mentions>
      <x18tc:mention mentionpersonId="{a45287d0-34ee-46a6-82c5-f28ad1d6136f}" mentionId="{7ad8ee8b-1457-4784-8ab4-ca743f8ac25e}" startIndex="0" length="22"/>
    </x18tc:mentions>
  </x18tc:threadedComment>
  <x18tc:threadedComment ref="A1" dT="2026-07-13T19:30:10.00" personId="{e28f70c1-ef12-4c89-8349-6cb27991439b}" id="{30b4c661-4bdc-4b36-aa3a-32f59b0349bd}" done="0">
    <x18tc:text xml:space="preserve">@dhsharma@guidewire.com Please help us out here</x18tc:text>
    <x18tc:mentions>
      <x18tc:mention mentionpersonId="{8caf03f4-4a5e-4075-a37e-b0df4b86d6b2}" mentionId="{4e158746-36f3-45aa-9565-abe3337c7cc4}" startIndex="0" length="23"/>
    </x18tc:mentions>
  </x18tc:threadedComment>
  <x18tc:threadedComment ref="A1" dT="2026-07-07T17:16:12.00" personId="{7d6d157a-310c-4a7e-b624-fd05cd31f5f1}" id="{cb3b6ae7-4764-4332-96fb-a00fefa9b56c}" done="1">
    <x18tc:text xml:space="preserve">@cpetluri@guidewire.com : Please add a one pager in confluence and link it here
Assigned to cpetluri@guidewire.com</x18tc:text>
    <x18tc:mentions>
      <x18tc:mention mentionpersonId="{8406af2e-9a76-40b2-a7a0-2c6afa310f9d}" mentionId="{9ff71358-0eaa-42cf-8b02-6a1cd3838c85}" startIndex="0" length="23"/>
    </x18tc:mentions>
  </x18tc:threadedComment>
  <x18tc:threadedComment ref="A1" dT="2026-07-07T17:19:46.00" personId="{e28f70c1-ef12-4c89-8349-6cb27991439b}" id="{08eb041f-77c5-4ce8-abd6-52a02887036e}" parentId="{cb3b6ae7-4764-4332-96fb-a00fefa9b56c}">
    <x18tc:text xml:space="preserve">Done</x18tc:text>
  </x18tc:threadedComment>
  <x18tc:threadedComment ref="A1" dT="2026-07-08T22:10:48.00" personId="{b8c5c968-34dc-4851-bdeb-1b4e1462cb2b}" id="{6aff429e-69fa-4eba-abd1-074019dbc23c}" done="0">
    <x18tc:text xml:space="preserve">Estimating 3 sols for developing an Operator to help Kyverno enforce tenant-scoped, cluster-scoped quotas</x18tc:text>
  </x18tc:threadedComment>
  <x18tc:threadedComment ref="A1" dT="2026-07-13T19:23:06.00" personId="{e28f70c1-ef12-4c89-8349-6cb27991439b}" id="{b7f3cc37-9556-49f5-8eb7-26091bf328e5}" done="1">
    <x18tc:text xml:space="preserve">@gbouzeid@guidewire.com Please help us out here
Assigned to gbouzeid@guidewire.com</x18tc:text>
    <x18tc:mentions>
      <x18tc:mention mentionpersonId="{745d7f76-f965-499b-8df6-91dbc43b9fb3}" mentionId="{e2d0ff03-ea0e-44ed-9bcb-42f7a2801b90}" startIndex="0" length="23"/>
    </x18tc:mentions>
  </x18tc:threadedComment>
  <x18tc:threadedComment ref="A1" dT="2026-07-14T20:11:25.00" personId="{54eae484-93a2-444b-bad4-b9c1b9b87098}" id="{d35001e0-115d-440a-a89e-811a101c32b3}" parentId="{b7f3cc37-9556-49f5-8eb7-26091bf328e5}">
    <x18tc:text xml:space="preserve">I am not aware of dependency from Bolinas - @ppaul@guidewire.com @bsekar@guidewire.com please confirm - i the meantime i will update as no dependency. thx
Reassigned to ppaul@guidewire.com</x18tc:text>
    <x18tc:mentions>
      <x18tc:mention mentionpersonId="{b9e5cf21-d7ea-4fe5-a729-64b89cb59d40}" mentionId="{c7676710-16f8-4544-98bf-e0f269b11f08}" startIndex="44" length="20"/>
      <x18tc:mention mentionpersonId="{72d6c93c-3592-4ad8-bf9d-420c1e2be403}" mentionId="{049fab42-3570-47d7-842d-79c53682609b}" startIndex="65" length="21"/>
    </x18tc:mentions>
  </x18tc:threadedComment>
  <x18tc:threadedComment ref="A1" dT="2026-07-14T19:26:07.00" personId="{e28f70c1-ef12-4c89-8349-6cb27991439b}" id="{713230d8-bdce-48f8-9393-e2e2ded652ff}" done="0">
    <x18tc:text xml:space="preserve">@dkravchenko@guidewire.com Please look into the one-pager and help us out here. If you migrate to IAM as part of DR project, you can mark no dependency for express brokers adoption
Assigned to dkravchenko@guidewire.com</x18tc:text>
    <x18tc:mentions>
      <x18tc:mention mentionpersonId="{8f344497-f5c4-4332-b5e3-f7d4e8a53cb6}" mentionId="{d63448f5-895e-4e19-a8bb-43eda9ea9f39}" startIndex="0" length="26"/>
    </x18tc:mentions>
  </x18tc:threadedComment>
  <x18tc:threadedComment ref="A1" dT="2026-07-15T08:09:15.00" personId="{8e157234-d69b-418e-841c-69e28314c5d0}" id="{9b3b0a36-5285-4f12-b16b-9a26f4650a5d}" parentId="{713230d8-bdce-48f8-9393-e2e2ded652ff}">
    <x18tc:text xml:space="preserve">Solaris is not included into current DR scope and not deployed to DR region. @bmzyk@guidewire.com could you please take a look to confirm there is no work for Solaris here?
1 total reaction
Chakravarthy Petluri reacted with 👍 at 07/15/2026, 5:26 PM UTC</x18tc:text>
    <x18tc:mentions>
      <x18tc:mention mentionpersonId="{0386ae49-7b92-46fe-87c6-87b4383b5882}" mentionId="{b7d238fe-a0d5-4326-a54a-2413ba2b2017}" startIndex="77" length="20"/>
    </x18tc:mentions>
  </x18tc:threadedComment>
  <x18tc:threadedComment ref="A1" dT="2026-07-13T19:26:21.00" personId="{e28f70c1-ef12-4c89-8349-6cb27991439b}" id="{ba2a3878-1c6c-47f6-a2b3-8ae9d75e7162}" done="0">
    <x18tc:text xml:space="preserve">@atomar@guidewire.com Please help us out here
Assigned to atomar@guidewire.com</x18tc:text>
    <x18tc:mentions>
      <x18tc:mention mentionpersonId="{b1e856c7-db14-4a0e-b4a6-b642dfdfb6ed}" mentionId="{a580d7e2-7cd9-4b68-bdc9-604c55d39e07}" startIndex="0" length="21"/>
    </x18tc:mentions>
  </x18tc:threadedComment>
  <x18tc:threadedComment ref="A1" dT="2026-07-14T15:20:51.00" personId="{5ec39123-4a15-47f2-87a8-13dfe758f6e2}" id="{cf5b5553-3a9a-4fd6-88f9-e3c09a01de8e}" parentId="{ba2a3878-1c6c-47f6-a2b3-8ae9d75e7162}">
    <x18tc:text xml:space="preserve">According to the comment (https://docs.google.com/spreadsheets/d/1fJOnMTGebMdsd6tQtukruhoIyUMRuYZFb2S-DFuoyjg/edit?disco=AAAB_YYpqqY) work here only needs to be done if a team has a µS. Kanata has no µS and hence there's no migration to the new Helios client needed.</x18tc:text>
    <x18tc:extLst>
      <ext uri="{F7C98A9C-CBB3-438F-8F68-D28B6AF4A901}">
        <xltc2:checksum/>
        <xltc2:hyperlink startIndex="26" length="106" url="https://docs.google.com/spreadsheets/d/1fJOnMTGebMdsd6tQtukruhoIyUMRuYZFb2S-DFuoyjg/edit?disco=AAAB_YYpqqY"/>
      </ext>
    </x18tc:extLst>
  </x18tc:threadedComment>
  <x18tc:threadedComment ref="A1" dT="2026-07-15T17:00:26.00" personId="{e28f70c1-ef12-4c89-8349-6cb27991439b}" id="{f0df949c-8104-4731-b942-21b1ebb75d60}" parentId="{ba2a3878-1c6c-47f6-a2b3-8ae9d75e7162}">
    <x18tc:text xml:space="preserve">Technically, if you are using Helios, you will have the work. If not, "No dependency" works</x18tc:text>
  </x18tc:threadedComment>
  <x18tc:threadedComment ref="A1" dT="2026-07-14T19:23:38.00" personId="{e28f70c1-ef12-4c89-8349-6cb27991439b}" id="{0857c921-9646-4ccd-819a-3693303c315c}" done="0">
    <x18tc:text xml:space="preserve">@amkhanna@guidewire.com Please look into the one-pager and help us out here. If you migrate to IAM as part of DR project, you can mark no dependency for express brokers adoption
Assigned to amkhanna@guidewire.com</x18tc:text>
    <x18tc:mentions>
      <x18tc:mention mentionpersonId="{0a8aed59-9de1-4881-b9af-625628e8f795}" mentionId="{4877ded3-3fbb-4e58-b69d-04e51d9bfc48}" startIndex="0" length="23"/>
    </x18tc:mentions>
  </x18tc:threadedComment>
  <x18tc:threadedComment ref="A1" dT="2026-07-17T16:28:57.00" personId="{e28f70c1-ef12-4c89-8349-6cb27991439b}" id="{ac3f8059-1978-468a-8069-14dc518d245b}" parentId="{0857c921-9646-4ccd-819a-3693303c315c}">
    <x18tc:text xml:space="preserve">Marked as "No dependency" based on our conversations</x18tc:text>
  </x18tc:threadedComment>
  <x18tc:threadedComment ref="A1" dT="2026-07-13T19:25:40.00" personId="{e28f70c1-ef12-4c89-8349-6cb27991439b}" id="{85ee7c77-8970-4a58-a552-8729df43c59d}" done="0">
    <x18tc:text xml:space="preserve">@gbouzeid@guidewire.com Please help us out here
Assigned to gbouzeid@guidewire.com</x18tc:text>
    <x18tc:mentions>
      <x18tc:mention mentionpersonId="{745d7f76-f965-499b-8df6-91dbc43b9fb3}" mentionId="{d556b227-3f70-41d7-a69f-d78a58c79994}" startIndex="0" length="23"/>
    </x18tc:mentions>
  </x18tc:threadedComment>
  <x18tc:threadedComment ref="A1" dT="2026-07-13T20:51:56.00" personId="{54eae484-93a2-444b-bad4-b9c1b9b87098}" id="{28b21054-4405-48d8-8419-792d1526b393}" parentId="{85ee7c77-8970-4a58-a552-8729df43c59d}">
    <x18tc:text xml:space="preserve">@cpetluri@guidewire.com do you know/have the specific asks for Atmos Core? More Clusters to be provisioned? ECR changes? 
Adding also @beloy@guidewire.com for his input 
thx</x18tc:text>
    <x18tc:mentions>
      <x18tc:mention mentionpersonId="{8406af2e-9a76-40b2-a7a0-2c6afa310f9d}" mentionId="{91193e97-5792-4ee1-be5c-3148bf7a01c8}" startIndex="0" length="23"/>
      <x18tc:mention mentionpersonId="{2a75f47e-94ab-4e0f-88b5-7d5c15aedead}" mentionId="{d97a67d0-d417-4500-bee2-5dd6bd396320}" startIndex="134" length="20"/>
    </x18tc:mentions>
  </x18tc:threadedComment>
  <x18tc:threadedComment ref="A1" dT="2026-07-14T00:23:49.00" personId="{e28f70c1-ef12-4c89-8349-6cb27991439b}" id="{7ac94b5d-4c09-4a47-82d6-10eb3106dd1d}" parentId="{85ee7c77-8970-4a58-a552-8729df43c59d}">
    <x18tc:text xml:space="preserve">If Helios is used, then SPIRE adoption will be required - https://guidewire.slack.com/archives/CCQFXJ0A0/p1783714486046539</x18tc:text>
    <x18tc:extLst>
      <ext uri="{F7C98A9C-CBB3-438F-8F68-D28B6AF4A901}">
        <xltc2:checksum/>
        <xltc2:hyperlink startIndex="58" length="64" url="https://guidewire.slack.com/archives/CCQFXJ0A0/p1783714486046539"/>
      </ext>
    </x18tc:extLst>
  </x18tc:threadedComment>
  <x18tc:threadedComment ref="A1" dT="2026-07-14T20:09:19.00" personId="{54eae484-93a2-444b-bad4-b9c1b9b87098}" id="{b9bb82b3-909b-4af4-ab8a-9e63699db0b0}" parentId="{85ee7c77-8970-4a58-a552-8729df43c59d}">
    <x18tc:text xml:space="preserve">@beloy@guidewire.com @msherwin@guidewire.com with the help of claude, i got the estimate of 4 weeks for Atmos Core adoption for SPIRe - please help confirming/updating thx
Reassigned to beloy@guidewire.com</x18tc:text>
    <x18tc:mentions>
      <x18tc:mention mentionpersonId="{2a75f47e-94ab-4e0f-88b5-7d5c15aedead}" mentionId="{fc09b348-7709-48af-96fc-9f6f314711fd}" startIndex="0" length="20"/>
      <x18tc:mention mentionpersonId="{24de4957-e6f2-42b2-a0c8-54c40f8be555}" mentionId="{d4ce4b06-4e89-42dc-abb2-55b57d2f52da}" startIndex="21" length="23"/>
    </x18tc:mentions>
  </x18tc:threadedComment>
  <x18tc:threadedComment ref="A1" dT="2026-07-14T19:24:51.00" personId="{e28f70c1-ef12-4c89-8349-6cb27991439b}" id="{7ac95cf1-7eb7-40c9-9f54-ee7ce0324736}" done="0">
    <x18tc:text xml:space="preserve">@gs@guidewire.com Please look into the one-pager and help us out here. If you migrate to IAM as part of DR project, you can mark no dependency for express brokers adoption
Assigned to gs@guidewire.com</x18tc:text>
    <x18tc:mentions>
      <x18tc:mention mentionpersonId="{266944f1-17de-482c-a280-997a68ef1dcb}" mentionId="{9e2f006c-95b9-4e24-8079-e025258cfd20}" startIndex="0" length="17"/>
    </x18tc:mentions>
  </x18tc:threadedComment>
  <x18tc:threadedComment ref="A1" dT="2026-07-16T02:18:03.00" personId="{9b7c6d63-494a-4fe4-a4ff-6214c3fedfaa}" id="{f271ccbe-ef91-4bd6-9e1e-d2a077b9ebf1}" parentId="{7ac95cf1-7eb7-40c9-9f54-ee7ce0324736}">
    <x18tc:text xml:space="preserve">@cpetluri@guidewire.com I don't see any dependency for Ajanta as part of this initiative. Thank you.
1 total reaction
Chakravarthy Petluri reacted with 👍 at 07/17/2026, 4:16 PM UTC
Reassigned to cpetluri@guidewire.com</x18tc:text>
    <x18tc:mentions>
      <x18tc:mention mentionpersonId="{8406af2e-9a76-40b2-a7a0-2c6afa310f9d}" mentionId="{ef5e20eb-dedb-4920-96e7-7c0b46365764}" startIndex="0" length="23"/>
    </x18tc:mentions>
  </x18tc:threadedComment>
  <x18tc:threadedComment ref="A1" dT="2026-07-02T08:34:20.00" personId="{f6366c9e-cebb-4b9b-a866-08c7b4ba8334}" id="{dfbd6224-095d-4227-ba50-d0226eaa2397}" done="0">
    <x18tc:text xml:space="preserve">RDS OAM feature parity with terraform + apply those OAMs in IS RDS creation</x18tc:text>
  </x18tc:threadedComment>
  <x18tc:threadedComment ref="A1" dT="2026-07-02T08:36:13.00" personId="{f6366c9e-cebb-4b9b-a866-08c7b4ba8334}" id="{8472be07-ac90-4995-9e2b-364871d81a47}" parentId="{dfbd6224-095d-4227-ba50-d0226eaa2397}">
    <x18tc:text xml:space="preserve">Cepheid not included in estimates, as this would follow</x18tc:text>
  </x18tc:threadedComment>
  <x18tc:threadedComment ref="A1" dT="2026-07-09T13:42:05.00" personId="{204883d9-ce2c-4ba0-815c-503d69b6b19e}" id="{85e87b4f-0665-4ff1-a7bf-ca5b8bda4336}" done="0">
    <x18tc:text xml:space="preserve">Voyager sets gwcp:v1 tags on the SSM parameters. It seems like there will be some effort to switch to gwcp:v2 paradigm.</x18tc:text>
  </x18tc:threadedComment>
  <x18tc:threadedComment ref="D90" dT="2026-07-13T20:15:27.00" personId="{e28f70c1-ef12-4c89-8349-6cb27991439b}" id="{2b17d89a-3689-4cce-8887-e058dbabbee0}" done="0">
    <x18tc:text xml:space="preserve">Given the DR and express broker adoption commitments, for FY27, we will tackle design and implementation part of it. FY28 will target adoption</x18tc:text>
  </x18tc:threadedComment>
  <x18tc:threadedComment ref="A1" dT="2026-07-01T21:54:40.00" personId="{589022af-f09c-4505-b48f-db8f7a94e760}" id="{abfb9a7d-1cd0-4282-b0cb-6d63aa23e20e}" done="0">
    <x18tc:text xml:space="preserve">UI work as well</x18tc:text>
  </x18tc:threadedComment>
  <x18tc:threadedComment ref="A1" dT="2026-07-03T15:29:14.00" personId="{204883d9-ce2c-4ba0-815c-503d69b6b19e}" id="{0c1216fb-6df6-4f30-b103-b752ab8411ce}" done="0">
    <x18tc:text xml:space="preserve">Guard's "Entitlements" related needs are taken into account as part of Fulfillment Service estimate</x18tc:text>
  </x18tc:threadedComment>
  <x18tc:threadedComment ref="A1" dT="2026-07-13T19:30:34.00" personId="{e28f70c1-ef12-4c89-8349-6cb27991439b}" id="{5bf77df9-10b9-434c-8c6e-2f45267eaffc}" done="0">
    <x18tc:text xml:space="preserve">@kjayachandran@guidewire.com Please help us out here</x18tc:text>
    <x18tc:mentions>
      <x18tc:mention mentionpersonId="{0a13f472-83e1-4ed7-b5f7-f3e6fab0b303}" mentionId="{f0577a47-4914-4f7c-abfd-6c1a7c3bcb0e}" startIndex="0" length="28"/>
    </x18tc:mentions>
  </x18tc:threadedComment>
  <x18tc:threadedComment ref="A1" dT="2026-07-03T15:26:20.00" personId="{204883d9-ce2c-4ba0-815c-503d69b6b19e}" id="{c85c279c-c2d2-43bb-9588-b45a15ce5896}" done="0">
    <x18tc:text xml:space="preserve">Depends on:
-&gt; @atomar@guidewire.com Kanata (Tenant/Star.CRD removal handling)
-&gt; @mzawadzka@guidewire.com Okocim (Star/Asteroid removal)</x18tc:text>
    <x18tc:mentions>
      <x18tc:mention mentionpersonId="{b1e856c7-db14-4a0e-b4a6-b642dfdfb6ed}" mentionId="{113512d2-d8e0-4291-941e-bc8b3887c52d}" startIndex="15" length="21"/>
      <x18tc:mention mentionpersonId="{02efe0e5-fe76-4e6d-9da2-4e8a023aff8e}" mentionId="{16c26ad4-38e8-4851-9b39-3508f2dcda71}" startIndex="82" length="24"/>
    </x18tc:mentions>
  </x18tc:threadedComment>
  <x18tc:threadedComment ref="A1" dT="2026-07-17T20:41:22.00" personId="{7fd15008-94ee-4f23-a195-6d4dedd4ea7e}" id="{fb44fb78-c2d3-46dc-8194-f603fdd0de51}" parentId="{c85c279c-c2d2-43bb-9588-b45a15ce5896}">
    <x18tc:text xml:space="preserve">Moved to EA row</x18tc:text>
  </x18tc:threadedComment>
  <x18tc:threadedComment ref="A1" dT="2026-07-17T20:39:36.00" personId="{7fd15008-94ee-4f23-a195-6d4dedd4ea7e}" id="{9c7c2fa3-bdd6-411a-a3f0-f161032a0a77}" done="0">
    <x18tc:text xml:space="preserve">Moved to EA row</x18tc:text>
  </x18tc:threadedComment>
  <x18tc:threadedComment ref="A1" dT="2026-07-13T19:27:00.00" personId="{e28f70c1-ef12-4c89-8349-6cb27991439b}" id="{0d7523a4-0c07-498f-a63e-89b1a0de0c11}" done="0">
    <x18tc:text xml:space="preserve">@dhsharma@guidewire.com Please help us out here
Assigned to dhsharma@guidewire.com</x18tc:text>
    <x18tc:mentions>
      <x18tc:mention mentionpersonId="{8caf03f4-4a5e-4075-a37e-b0df4b86d6b2}" mentionId="{cfb66acc-38d1-4df5-a2cc-5659ad093420}" startIndex="0" length="23"/>
    </x18tc:mentions>
  </x18tc:threadedComment>
  <x18tc:threadedComment ref="A1" dT="2026-07-13T20:29:40.00" personId="{61cac862-3159-478e-bfc8-f7bb69b5daa8}" id="{566c7a17-7287-4656-bb59-a7a231b5a553}" parentId="{0d7523a4-0c07-498f-a63e-89b1a0de0c11}">
    <x18tc:text xml:space="preserve">@cpetluri@guidewire.com ,
I see the phases you listed on the page does not talk about Mithril.
But in your open questions, I see there is still a open question "The feasibility of using Mithril for mapping AuthZ roles to SPIFFE IDs"
Which I believe should define if Mithril is in scope.
Can you check and confirm the scope here?
Reassigned to cpetluri@guidewire.com</x18tc:text>
    <x18tc:mentions>
      <x18tc:mention mentionpersonId="{8406af2e-9a76-40b2-a7a0-2c6afa310f9d}" mentionId="{f70c6582-234a-44ea-b15d-759db937689e}" startIndex="0" length="23"/>
    </x18tc:mentions>
  </x18tc:threadedComment>
  <x18tc:threadedComment ref="A1" dT="2026-07-14T00:22:17.00" personId="{e28f70c1-ef12-4c89-8349-6cb27991439b}" id="{eb9ede27-e1db-43d1-ad44-82789b80a902}" parentId="{0d7523a4-0c07-498f-a63e-89b1a0de0c11}">
    <x18tc:text xml:space="preserve">@dhsharma@guidewire.com we are will have some more spikes to present the exact requirements. However, we are very sure that AuthZ will NOT be in the current scope of SPIRE implementation - only AuthN. 
Regarding the work for Mithril, for now, I request you to see if there's any adoption work for SPIRE if Mithril uses Helios.
CC: @llinville@guidewire.com
Reassigned to dhsharma@guidewire.com</x18tc:text>
    <x18tc:mentions>
      <x18tc:mention mentionpersonId="{8caf03f4-4a5e-4075-a37e-b0df4b86d6b2}" mentionId="{d591fa94-bb3a-44c6-a685-e89a58594b4e}" startIndex="0" length="23"/>
      <x18tc:mention mentionpersonId="{b3198054-86d9-46da-8d87-3b38363ad7c6}" mentionId="{d33ed949-4372-4f68-8c87-d301e95fe5d4}" startIndex="333" length="24"/>
    </x18tc:mentions>
  </x18tc:threadedComment>
  <x18tc:threadedComment ref="A1" dT="2026-07-14T12:15:50.00" personId="{9f5fb3f6-8305-48d1-8390-5bafcffd324a}" id="{b6cd9f1e-0f1d-49f3-8c58-13b02dd838cc}" parentId="{0d7523a4-0c07-498f-a63e-89b1a0de0c11}">
    <x18tc:text xml:space="preserve">@dhrsharma@guidewire.com @cpetluri@guidewire.com I'm interpreting the Initiative line item "Isolation: infra, Authn/Z/Security for AI Workload" to be an ask of the Mithril and Helios teams to support SPIRE based AuthZ</x18tc:text>
    <x18tc:mentions>
      <x18tc:mention mentionpersonId="{aa9777e6-fef9-497d-b0ae-bf9e52851404}" mentionId="{d2b4a387-ceea-4c55-a9cb-ad5ab9ea4da8}" startIndex="0" length="24"/>
      <x18tc:mention mentionpersonId="{8406af2e-9a76-40b2-a7a0-2c6afa310f9d}" mentionId="{2b801041-2031-4fbc-841d-233e1d866a3d}" startIndex="25" length="23"/>
    </x18tc:mentions>
  </x18tc:threadedComment>
  <x18tc:threadedComment ref="A1" dT="2026-07-14T17:26:02.00" personId="{e5d3dd1d-cf3f-4447-9596-54dc3fd5ef0c}" id="{0b77f1b4-980d-4ab3-b168-fb140807cca6}" parentId="{0d7523a4-0c07-498f-a63e-89b1a0de0c11}">
    <x18tc:text xml:space="preserve">@cpetluri@guidewire.com what is the difference between item 30 and 31, if both are related to adopting Spire? we have added 4 weeks estimate for item 30 as a consumer of the work that you will be delivering.</x18tc:text>
    <x18tc:mentions>
      <x18tc:mention mentionpersonId="{8406af2e-9a76-40b2-a7a0-2c6afa310f9d}" mentionId="{d67406a7-8910-4992-a4b0-79b84a945fad}" startIndex="0" length="23"/>
    </x18tc:mentions>
  </x18tc:threadedComment>
  <x18tc:threadedComment ref="A1" dT="2026-07-15T17:07:52.00" personId="{e28f70c1-ef12-4c89-8349-6cb27991439b}" id="{aa0957eb-4d36-44b9-a0b1-725e95bf833c}" parentId="{0d7523a4-0c07-498f-a63e-89b1a0de0c11}">
    <x18tc:text xml:space="preserve">Row 30 is to see if any of your Okta secrets need auto-rotation, then you migrate those secrets to Helios.
Row 31 is to switch to SPIRE from Okta for Helios AuthN
1 total reaction
Suresh Ramasamy reacted with 👍 at 07/15/2026, 5:47 PM UTC</x18tc:text>
  </x18tc:threadedComment>
  <x18tc:threadedComment ref="A1" dT="2026-07-15T17:56:56.00" personId="{e5d3dd1d-cf3f-4447-9596-54dc3fd5ef0c}" id="{56ec7550-852c-4904-ac1e-2218df26d3b1}" parentId="{0d7523a4-0c07-498f-a63e-89b1a0de0c11}">
    <x18tc:text xml:space="preserve">ok, i have updated the estimate for storing secrets and accessing it in both GADS/OPA from Helios using SPIRE
1 total reaction
Chakravarthy Petluri reacted with 👍 at 07/15/2026, 7:23 PM UTC</x18tc:text>
  </x18tc:threadedComment>
  <x18tc:threadedComment ref="A1" dT="2026-07-09T13:57:04.00" personId="{204883d9-ce2c-4ba0-815c-503d69b6b19e}" id="{a9a066da-8a18-46be-9e7d-a3c9652c403c}" done="0">
    <x18tc:text xml:space="preserve">Based on: https://guidewireconfluence.atlassian.net/wiki/spaces/CCS/pages/2337770289/wip+BYOK+-+Phase-1+-+Functional+and+Non-functional+requirements</x18tc:text>
    <x18tc:extLst>
      <ext uri="{F7C98A9C-CBB3-438F-8F68-D28B6AF4A901}">
        <xltc2:checksum/>
        <xltc2:hyperlink startIndex="10" length="138" url="https://guidewireconfluence.atlassian.net/wiki/spaces/CCS/pages/2337770289/wip+BYOK+-+Phase-1+-+Functional+and+Non-functional+requirements"/>
      </ext>
    </x18tc:extLst>
  </x18tc:threadedComment>
  <x18tc:threadedComment ref="A1" dT="2026-07-01T22:30:08.00" personId="{589022af-f09c-4505-b48f-db8f7a94e760}" id="{6e992194-2f50-4683-8df8-e0a8a7d5fc79}" done="0">
    <x18tc:text xml:space="preserve">Keti will have to manage the credentials</x18tc:text>
  </x18tc:threadedComment>
  <x18tc:threadedComment ref="A1" dT="2026-07-16T18:12:14.00" personId="{c6de0e33-195e-4738-ae51-ff8f5a192ad9}" id="{f44a21f1-0f32-4f12-8d8a-67a38f848c32}" done="1">
    <x18tc:text xml:space="preserve">@gbouzeid@guidewire.com Do you know what work tymbark has for this item?
I see https://guidewirejira.atlassian.net/browse/GWCP-73456 is closed</x18tc:text>
    <x18tc:mentions>
      <x18tc:mention mentionpersonId="{745d7f76-f965-499b-8df6-91dbc43b9fb3}" mentionId="{c4c25eb5-7d92-4100-bae0-0e3088ce0d47}" startIndex="0" length="23"/>
    </x18tc:mentions>
    <x18tc:extLst>
      <ext uri="{F7C98A9C-CBB3-438F-8F68-D28B6AF4A901}">
        <xltc2:checksum/>
        <xltc2:hyperlink startIndex="79" length="53" url="https://guidewirejira.atlassian.net/browse/GWCP-73456"/>
      </ext>
    </x18tc:extLst>
  </x18tc:threadedComment>
  <x18tc:threadedComment ref="A1" dT="2026-07-16T18:30:34.00" personId="{54eae484-93a2-444b-bad4-b9c1b9b87098}" id="{68820354-4a4c-49fd-86d7-e536b3cb5eb0}" parentId="{f44a21f1-0f32-4f12-8d8a-67a38f848c32}">
    <x18tc:text xml:space="preserve">this may have been added by @mzawadzka@guidewire.com adding her to comment as needed thx</x18tc:text>
    <x18tc:mentions>
      <x18tc:mention mentionpersonId="{02efe0e5-fe76-4e6d-9da2-4e8a023aff8e}" mentionId="{941c216b-9b36-45f6-8b3d-69774bae5b88}" startIndex="28" length="24"/>
    </x18tc:mentions>
  </x18tc:threadedComment>
  <x18tc:threadedComment ref="A1" dT="2026-07-17T10:31:44.00" personId="{9a4dd64a-64e5-4cec-902d-a9c164a918af}" id="{38da28f5-88f0-4a70-a502-489242790b6e}" parentId="{f44a21f1-0f32-4f12-8d8a-67a38f848c32}">
    <x18tc:text xml:space="preserve">this is Tymbark dependencies @kwcislo@guidewire.com is there any dependencies on tymbark?</x18tc:text>
    <x18tc:mentions>
      <x18tc:mention mentionpersonId="{8ec8fb78-e716-416a-8d49-5396e860cdda}" mentionId="{9dadd94f-25c6-4cd6-8737-d71fc4a3706a}" startIndex="29" length="22"/>
    </x18tc:mentions>
  </x18tc:threadedComment>
  <x18tc:threadedComment ref="A1" dT="2026-07-22T12:07:22.00" personId="{a54b1372-8648-4c98-a592-ef9a12c7eb12}" id="{d5fc4198-f1fa-4ac9-b4ad-ad6c3c40d4c9}" parentId="{f44a21f1-0f32-4f12-8d8a-67a38f848c32}">
    <x18tc:text xml:space="preserve">Hi @gbouzeid@guidewire.com I discussed this initiative again with the Tymbark Pod, and we don’t see any dependencies on our side. We initially entered "2" as a placeholder for potential work, but it looks like there won’t be any work needed from us after all.</x18tc:text>
    <x18tc:mentions>
      <x18tc:mention mentionpersonId="{745d7f76-f965-499b-8df6-91dbc43b9fb3}" mentionId="{99f16d91-bfa2-4cbb-90f3-30d7d718f892}" startIndex="3" length="23"/>
    </x18tc:mentions>
  </x18tc:threadedComment>
  <x18tc:threadedComment ref="A1" dT="2026-07-22T15:28:02.00" personId="{54eae484-93a2-444b-bad4-b9c1b9b87098}" id="{2ab75006-2f05-4be8-bc31-8afb7059a932}" parentId="{f44a21f1-0f32-4f12-8d8a-67a38f848c32}">
    <x18tc:text xml:space="preserve">thanks for following up on this @kwcislo@guidewire.com</x18tc:text>
    <x18tc:mentions>
      <x18tc:mention mentionpersonId="{8ec8fb78-e716-416a-8d49-5396e860cdda}" mentionId="{de9412dc-f507-41a7-ac4d-38e990e3f72d}" startIndex="32" length="22"/>
    </x18tc:mentions>
  </x18tc:threadedComment>
  <x18tc:threadedComment ref="A1" dT="2026-07-14T19:28:32.00" personId="{e28f70c1-ef12-4c89-8349-6cb27991439b}" id="{9f70162e-5b01-4808-905d-c760434a3a30}" done="0">
    <x18tc:text xml:space="preserve">@msmriti@guidewire.com 
Please look into the one-pager and help us out here. If you migrate to IAM as part of DR project, you can mark no dependency for express brokers adoption
Assigned to msmriti@guidewire.com</x18tc:text>
    <x18tc:mentions>
      <x18tc:mention mentionpersonId="{4fa32788-b19d-42ec-b2db-713f60a44711}" mentionId="{3cd607b8-c604-4987-b84f-14435750f62a}" startIndex="0" length="22"/>
    </x18tc:mentions>
  </x18tc:threadedComment>
  <x18tc:threadedComment ref="A1" dT="2026-07-14T19:59:53.00" personId="{b55620b1-97e8-4c3f-9b2b-992c195732e8}" id="{44b0ef43-74c4-4796-b2b2-968dc27f29ba}" parentId="{9f70162e-5b01-4808-905d-c760434a3a30}">
    <x18tc:text xml:space="preserve">@cpetluri@guidewire.com Need clarity on this. Capitola has no DR migration related dependency.
Is this for Nova microservices? It is mostly the nova users who needs to migrate MSK as it is added as a custom code for them.</x18tc:text>
    <x18tc:mentions>
      <x18tc:mention mentionpersonId="{8406af2e-9a76-40b2-a7a0-2c6afa310f9d}" mentionId="{9c75abc4-4aeb-4a47-ae88-0da9368b29b8}" startIndex="0" length="23"/>
    </x18tc:mentions>
  </x18tc:threadedComment>
  <x18tc:threadedComment ref="A1" dT="2026-07-15T17:18:20.00" personId="{e28f70c1-ef12-4c89-8349-6cb27991439b}" id="{2f1ddc96-94d3-4938-a39a-656413ab0f8f}" parentId="{9f70162e-5b01-4808-905d-c760434a3a30}">
    <x18tc:text xml:space="preserve">This is for MSK. If you have anything to do with MSK connections, you have some work. If not, you can mark no dependency</x18tc:text>
  </x18tc:threadedComment>
  <x18tc:threadedComment ref="A1" dT="2026-07-01T22:31:30.00" personId="{589022af-f09c-4505-b48f-db8f7a94e760}" id="{e86dc618-caea-4520-b5a6-74e0f81b1715}" done="0">
    <x18tc:text xml:space="preserve">Nova keti credentials management changes</x18tc:text>
  </x18tc:threadedComment>
  <x18tc:threadedComment ref="A1" dT="2026-07-09T13:43:26.00" personId="{204883d9-ce2c-4ba0-815c-503d69b6b19e}" id="{822638ff-1b31-41b8-9993-922027340d1a}" done="0">
    <x18tc:text xml:space="preserve">Additional effort which may be needed for LWT provisioning.</x18tc:text>
  </x18tc:threadedComment>
  <x18tc:threadedComment ref="A1" dT="2026-07-17T20:40:57.00" personId="{7fd15008-94ee-4f23-a195-6d4dedd4ea7e}" id="{dea5e0fb-1069-47f7-bfd2-85f2e4193380}" parentId="{822638ff-1b31-41b8-9993-922027340d1a}">
    <x18tc:text xml:space="preserve">IS:
- Automating de-provisioning of Lightweight Tenant (non-IS Carriers only)
IS NOT:
- Automating provisioning of Lightweight Tenant (already done; non-IS Carriers only)
- Converting LWT Tenant to GWCP Tenant (e.g. provisioning PrC at first then adding PC)</x18tc:text>
  </x18tc:threadedComment>
  <x18tc:threadedComment ref="A1" dT="2026-07-13T19:28:27.00" personId="{e28f70c1-ef12-4c89-8349-6cb27991439b}" id="{3590f2c0-3045-41ca-a999-98014aecc17f}" done="0">
    <x18tc:text xml:space="preserve">@atomar@guidewire.com Please help us out here</x18tc:text>
    <x18tc:mentions>
      <x18tc:mention mentionpersonId="{b1e856c7-db14-4a0e-b4a6-b642dfdfb6ed}" mentionId="{43ecfc20-811c-4185-8e00-cc569a933189}" startIndex="0" length="21"/>
    </x18tc:mentions>
  </x18tc:threadedComment>
  <x18tc:threadedComment ref="A1" dT="2026-07-14T21:56:12.00" personId="{5ec39123-4a15-47f2-87a8-13dfe758f6e2}" id="{815fbb51-94f3-442b-b7d8-47e9d8bda4ef}" parentId="{3590f2c0-3045-41ca-a999-98014aecc17f}">
    <x18tc:text xml:space="preserve">I put the estimate to switch RHSDR provisioner authenticating with Helios using SPIRE under "Okta secrets rotation"; feel free to move it here if needed.</x18tc:text>
  </x18tc:threadedComment>
  <x18tc:threadedComment ref="A1" dT="2026-07-15T16:58:34.00" personId="{e28f70c1-ef12-4c89-8349-6cb27991439b}" id="{15e5a478-5339-4fa0-b552-cc3a504de8db}" parentId="{3590f2c0-3045-41ca-a999-98014aecc17f}">
    <x18tc:text xml:space="preserve">I am moving it here accordingly. Thank you</x18tc:text>
  </x18tc:threadedComment>
  <x18tc:threadedComment ref="A1" dT="2026-07-03T14:25:12.00" personId="{204883d9-ce2c-4ba0-815c-503d69b6b19e}" id="{27c3dd1b-f52a-4b54-af30-cde7a325601b}" done="0">
    <x18tc:text xml:space="preserve">IS:
- Automating de-provisioning of Lightweight Tenant (non-IS Carriers only)
IS NOT:
- Automating provisioning of Lightweight Tenant (already done; non-IS Carriers only)
- Converting LWT Tenant to GWCP Tenant (e.g. provisioning PrC at first then adding PC)</x18tc:text>
  </x18tc:threadedComment>
  <x18tc:threadedComment ref="A1" dT="2026-07-03T14:11:36.00" personId="{204883d9-ce2c-4ba0-815c-503d69b6b19e}" id="{5662ca7d-41f3-428b-91fb-3619c01edbb3}" done="0">
    <x18tc:text xml:space="preserve">IS:
-&gt; Assigning dedicated Okta Group while provisioning UAA users.
IS NOT:
-&gt; switching from UAA to Okta Realms</x18tc:text>
  </x18tc:threadedComment>
  <x18tc:threadedComment ref="G45" dT="2026-06-24T21:41:01.00" personId="{5ec39123-4a15-47f2-87a8-13dfe758f6e2}" id="{d3831100-c229-426b-b685-e9273e65b7f1}" done="1">
    <x18tc:text xml:space="preserve">@ujain@guidewire.com @atomar@guidewire.com this is what I was trying to ask, I think it should be "Local Product Initiative"; not "Not in FY 2027"
Assigned to ujain@guidewire.com</x18tc:text>
    <x18tc:mentions>
      <x18tc:mention mentionpersonId="{879de53f-a744-4b67-987f-1006b3ceb550}" mentionId="{7410ebee-d1a7-4be6-8491-231f6ac66323}" startIndex="0" length="20"/>
      <x18tc:mention mentionpersonId="{b1e856c7-db14-4a0e-b4a6-b642dfdfb6ed}" mentionId="{92e02558-e9c9-4f1e-8b24-a92d60a62e90}" startIndex="21" length="21"/>
    </x18tc:mentions>
  </x18tc:threadedComment>
  <x18tc:threadedComment ref="G45" dT="2026-06-24T23:34:14.00" personId="{5ec39123-4a15-47f2-87a8-13dfe758f6e2}" id="{512be64f-4d90-44f0-95b2-a48201337c60}" parentId="{d3831100-c229-426b-b685-e9273e65b7f1}">
    <x18tc:text xml:space="preserve">@ujain@guidewire.com now it has changed to "Duplicate"</x18tc:text>
    <x18tc:mentions>
      <x18tc:mention mentionpersonId="{879de53f-a744-4b67-987f-1006b3ceb550}" mentionId="{c253bda7-ae50-47b2-8373-3cb00cf8aeb8}" startIndex="0" length="20"/>
    </x18tc:mentions>
  </x18tc:threadedComment>
  <x18tc:threadedComment ref="G45" dT="2026-06-25T15:12:08.00" personId="{fd59b3ae-1428-41b2-8457-2cfb0f5b7546}" id="{19ba7d8d-dca9-42d1-8fc9-068ca5b53577}" parentId="{d3831100-c229-426b-b685-e9273e65b7f1}">
    <x18tc:text xml:space="preserve">@jdobson@guidewire.com what I meant was this is all bundled under CRDR for Prod... bucket ..we cannot list all features that are needed for CRDR.. hence I triaged it as Duplicate of CRDR for Prod
Reassigned to jdobson@guidewire.com</x18tc:text>
    <x18tc:mentions>
      <x18tc:mention mentionpersonId="{fb559fcf-211f-4073-84f5-555b4ff178df}" mentionId="{a6edb4d2-b665-4501-a115-7ca1f14bc3d4}" startIndex="0" length="22"/>
    </x18tc:mentions>
  </x18tc:threadedComment>
  <x18tc:threadedComment ref="G45" dT="2026-06-26T13:44:28.00" personId="{5ec39123-4a15-47f2-87a8-13dfe758f6e2}" id="{c6fdd21b-5931-440e-bc8a-aafe04c481e7}" parentId="{d3831100-c229-426b-b685-e9273e65b7f1}">
    <x18tc:text xml:space="preserve">ok</x18tc:text>
  </x18tc:threadedComment>
  <x18tc:threadedComment ref="A1" dT="2026-07-16T16:47:11.00" personId="{204883d9-ce2c-4ba0-815c-503d69b6b19e}" id="{485034a2-ddfb-4a16-b278-866994cc2856}" done="0">
    <x18tc:text xml:space="preserve">@fvarghese@guidewire.com could you please drop a line why you changed it from "No Dependency" to "2". I wonder what we missed, thx.
Assigned to fvarghese@guidewire.com</x18tc:text>
    <x18tc:mentions>
      <x18tc:mention mentionpersonId="{7906c3cb-3c2e-48ca-8e54-67d5eed803d4}" mentionId="{ff60b1b5-fa6a-4241-9161-91160e539681}" startIndex="0" length="24"/>
    </x18tc:mentions>
  </x18tc:threadedComment>
  <x18tc:threadedComment ref="A1" dT="2026-07-16T16:50:00.00" personId="{c5185a3c-c389-4769-9801-bc01f799d56e}" id="{be10474e-0360-4328-bdd3-687753d342dd}" parentId="{485034a2-ddfb-4a16-b278-866994cc2856}">
    <x18tc:text xml:space="preserve">Hi @mzajac@guidewire.com , since michalowice handles voyager, @lkota@guidewire.com and I assumed there will be audit events/access logs that will be required from Voyager when new tenants are provisioned.</x18tc:text>
    <x18tc:mentions>
      <x18tc:mention mentionpersonId="{7290d324-2e37-4c44-bab7-310330e7fcf9}" mentionId="{fc6bd6c8-af02-4a28-8cf9-8eb1df2bd057}" startIndex="3" length="21"/>
      <x18tc:mention mentionpersonId="{38671922-a19d-4120-870a-84f4fb8c1c6e}" mentionId="{228ee8c8-79e8-49a9-9eae-92d2708b4d4a}" startIndex="62" length="20"/>
    </x18tc:mentions>
  </x18tc:threadedComment>
  <x18tc:threadedComment ref="A1" dT="2026-07-17T12:50:00.00" personId="{204883d9-ce2c-4ba0-815c-503d69b6b19e}" id="{15c03ddb-09ff-4505-a1be-e59d61ea1424}" parentId="{485034a2-ddfb-4a16-b278-866994cc2856}">
    <x18tc:text xml:space="preserve">Hi @fvarghese@guidewire.com,
Just want to confirm the scope here - are we talking about audit/access logs that would be gathered and then made accessible to a Customer? In other words, logs for services the Customer uses in a self-service manner, where the Customer would reasonably expect to have access to them?
If that's the case, I'd note that Voyager is an internal tool, not customer-facing - so I'd assume Voyager's logs shouldn't be exposed to the Customer.
Let me know your thoughts, thanks.</x18tc:text>
    <x18tc:mentions>
      <x18tc:mention mentionpersonId="{7906c3cb-3c2e-48ca-8e54-67d5eed803d4}" mentionId="{92cb7948-297e-4a26-9667-b9060e5bcd76}" startIndex="3" length="24"/>
    </x18tc:mentions>
  </x18tc:threadedComment>
  <x18tc:threadedComment ref="A1" dT="2026-07-18T01:16:22.00" personId="{c5185a3c-c389-4769-9801-bc01f799d56e}" id="{f008f0f1-8a70-47d8-b57c-5f4ac444df02}" parentId="{485034a2-ddfb-4a16-b278-866994cc2856}">
    <x18tc:text xml:space="preserve">Thank you Michal. That clarifies things a bit and since Voyager isnt exposed to the Customer, I doubt it needs audit/access logs for Customer use. I have set this to No Dependency now. Thank you!</x18tc:text>
  </x18tc:threadedComment>
  <x18tc:threadedComment ref="A1" dT="2026-07-06T21:34:26.00" personId="{7d6d157a-310c-4a7e-b624-fd05cd31f5f1}" id="{81ff0d0e-7e11-4823-8e55-b5c18a2cc15e}" done="0">
    <x18tc:text xml:space="preserve">@gbouzeid@guidewire.com :  : Can you create a 1 pager in confluence and link it here for the readers to know what this is about and as an expected outcome ?</x18tc:text>
    <x18tc:mentions>
      <x18tc:mention mentionpersonId="{745d7f76-f965-499b-8df6-91dbc43b9fb3}" mentionId="{24f7c021-e6d3-4907-b195-96933217b358}" startIndex="0" length="23"/>
    </x18tc:mentions>
  </x18tc:threadedComment>
  <x18tc:threadedComment ref="A1" dT="2026-07-06T21:55:27.00" personId="{54eae484-93a2-444b-bad4-b9c1b9b87098}" id="{a8e75ac7-0f3a-4cb6-81d2-cef8e2b1e0e4}" parentId="{81ff0d0e-7e11-4823-8e55-b5c18a2cc15e}">
    <x18tc:text xml:space="preserve">oh sure - the RFC is at this location: https://guidewireconfluence.atlassian.net/wiki/spaces/CCS/pages/1310982635/rfc-24+WIP+Karpenter+as+autoscaler - I will create another page reflecting more about the why, the what, and the outcomes thx</x18tc:text>
    <x18tc:extLst>
      <ext uri="{F7C98A9C-CBB3-438F-8F68-D28B6AF4A901}">
        <xltc2:checksum/>
        <xltc2:hyperlink startIndex="39" length="109" url="https://guidewireconfluence.atlassian.net/wiki/spaces/CCS/pages/1310982635/rfc-24+WIP+Karpenter+as+autoscaler"/>
      </ext>
    </x18tc:extLst>
  </x18tc:threadedComment>
  <x18tc:threadedComment ref="A1" dT="2026-07-08T18:16:15.00" personId="{54eae484-93a2-444b-bad4-b9c1b9b87098}" id="{dea08008-025d-4005-9110-3486e177f4ed}" parentId="{81ff0d0e-7e11-4823-8e55-b5c18a2cc15e}">
    <x18tc:text xml:space="preserve">added https://guidewireconfluence.atlassian.net/wiki/spaces/CCS/pages/3410919965/Karpenter+GA @msherwin@guidewire.com @vsura@guidewire.com need ure help with the review. thx!</x18tc:text>
    <x18tc:mentions>
      <x18tc:mention mentionpersonId="{24de4957-e6f2-42b2-a0c8-54c40f8be555}" mentionId="{6464c366-363b-47f6-b243-920c3e7183fe}" startIndex="94" length="23"/>
      <x18tc:mention mentionpersonId="{658d383e-acf1-4b72-948a-362d3cf505a2}" mentionId="{0821c835-0b01-42e7-98c1-d27594d49cdd}" startIndex="118" length="20"/>
    </x18tc:mentions>
    <x18tc:extLst>
      <ext uri="{F7C98A9C-CBB3-438F-8F68-D28B6AF4A901}">
        <xltc2:checksum/>
        <xltc2:hyperlink startIndex="6" length="87" url="https://guidewireconfluence.atlassian.net/wiki/spaces/CCS/pages/3410919965/Karpenter+GA"/>
      </ext>
    </x18tc:extLst>
  </x18tc:threadedComment>
  <x18tc:threadedComment ref="A1" dT="2026-07-15T20:06:37.00" personId="{54eae484-93a2-444b-bad4-b9c1b9b87098}" id="{15fad6c6-ca45-4e4e-84fd-ed8b5e2e3232}" done="1">
    <x18tc:text xml:space="preserve">@kjayachandran@guidewire.com need your help on this - if no dependency please update thx
Assigned to kjayachandran@guidewire.com</x18tc:text>
    <x18tc:mentions>
      <x18tc:mention mentionpersonId="{0a13f472-83e1-4ed7-b5f7-f3e6fab0b303}" mentionId="{d97c59df-9d18-4788-bea0-61def8e0cedf}" startIndex="0" length="28"/>
    </x18tc:mentions>
  </x18tc:threadedComment>
  <x18tc:threadedComment ref="A1" dT="2026-07-03T14:54:50.00" personId="{204883d9-ce2c-4ba0-815c-503d69b6b19e}" id="{bbed9b5b-6c30-43aa-9b78-2d6549c4c686}" done="0">
    <x18tc:text xml:space="preserve">IS:
-&gt; Replacing Voyager for provisioning/deprovisioning Customer Tenants
-&gt; Fulfillment
--&gt; Dashboard (mechanism to answer the question what Carrier is entitled to vs what was provisioned; mechanism to trigger Day2 (postponed) provisioning)
--&gt; Interpreter (mechanism to translate commercial entitlements into provisioning/deprovisioning plan; mechanism to identify drift between provisioned and to be provisioned/deprovisioned entitlements)
--&gt; Executor (mechanism to execute a provisioning/deprovisioning plan)
--&gt; Steps Catalog (mechanism to register and store supplied by each product provisioning steps)
IS NOT:
-&gt; Replacing Voyager for provisioning/deprovisioning Internal Tenants
-&gt; Provisioning/deprovisioning Sandbox Stars</x18tc:text>
  </x18tc:threadedComment>
  <x18tc:threadedComment ref="A1" dT="2026-07-15T20:08:37.00" personId="{54eae484-93a2-444b-bad4-b9c1b9b87098}" id="{6fb7f266-93a4-410e-8c74-f3278bc6e0a4}" done="1">
    <x18tc:text xml:space="preserve">@atomar@guidewire.com need your help on this - if no dependency please update as no dependency thx
Assigned to atomar@guidewire.com</x18tc:text>
    <x18tc:mentions>
      <x18tc:mention mentionpersonId="{b1e856c7-db14-4a0e-b4a6-b642dfdfb6ed}" mentionId="{229d385c-ce09-4433-96af-0d1665157ea7}" startIndex="0" length="21"/>
    </x18tc:mentions>
  </x18tc:threadedComment>
  <x18tc:threadedComment ref="A1" dT="2026-07-17T17:54:55.00" personId="{53eacbaa-b284-476d-89c0-8a0d10ce7b50}" id="{becfc25c-68da-4d0d-ac79-51cc5c67fd89}" parentId="{6fb7f266-93a4-410e-8c74-f3278bc6e0a4}">
    <x18tc:text xml:space="preserve">@atomar@guidewire.com I am assuming no dependency, hence marking it as 0, if different pls update</x18tc:text>
    <x18tc:mentions>
      <x18tc:mention mentionpersonId="{b1e856c7-db14-4a0e-b4a6-b642dfdfb6ed}" mentionId="{fdacdb8f-c0c9-40cf-8259-6664f01f314a}" startIndex="0" length="21"/>
    </x18tc:mentions>
  </x18tc:threadedComment>
  <x18tc:threadedComment ref="A1" dT="2026-07-22T15:40:32.00" personId="{7fd15008-94ee-4f23-a195-6d4dedd4ea7e}" id="{1810d06b-072d-4c6c-a5cd-add3fd9f2510}" parentId="{6fb7f266-93a4-410e-8c74-f3278bc6e0a4}">
    <x18tc:text xml:space="preserve">agree</x18tc:text>
  </x18tc:threadedComment>
  <x18tc:threadedComment ref="A1" dT="2026-07-16T02:20:26.00" personId="{9b7c6d63-494a-4fe4-a4ff-6214c3fedfaa}" id="{50925f7a-8dab-4bef-bca4-8da698b9bcba}" done="0">
    <x18tc:text xml:space="preserve">@cpetluri@guidewire.com I don't see any direct dependencies for Gokarna as part of this initiative.
1 total reaction
Chakravarthy Petluri reacted with 👍 at 07/17/2026, 4:18 PM UTC
Assigned to cpetluri@guidewire.com</x18tc:text>
    <x18tc:mentions>
      <x18tc:mention mentionpersonId="{8406af2e-9a76-40b2-a7a0-2c6afa310f9d}" mentionId="{153f075c-64f0-4b1a-9794-541b3d1d1b6d}" startIndex="0" length="23"/>
    </x18tc:mentions>
  </x18tc:threadedComment>
  <x18tc:threadedComment ref="A1" dT="2026-07-14T21:20:50.00" personId="{e28f70c1-ef12-4c89-8349-6cb27991439b}" id="{55819313-d8dc-4fb7-b35f-145aaaa360fe}" done="0">
    <x18tc:text xml:space="preserve">@kwcislo@guidewire.com Please look into the one-pager and help us out here. If you migrate to IAM as part of DR project, you can mark no dependency for express brokers adoption
Assigned to kwcislo@guidewire.com</x18tc:text>
    <x18tc:mentions>
      <x18tc:mention mentionpersonId="{8ec8fb78-e716-416a-8d49-5396e860cdda}" mentionId="{e1242908-4f10-415b-85de-fb867a3ed278}" startIndex="0" length="22"/>
    </x18tc:mentions>
  </x18tc:threadedComment>
  <x18tc:threadedComment ref="A1" dT="2026-07-15T18:34:28.00" personId="{c6de0e33-195e-4738-ae51-ff8f5a192ad9}" id="{3fb26e25-9f35-4d83-a08c-07a0e5e43b1f}" done="0">
    <x18tc:text xml:space="preserve">HA Proxy is still there in some clusters, we need to special handle those</x18tc:text>
  </x18tc:threadedComment>
  <x18tc:threadedComment ref="A1" dT="2026-07-14T21:21:15.00" personId="{e28f70c1-ef12-4c89-8349-6cb27991439b}" id="{ff6b9a55-00e6-4472-9d63-7d667856a5c0}" done="0">
    <x18tc:text xml:space="preserve">@atomar@guidewire.com Please look into the one-pager and help us out here. If you migrate to IAM as part of DR project, you can mark no dependency for express brokers adoption
Assigned to atomar@guidewire.com</x18tc:text>
    <x18tc:mentions>
      <x18tc:mention mentionpersonId="{b1e856c7-db14-4a0e-b4a6-b642dfdfb6ed}" mentionId="{fa8ca03e-5f20-4641-b609-f340ed2a5c82}" startIndex="0" length="21"/>
    </x18tc:mentions>
  </x18tc:threadedComment>
  <x18tc:threadedComment ref="A1" dT="2026-07-14T21:42:29.00" personId="{5ec39123-4a15-47f2-87a8-13dfe758f6e2}" id="{191f6c85-9c92-4a98-bd79-ba1e4e0315cc}" parentId="{ff6b9a55-00e6-4472-9d63-7d667856a5c0}">
    <x18tc:text xml:space="preserve">@cpetluri@guidewire.com Vulcan doesn't own any µS that connects to MSK, so I have set this to no dependency.</x18tc:text>
    <x18tc:mentions>
      <x18tc:mention mentionpersonId="{8406af2e-9a76-40b2-a7a0-2c6afa310f9d}" mentionId="{872a73de-3b46-46fa-9f7a-5b8074370297}" startIndex="0" length="23"/>
    </x18tc:mentions>
  </x18tc:threadedComment>
  <x18tc:threadedComment ref="A1" dT="2026-07-15T16:57:25.00" personId="{e28f70c1-ef12-4c89-8349-6cb27991439b}" id="{223a6314-00f0-4b92-95ef-228b4a48d8d6}" parentId="{ff6b9a55-00e6-4472-9d63-7d667856a5c0}">
    <x18tc:text xml:space="preserve">Thank you</x18tc:text>
  </x18tc:threadedComment>
  <x18tc:threadedComment ref="A1" dT="2026-07-14T21:23:23.00" personId="{e28f70c1-ef12-4c89-8349-6cb27991439b}" id="{2e921182-298c-4ee4-bc31-a1ad965bb16f}" done="0">
    <x18tc:text xml:space="preserve">@dhsharma@guidewire.com Please look into the one-pager and help us out here. If you migrate to IAM as part of DR project, you can mark no dependency for express brokers adoption - I believe guard /Mithril will have an effect here based on the local initiative - "Keti Per-IZnDeployment and Event locality"
1 total reaction
Chakravarthy Petluri reacted with 👍 at 07/17/2026, 4:19 PM UTC
Assigned to dhsharma@guidewire.com</x18tc:text>
    <x18tc:mentions>
      <x18tc:mention mentionpersonId="{8caf03f4-4a5e-4075-a37e-b0df4b86d6b2}" mentionId="{b2c440b2-05c6-4a01-81bd-36c10c30c738}" startIndex="0" length="23"/>
    </x18tc:mentions>
  </x18tc:threadedComment>
  <x18tc:threadedComment ref="A1" dT="2026-07-16T23:36:14.00" personId="{4829e030-29ff-4d9e-9e93-390c2a54ea65}" id="{d077d788-d6df-4348-bb18-985672eb884f}" parentId="{2e921182-298c-4ee4-bc31-a1ad965bb16f}">
    <x18tc:text xml:space="preserve">After some analysis what needs to be done, I estimate it to be a 4-week / 2-sol effort - just to switch to IAM authentication in Keti and enable DR readiness. MSK Express Borkers adoption requires additional work to fix the Keti deployment topology (so that we can retire cross-IZ MSK connections), so I'm adding a separate estimate there.</x18tc:text>
  </x18tc:threadedComment>
  <x18tc:threadedComment ref="A1" dT="2026-07-02T12:15:30.00" personId="{204883d9-ce2c-4ba0-815c-503d69b6b19e}" id="{8d3bac53-c85e-468f-a24d-997b147314a7}" done="0">
    <x18tc:text xml:space="preserve">Atlas/Voyager may be impacted. Allocating time for design phase participation.</x18tc:text>
  </x18tc:threadedComment>
  <x18tc:threadedComment ref="D2" dT="2026-07-02T17:17:59.00" personId="{d2c41af9-dcab-4077-9f50-4ed638d50c9f}" id="{3cf0e7c6-c6da-4fd3-a754-974a246d4406}" done="0">
    <x18tc:text xml:space="preserve">This link appears to be for the line item below (audit logging). @pdomider@guidewire.com Do you have permission to edit this cell? May be good to add relevant OAM Postgres and/or Cepheid docs but we should at least remove the misleading link.
cc: @rasubramanian@guidewire.com
Assigned to pdomider@guidewire.com</x18tc:text>
    <x18tc:mentions>
      <x18tc:mention mentionpersonId="{9bf17f32-22f2-482c-9e47-de425774ad20}" mentionId="{1cb8212e-aa67-4a54-8640-9f12e4f83b5c}" startIndex="65" length="23"/>
      <x18tc:mention mentionpersonId="{e24471b3-06fb-4838-ab9a-5a17bd74c488}" mentionId="{925aa3db-1b94-4ace-a110-f0f698471b73}" startIndex="247" length="28"/>
    </x18tc:mentions>
  </x18tc:threadedComment>
  <x18tc:threadedComment ref="D2" dT="2026-07-03T15:07:22.00" personId="{f6366c9e-cebb-4b9b-a866-08c7b4ba8334}" id="{92b7fd0f-38b4-467f-b59e-da673f99e28c}" parentId="{3cf0e7c6-c6da-4fd3-a754-974a246d4406}">
    <x18tc:text xml:space="preserve">Document is locked. @ujain@guidewire.com we need a super-hero here, can you please restore the previous value of this cell and copy this link to the line below (add to existing text)?
Reassigned to ujain@guidewire.com</x18tc:text>
    <x18tc:mentions>
      <x18tc:mention mentionpersonId="{879de53f-a744-4b67-987f-1006b3ceb550}" mentionId="{9a4755a3-12e4-4ad0-aeae-70a36d7f7567}" startIndex="20" length="20"/>
    </x18tc:mentions>
  </x18tc:threadedComment>
  <x18tc:threadedComment ref="A1" dT="2026-06-30T18:50:12.00" personId="{b8c5c968-34dc-4851-bdeb-1b4e1462cb2b}" id="{62977468-ba3f-4026-81df-9eacdef1b735}" done="0">
    <x18tc:text xml:space="preserve">We need to develop a new Operator to help enable tenant and namespace-scoped quotas.</x18tc:text>
  </x18tc:threadedComment>
  <x18tc:threadedComment ref="A1" dT="2026-07-15T18:35:13.00" personId="{c6de0e33-195e-4738-ae51-ff8f5a192ad9}" id="{5646fe01-fa24-4a57-9272-8c824019160f}" done="0">
    <x18tc:text xml:space="preserve">Support spot nodes, cost team needs to adjust configs</x18tc:text>
  </x18tc:threadedComment>
  <x18tc:threadedComment ref="A1" dT="2026-07-03T15:53:17.00" personId="{204883d9-ce2c-4ba0-815c-503d69b6b19e}" id="{06140aa9-ab26-43ca-ab2b-2b9c563d1a08}" done="0">
    <x18tc:text xml:space="preserve">@cpetluri@guidewire.com please drop a line about what changes are needed, thanks.</x18tc:text>
    <x18tc:mentions>
      <x18tc:mention mentionpersonId="{8406af2e-9a76-40b2-a7a0-2c6afa310f9d}" mentionId="{ae1dabd7-b512-4fb8-8965-94ab6fae696b}" startIndex="0" length="23"/>
    </x18tc:mentions>
  </x18tc:threadedComment>
  <x18tc:threadedComment ref="A1" dT="2026-07-06T13:26:59.00" personId="{e28f70c1-ef12-4c89-8349-6cb27991439b}" id="{4b1c6f5e-f13d-4734-9922-63110b20484f}" parentId="{06140aa9-ab26-43ca-ab2b-2b9c563d1a08}">
    <x18tc:text xml:space="preserve">@llinville@guidewire.com I don't think we need any changes here after handing over Atlas. Please suggest otherwise</x18tc:text>
    <x18tc:mentions>
      <x18tc:mention mentionpersonId="{b3198054-86d9-46da-8d87-3b38363ad7c6}" mentionId="{40bad634-e56a-42bf-9d56-f2df399c5eeb}" startIndex="0" length="24"/>
    </x18tc:mentions>
  </x18tc:threadedComment>
  <x18tc:threadedComment ref="A1" dT="2026-07-06T21:19:45.00" personId="{7d6d157a-310c-4a7e-b624-fd05cd31f5f1}" id="{20593ed3-3ea7-4f4a-97f7-da843309f956}" parentId="{06140aa9-ab26-43ca-ab2b-2b9c563d1a08}">
    <x18tc:text xml:space="preserve">@cpetluri@guidewire.com : so the 4 weeks effort is for the handoff? @mzajac@guidewire.com I am assuming there is effort to take the handoff as well and the dependency for you is on brilliant.</x18tc:text>
    <x18tc:mentions>
      <x18tc:mention mentionpersonId="{8406af2e-9a76-40b2-a7a0-2c6afa310f9d}" mentionId="{6e7152f0-a4b7-44f8-a5a2-ae0f8eade823}" startIndex="0" length="23"/>
      <x18tc:mention mentionpersonId="{7290d324-2e37-4c44-bab7-310330e7fcf9}" mentionId="{b8887cfe-8f00-41b3-bff2-5da0f6ecced9}" startIndex="68" length="21"/>
    </x18tc:mentions>
  </x18tc:threadedComment>
  <x18tc:threadedComment ref="A1" dT="2026-07-07T12:49:54.00" personId="{204883d9-ce2c-4ba0-815c-503d69b6b19e}" id="{3a497f25-15fb-49cb-a671-bf379e8bd5fb}" parentId="{06140aa9-ab26-43ca-ab2b-2b9c563d1a08}">
    <x18tc:text xml:space="preserve">@cpetluri@guidewire.com please validate against this https://guidewireconfluence.atlassian.net/wiki/spaces/KDC/pages/3402468441/Immutable+ID+Initiative+One+Pager#What-this-means-for-your-service, thx</x18tc:text>
    <x18tc:mentions>
      <x18tc:mention mentionpersonId="{8406af2e-9a76-40b2-a7a0-2c6afa310f9d}" mentionId="{3c5b5433-1d9f-43f1-8e2d-7fea383dcf80}" startIndex="0" length="23"/>
    </x18tc:mentions>
    <x18tc:extLst>
      <ext uri="{F7C98A9C-CBB3-438F-8F68-D28B6AF4A901}">
        <xltc2:checksum/>
        <xltc2:hyperlink startIndex="53" length="141" url="https://guidewireconfluence.atlassian.net/wiki/spaces/KDC/pages/3402468441/Immutable+ID+Initiative+One+Pager#What-this-means-for-your-service"/>
      </ext>
    </x18tc:extLst>
  </x18tc:threadedComment>
  <x18tc:threadedComment ref="A1" dT="2026-07-07T12:53:40.00" personId="{204883d9-ce2c-4ba0-815c-503d69b6b19e}" id="{fd41dbea-e3e0-4137-b257-1e7444652263}" parentId="{06140aa9-ab26-43ca-ab2b-2b9c563d1a08}">
    <x18tc:text xml:space="preserve">@agopalakrishnan@guidewire.com Atlas handover to Michalowice has been completed, no additional effort here.</x18tc:text>
    <x18tc:mentions>
      <x18tc:mention mentionpersonId="{55349863-6a08-451e-90d8-f6ad025db8f5}" mentionId="{8d42a3cb-46dc-487c-95e4-1051f447c50c}" startIndex="0" length="30"/>
    </x18tc:mentions>
  </x18tc:threadedComment>
  <x18tc:threadedComment ref="A1" dT="2026-07-07T13:20:15.00" personId="{9f5fb3f6-8305-48d1-8390-5bafcffd324a}" id="{70ca3e64-1462-4125-973e-c3ea8f32a579}" parentId="{06140aa9-ab26-43ca-ab2b-2b9c563d1a08}">
    <x18tc:text xml:space="preserve">Brilliant's estimate is intended to reserve some time in order to react or adapt any changes to tenant id / star / planet naming (or sources of truth). Both Helios and PCA Cert Manager have dependencies on tenants / stars / planets.</x18tc:text>
  </x18tc:threadedComment>
  <x18tc:threadedComment ref="A1" dT="2026-07-07T14:35:55.00" personId="{e28f70c1-ef12-4c89-8349-6cb27991439b}" id="{d80b0037-b9d0-4c3e-94df-ab7f6d70410a}" parentId="{06140aa9-ab26-43ca-ab2b-2b9c563d1a08}">
    <x18tc:text xml:space="preserve">@agopalakrishnan@guidewire.com As @mzajac@guidewire.com mentioned, Atlas handover is complete
I had a discussion with @llinville@guidewire.com and there is a dependency on Helios and I stand corrected on the effort required</x18tc:text>
    <x18tc:mentions>
      <x18tc:mention mentionpersonId="{55349863-6a08-451e-90d8-f6ad025db8f5}" mentionId="{1872c17e-3e73-4ef5-b6af-b3b6c99b86e9}" startIndex="0" length="30"/>
      <x18tc:mention mentionpersonId="{7290d324-2e37-4c44-bab7-310330e7fcf9}" mentionId="{995e66be-e709-4513-8c5e-c4a111e66a51}" startIndex="34" length="21"/>
      <x18tc:mention mentionpersonId="{b3198054-86d9-46da-8d87-3b38363ad7c6}" mentionId="{bd3187df-b2e1-477a-9e2e-f3dd09ee2162}" startIndex="118" length="24"/>
    </x18tc:mentions>
  </x18tc:threadedComment>
  <x18tc:threadedComment ref="A1" dT="2026-07-14T21:23:42.00" personId="{e28f70c1-ef12-4c89-8349-6cb27991439b}" id="{cfa0ad4a-5b08-4d82-8d66-63499a8cc473}" done="1">
    <x18tc:text xml:space="preserve">@kjayachandran@guidewire.com Please look into the one-pager and help us out here. If you migrate to IAM as part of DR project, you can mark no dependency for express brokers adoption
Assigned to kjayachandran@guidewire.com</x18tc:text>
    <x18tc:mentions>
      <x18tc:mention mentionpersonId="{0a13f472-83e1-4ed7-b5f7-f3e6fab0b303}" mentionId="{e98a4177-eaed-4792-a458-7b5eb6f4bfe3}" startIndex="0" length="28"/>
    </x18tc:mentions>
  </x18tc:threadedComment>
  <x18tc:threadedComment ref="A1" dT="2026-07-15T05:08:23.00" personId="{a301db1b-8307-4a75-8c75-f5b9345401fb}" id="{af044b31-4e7c-40e7-a6f5-562ffb67d5f3}" parentId="{cfa0ad4a-5b08-4d82-8d66-63499a8cc473}">
    <x18tc:text xml:space="preserve">Marked as done</x18tc:text>
  </x18tc:threadedComment>
  <x18tc:threadedComment ref="A1" dT="2026-07-15T16:56:06.00" personId="{e28f70c1-ef12-4c89-8349-6cb27991439b}" id="{771e9233-61e6-4c90-bb90-4fa2025c7bb4}" parentId="{cfa0ad4a-5b08-4d82-8d66-63499a8cc473}">
    <x18tc:text xml:space="preserve">Re-opened</x18tc:text>
  </x18tc:threadedComment>
  <x18tc:threadedComment ref="A1" dT="2026-07-15T16:56:40.00" personId="{e28f70c1-ef12-4c89-8349-6cb27991439b}" id="{0f99b218-c50c-4386-bfaf-d270ea57221e}" parentId="{cfa0ad4a-5b08-4d82-8d66-63499a8cc473}">
    <x18tc:text xml:space="preserve">@kjayachandran@guidewire.com Please mark the option "No dependency" if you have no work. Thanks in advance</x18tc:text>
    <x18tc:mentions>
      <x18tc:mention mentionpersonId="{0a13f472-83e1-4ed7-b5f7-f3e6fab0b303}" mentionId="{32043edd-8087-42c8-bb03-02f8570f8edd}" startIndex="0" length="28"/>
    </x18tc:mentions>
  </x18tc:threadedComment>
  <x18tc:threadedComment ref="A1" dT="2026-07-03T18:37:06.00" personId="{5ec39123-4a15-47f2-87a8-13dfe758f6e2}" id="{6cccffdb-e9d5-4f25-8fd3-b71b2495feab}" done="0">
    <x18tc:text xml:space="preserve">@llinville@guidewire.com @cpetluri@guidewire.com Is there no dependency on other teams? If so, please put "None" here.</x18tc:text>
    <x18tc:mentions>
      <x18tc:mention mentionpersonId="{b3198054-86d9-46da-8d87-3b38363ad7c6}" mentionId="{06543681-64b8-4aa6-8e33-f8ef52636ff9}" startIndex="0" length="24"/>
      <x18tc:mention mentionpersonId="{8406af2e-9a76-40b2-a7a0-2c6afa310f9d}" mentionId="{18167e0c-8246-40c1-a7f6-2f338d59eac3}" startIndex="25" length="23"/>
    </x18tc:mentions>
  </x18tc:threadedComment>
  <x18tc:threadedComment ref="A1" dT="2026-07-06T13:25:18.00" personId="{e28f70c1-ef12-4c89-8349-6cb27991439b}" id="{1edbbc4e-3e8f-44e2-a268-7c3b557f8e01}" parentId="{6cccffdb-e9d5-4f25-8fd3-b71b2495feab}">
    <x18tc:text xml:space="preserve">Technically, once we release the K8s operator (where we don't have any dependency), it's the adoption part for other teams.</x18tc:text>
  </x18tc:threadedComment>
  <x18tc:threadedComment ref="A1" dT="2026-07-03T17:49:37.00" personId="{5ec39123-4a15-47f2-87a8-13dfe758f6e2}" id="{71ffebfb-96a8-42a9-b405-c0cd10560205}" done="0">
    <x18tc:text xml:space="preserve">@bsekar@guidewire.com @ujain@guidewire.com Does Hollister still exist? I thought it was wound down and I don't see it in PodIQ.</x18tc:text>
    <x18tc:mentions>
      <x18tc:mention mentionpersonId="{72d6c93c-3592-4ad8-bf9d-420c1e2be403}" mentionId="{8b00ff40-38c8-464b-8461-4296a0c5dd35}" startIndex="0" length="21"/>
      <x18tc:mention mentionpersonId="{879de53f-a744-4b67-987f-1006b3ceb550}" mentionId="{2121f6e7-82e7-4a31-ba95-8cb0f9df0169}" startIndex="22" length="20"/>
    </x18tc:mentions>
  </x18tc:threadedComment>
  <x18tc:threadedComment ref="A1" dT="2026-07-08T20:10:27.00" personId="{589022af-f09c-4505-b48f-db8f7a94e760}" id="{bed5fb52-badf-4a54-af23-7df0dc47fb5d}" parentId="{71ffebfb-96a8-42a9-b405-c0cd10560205}">
    <x18tc:text xml:space="preserve">Yes. Hollister can be removed. I'll try to remove the column</x18tc:text>
  </x18tc:threadedComment>
  <x18tc:threadedComment ref="A1" dT="2026-07-03T17:46:06.00" personId="{5ec39123-4a15-47f2-87a8-13dfe758f6e2}" id="{1350604e-eca6-447d-9846-89f17ba9c912}" done="1">
    <x18tc:text xml:space="preserve">@mzawadzka@guidewire.com Please see Slack message, I'm curious what this is for since no work for Okocim is identified here: https://guidewireconfluence.atlassian.net/wiki/spaces/CCS/pages/2430402590/BYOA+-+EA+GA+Deliverables</x18tc:text>
    <x18tc:mentions>
      <x18tc:mention mentionpersonId="{02efe0e5-fe76-4e6d-9da2-4e8a023aff8e}" mentionId="{bad33875-d73c-4227-b04b-b42e0a38d19e}" startIndex="0" length="24"/>
    </x18tc:mentions>
    <x18tc:extLst>
      <ext uri="{F7C98A9C-CBB3-438F-8F68-D28B6AF4A901}">
        <xltc2:checksum/>
        <xltc2:hyperlink startIndex="125" length="100" url="https://guidewireconfluence.atlassian.net/wiki/spaces/CCS/pages/2430402590/BYOA+-+EA+GA+Deliverables"/>
      </ext>
    </x18tc:extLst>
  </x18tc:threadedComment>
  <x18tc:threadedComment ref="A1" dT="2026-07-02T15:38:06.00" personId="{d2c41af9-dcab-4077-9f50-4ed638d50c9f}" id="{67b3acba-8d19-4ee6-bc8e-7ee07a3b359f}" done="0">
    <x18tc:text xml:space="preserve">Defining and implementing appropriate quotas for CRs that create databases</x18tc:text>
  </x18tc:threadedComment>
  <x18tc:threadedComment ref="A1" dT="2026-07-14T21:19:08.00" personId="{e28f70c1-ef12-4c89-8349-6cb27991439b}" id="{13ecfe3e-2d04-4b3e-b893-b3cbc938f300}" done="0">
    <x18tc:text xml:space="preserve">@mzajac@guidewire.com Please look into the one-pager and help us out here. If you migrate to IAM as part of DR project, you can mark no dependency for express brokers adoption
Assigned to mzajac@guidewire.com</x18tc:text>
    <x18tc:mentions>
      <x18tc:mention mentionpersonId="{7290d324-2e37-4c44-bab7-310330e7fcf9}" mentionId="{f5c0d3d0-603d-4e99-8706-74d2314cce78}" startIndex="0" length="21"/>
    </x18tc:mentions>
  </x18tc:threadedComment>
  <x18tc:threadedComment ref="A1" dT="2026-07-15T14:14:58.00" personId="{204883d9-ce2c-4ba0-815c-503d69b6b19e}" id="{10a322b0-68f4-495e-821e-19703e73dd99}" parentId="{13ecfe3e-2d04-4b3e-b893-b3cbc938f300}">
    <x18tc:text xml:space="preserve">@cpetluri@guidewire.com neither Atlas nor Voyager uses MSK right now, so "No Dependency" is correct for this stage.
1 total reaction
Chakravarthy Petluri reacted with 👍 at 07/15/2026, 4:53 PM UTC</x18tc:text>
    <x18tc:mentions>
      <x18tc:mention mentionpersonId="{8406af2e-9a76-40b2-a7a0-2c6afa310f9d}" mentionId="{bff5ff88-cac1-4dd6-9a81-b3a2fc47e3c1}" startIndex="0" length="23"/>
    </x18tc:mentions>
  </x18tc:threadedComment>
  <x18tc:threadedComment ref="A1" dT="2026-07-17T20:33:48.00" personId="{7fd15008-94ee-4f23-a195-6d4dedd4ea7e}" id="{b2c63813-7058-4045-940e-576ec159ee73}" done="0">
    <x18tc:text xml:space="preserve">Otel and Logs in Datadog</x18tc:text>
  </x18tc:threadedComment>
  <x18tc:threadedComment ref="A1" dT="2026-07-03T18:14:49.00" personId="{5ec39123-4a15-47f2-87a8-13dfe758f6e2}" id="{dcfbf276-1140-4e61-a3de-6a4aa5118709}" done="1">
    <x18tc:text xml:space="preserve">@rasubramanian@guidewire.com I assume there are no dependencies here?</x18tc:text>
    <x18tc:mentions>
      <x18tc:mention mentionpersonId="{e24471b3-06fb-4838-ab9a-5a17bd74c488}" mentionId="{e403853c-d2f9-4bda-a501-f1afb034f801}" startIndex="0" length="28"/>
    </x18tc:mentions>
  </x18tc:threadedComment>
  <x18tc:threadedComment ref="A1" dT="2026-07-02T20:09:29.00" personId="{5ec39123-4a15-47f2-87a8-13dfe758f6e2}" id="{a6cf0d7d-1c64-4b1e-974f-48e5e4340075}" done="0">
    <x18tc:text xml:space="preserve">@mzajac@guidewire.com please add an estimate for "Voyager to implement synchronization between primary tenant and DR tenant"; I believe this is currently under discussion with Vulcan and Michalowice</x18tc:text>
    <x18tc:mentions>
      <x18tc:mention mentionpersonId="{7290d324-2e37-4c44-bab7-310330e7fcf9}" mentionId="{5ab7ddb5-060d-4466-9a64-7cd0fe9d736f}" startIndex="0" length="21"/>
    </x18tc:mentions>
  </x18tc:threadedComment>
  <x18tc:threadedComment ref="A1" dT="2026-07-02T20:11:04.00" personId="{5ec39123-4a15-47f2-87a8-13dfe758f6e2}" id="{4323b169-4124-4316-a213-d595e2675f5a}" parentId="{a6cf0d7d-1c64-4b1e-974f-48e5e4340075}">
    <x18tc:text xml:space="preserve">Also, please add an estimate for the cassini endpoint in GWCP-102294 to pull service information for LHS service DR orchestration</x18tc:text>
  </x18tc:threadedComment>
  <x18tc:threadedComment ref="A1" dT="2026-07-03T14:51:48.00" personId="{204883d9-ce2c-4ba0-815c-503d69b6b19e}" id="{60b6f2d8-b50a-480e-86fc-0f24e2489215}" parentId="{a6cf0d7d-1c64-4b1e-974f-48e5e4340075}">
    <x18tc:text xml:space="preserve">IS:
-&gt; Voyager (provisioning/deprovisioning Star/Tenant; Tier support; Primary vs Failover infra drift detection; GA readiness)
-&gt; Atlas (DR resilience; Q-release+migrated to Helios canFailover rules; Tier support; Failover changes lock; observability; GA readiness; OAM adoption)
-&gt; Cassini (Universal URL (registration validation; mTLS); LHS Failover Orchestrator support)
IS NOT:
-&gt; Supporting DR on NPE /PPE
DR-related access model extension
-&gt; Supporting Private-Link</x18tc:text>
  </x18tc:threadedComment>
  <x18tc:threadedComment ref="A1" dT="2026-06-30T19:40:34.00" personId="{286bd2de-8ccd-4afa-8208-966c0aa309b9}" id="{606f5b94-48fc-425b-8889-8c97cde04934}" done="0">
    <x18tc:text xml:space="preserve">Warrior scope ( Feature gaps with Database Service to manage clusters )- Postgres OAM</x18tc:text>
  </x18tc:threadedComment>
  <x18tc:threadedComment ref="A1" dT="2026-07-02T17:52:12.00" personId="{d2c41af9-dcab-4077-9f50-4ed638d50c9f}" id="{bee9874f-0c8a-4724-8f60-d2f9eadee3ef}" parentId="{606f5b94-48fc-425b-8889-8c97cde04934}">
    <x18tc:text xml:space="preserve">Estimate includes generic support for:
- Parameter groups
- Version upgrades
- Serverless
- Instance class expansion
- Additional instance groups + custom endpoints
- Database Insights
Global DB is captured in the OAM Adoption line item.</x18tc:text>
  </x18tc:threadedComment>
  <x18tc:threadedComment ref="A1" dT="2026-07-06T21:21:44.00" personId="{7d6d157a-310c-4a7e-b624-fd05cd31f5f1}" id="{d720f3b3-cdf0-415b-8a2b-a6a11080808b}" parentId="{606f5b94-48fc-425b-8889-8c97cde04934}">
    <x18tc:text xml:space="preserve">Are there any dependencies on other teams like Gokarna for this or you can complete and release these without any dependencies @rasubramanian@guidewire.com @liking@guidewire.com</x18tc:text>
    <x18tc:mentions>
      <x18tc:mention mentionpersonId="{e24471b3-06fb-4838-ab9a-5a17bd74c488}" mentionId="{1ec9c951-a29d-4cde-9e4f-f0aa660fbcee}" startIndex="127" length="28"/>
      <x18tc:mention mentionpersonId="{6ce91589-522a-46d9-9a79-2b07f2182569}" mentionId="{ccda7690-8e0a-4ced-aca9-f6ee79b29790}" startIndex="156" length="21"/>
    </x18tc:mentions>
  </x18tc:threadedComment>
  <x18tc:threadedComment ref="A1" dT="2026-07-06T21:41:34.00" personId="{286bd2de-8ccd-4afa-8208-966c0aa309b9}" id="{773a3ed9-3ac3-4863-a7a6-86164637f371}" parentId="{606f5b94-48fc-425b-8889-8c97cde04934}">
    <x18tc:text xml:space="preserve">@agopalakrishnan@guidewire.com This initiative primarily involves Dobra, Warrior and Wola only to develop the postgres OAM with feature parity for IS Database service. I will confirm if we have any OAM library/crossplane dependencies.</x18tc:text>
    <x18tc:mentions>
      <x18tc:mention mentionpersonId="{55349863-6a08-451e-90d8-f6ad025db8f5}" mentionId="{18bf3068-3187-46a6-8cb3-e35f93158b58}" startIndex="0" length="30"/>
    </x18tc:mentions>
  </x18tc:threadedComment>
  <x18tc:threadedComment ref="A1" dT="2026-07-06T23:37:10.00" personId="{d2c41af9-dcab-4077-9f50-4ed638d50c9f}" id="{9e8e9158-f01b-4ae9-86cd-e7b4362371b1}" parentId="{606f5b94-48fc-425b-8889-8c97cde04934}">
    <x18tc:text xml:space="preserve">@agopalakrishnan@guidewire.com @rasubramanian@guidewire.com No dev dependencies that I am aware of at this point, although we may run into KubeVela bugs along the way, and will likely consult with Gokarna/Ajanta quite a bit as we introduce new patterns into OAM Library.</x18tc:text>
    <x18tc:mentions>
      <x18tc:mention mentionpersonId="{55349863-6a08-451e-90d8-f6ad025db8f5}" mentionId="{768d1d35-b718-458b-bcbd-9a5347eb66f5}" startIndex="0" length="30"/>
      <x18tc:mention mentionpersonId="{e24471b3-06fb-4838-ab9a-5a17bd74c488}" mentionId="{87216375-89fd-4a12-a106-ff6fc8d1a6c1}" startIndex="31" length="28"/>
    </x18tc:mentions>
  </x18tc:threadedComment>
  <x18tc:threadedComment ref="A1" dT="2026-06-30T18:16:44.00" personId="{e28f70c1-ef12-4c89-8349-6cb27991439b}" id="{7543d162-8a4b-4fb1-b85c-3647a7c8b6cd}" done="0">
    <x18tc:text xml:space="preserve">We estimated 15 SOLs with RFCs as proofs</x18tc:text>
  </x18tc:threadedComment>
  <x18tc:threadedComment ref="A1" dT="2026-07-03T18:44:42.00" personId="{5ec39123-4a15-47f2-87a8-13dfe758f6e2}" id="{59ebc1a0-6e25-41ce-89da-0bf17ad4aaea}" done="0">
    <x18tc:text xml:space="preserve">@pflasinski@guidewire.com I have Slacked you and the PMs for an estimate here; please also fill out dependencies if any.</x18tc:text>
    <x18tc:mentions>
      <x18tc:mention mentionpersonId="{cd223930-9fa8-4745-bd4a-709a216e143a}" mentionId="{2d8cc0e2-766c-4cba-9f87-85cdbc3be31b}" startIndex="0" length="25"/>
    </x18tc:mentions>
  </x18tc:threadedComment>
  <x18tc:threadedComment ref="A1" dT="2026-07-03T22:02:39.00" personId="{924f2a14-453f-443a-b46a-ffe32a106350}" id="{1e870975-c1cb-4d37-9d41-320d60ee63a2}" parentId="{59ebc1a0-6e25-41ce-89da-0bf17ad4aaea}">
    <x18tc:text xml:space="preserve">Sure, I'm not sure if those dependencies have been discussed with the PM / Pod, but we'll followup</x18tc:text>
  </x18tc:threadedComment>
  <x18tc:threadedComment ref="A1" dT="2026-07-06T22:49:14.00" personId="{7d6d157a-310c-4a7e-b624-fd05cd31f5f1}" id="{0cf9ca31-e14e-403a-b2e6-ba318857ead9}" done="1">
    <x18tc:text xml:space="preserve">@pdomider@guidewire.com : please create a 1 pager in confluence on the scope of this and link it here
1 total reaction
Piotr Domider reacted with ✅ at 07/08/2026, 11:30 AM UTC
Assigned to pdomider@guidewire.com</x18tc:text>
    <x18tc:mentions>
      <x18tc:mention mentionpersonId="{9bf17f32-22f2-482c-9e47-de425774ad20}" mentionId="{b221e898-9b01-4e80-b803-6a03cb127d0a}" startIndex="0" length="23"/>
    </x18tc:mentions>
  </x18tc:threadedComment>
  <x18tc:threadedComment ref="A1" dT="2026-07-01T13:07:04.00" personId="{f6366c9e-cebb-4b9b-a866-08c7b4ba8334}" id="{91ed15dc-30a0-43a4-8f28-de74410634d4}" done="1">
    <x18tc:text xml:space="preserve">1. Connect DB Service flows (backup/restore) to RDS OAM components</x18tc:text>
  </x18tc:threadedComment>
  <x18tc:threadedComment ref="A1" dT="2026-07-02T21:27:51.00" personId="{9b7c6d63-494a-4fe4-a4ff-6214c3fedfaa}" id="{dcc31aae-1ae2-43c5-ba9a-4ccf6b3e633e}" done="0">
    <x18tc:text xml:space="preserve">@atomar@guidewire.com Myself and @rasubramanian@guidewire.com have updated all the Storage and DB OAM support for BYOA under one section or initiative only. So, this section will be empty. 
Anoop, requested to have one section for BYOA instead or splitting it into two sections of EA &amp; GA. Hence, we have updated one section only for both Ajanta and Warrior dependency weeks. Thank you. 
cc: @agopalakrishnan@guidewire.com
Assigned to atomar@guidewire.com</x18tc:text>
    <x18tc:mentions>
      <x18tc:mention mentionpersonId="{b1e856c7-db14-4a0e-b4a6-b642dfdfb6ed}" mentionId="{6b8f8bc6-d5d9-4e0c-b7cc-87744147e4a1}" startIndex="0" length="21"/>
      <x18tc:mention mentionpersonId="{e24471b3-06fb-4838-ab9a-5a17bd74c488}" mentionId="{7c6becb8-87e0-4589-b28c-02ddaf7465dc}" startIndex="33" length="28"/>
      <x18tc:mention mentionpersonId="{55349863-6a08-451e-90d8-f6ad025db8f5}" mentionId="{ff6bad60-14cc-45c9-8281-8e2776aff59e}" startIndex="394" length="30"/>
    </x18tc:mentions>
  </x18tc:threadedComment>
  <x18tc:threadedComment ref="A1" dT="2026-07-06T13:52:43.00" personId="{286bd2de-8ccd-4afa-8208-966c0aa309b9}" id="{24a1ab56-9bbc-4955-9c14-8ebdd9e31b66}" parentId="{dcc31aae-1ae2-43c5-ba9a-4ccf6b3e633e}">
    <x18tc:text xml:space="preserve">@gs@guidewire.com, I moved all the estimates to BYOA EA line time.</x18tc:text>
    <x18tc:mentions>
      <x18tc:mention mentionpersonId="{266944f1-17de-482c-a280-997a68ef1dcb}" mentionId="{ce678ef1-06dc-4e05-9223-7f1d60af367b}" startIndex="0" length="17"/>
    </x18tc:mentions>
  </x18tc:threadedComment>
  <x18tc:threadedComment ref="A1" dT="2026-06-30T19:39:48.00" personId="{286bd2de-8ccd-4afa-8208-966c0aa309b9}" id="{599c2736-d7b9-4cf9-8622-32fa48247c15}" done="0">
    <x18tc:text xml:space="preserve">Warrior scope (MVP + Day 2 features) for BYOA - Postgres OAM, DynamoDB</x18tc:text>
  </x18tc:threadedComment>
  <x18tc:threadedComment ref="A1" dT="2026-07-02T17:58:51.00" personId="{d2c41af9-dcab-4077-9f50-4ed638d50c9f}" id="{f3cfae22-4b48-429a-86cf-b604a8c5ee93}" parentId="{599c2736-d7b9-4cf9-8622-32fa48247c15}">
    <x18tc:text xml:space="preserve">Work for component features are captured between the Cepheid line item and OAM Adoption line item. Also some overlap with the Kubernetes Quotas item, assuming we want to restrict the number of DB resources customers can create.
The estimate here is for the work required to secure the DB components so they are safe for external use, but that depends heavily on the RBAC implementation - need info on that from BYOA team before I can give an accurate estimate.
- ALL OAM components currently allow creation/management of AWS resources with any tenant prefix, which is not acceptable even for EA. There is currently no mechanism for the OAM components to determine what resources the user should have access to. Not including design/development of that solution in this estimate because it is not a DB-specific issue.
- Backup/restore is available already via Bash scripts but require that the user's role provides access to the Crossplane K8s objects and the underlying AWS resources. Need clarification on what the interface will be for customers to perform operational tasks and what permissions they will have before I can estimate backup/restore changes.</x18tc:text>
  </x18tc:threadedComment>
  <x18tc:threadedComment ref="A1" dT="2026-07-02T18:00:39.00" personId="{d2c41af9-dcab-4077-9f50-4ed638d50c9f}" id="{92f2228a-b167-4b6b-bf1e-523170452b81}" parentId="{599c2736-d7b9-4cf9-8622-32fa48247c15}">
    <x18tc:text xml:space="preserve">@rasubramanian@guidewire.com I see Cache mentioned in the proposal. Should I include an estimate for development of a Redis component?</x18tc:text>
    <x18tc:mentions>
      <x18tc:mention mentionpersonId="{e24471b3-06fb-4838-ab9a-5a17bd74c488}" mentionId="{b5aba750-e6e2-4a9a-92e2-da1772664718}" startIndex="0" length="28"/>
    </x18tc:mentions>
  </x18tc:threadedComment>
  <x18tc:threadedComment ref="A1" dT="2026-07-02T21:20:43.00" personId="{286bd2de-8ccd-4afa-8208-966c0aa309b9}" id="{92130de8-fb1d-4181-be8b-0f615f62e57d}" parentId="{599c2736-d7b9-4cf9-8622-32fa48247c15}">
    <x18tc:text xml:space="preserve">Yes Lina, lets include it</x18tc:text>
  </x18tc:threadedComment>
  <x18tc:threadedComment ref="A1" dT="2026-07-02T21:21:52.00" personId="{286bd2de-8ccd-4afa-8208-966c0aa309b9}" id="{c7408364-d04e-408c-bdc2-45c3730bb7e6}" parentId="{599c2736-d7b9-4cf9-8622-32fa48247c15}">
    <x18tc:text xml:space="preserve">@liking@guidewire.com Just FYI, I am moving this estimate to BYOA as @gs@guidewire.com asked to consolidate all the database components under that..</x18tc:text>
    <x18tc:mentions>
      <x18tc:mention mentionpersonId="{6ce91589-522a-46d9-9a79-2b07f2182569}" mentionId="{e258f85b-f95d-4a2b-9141-f9c71f7455ba}" startIndex="0" length="21"/>
      <x18tc:mention mentionpersonId="{266944f1-17de-482c-a280-997a68ef1dcb}" mentionId="{75c52f04-fee1-46d2-9aa0-3a119bdcdb56}" startIndex="69" length="17"/>
    </x18tc:mentions>
  </x18tc:threadedComment>
  <x18tc:threadedComment ref="A1" dT="2026-07-01T13:22:54.00" personId="{f6366c9e-cebb-4b9b-a866-08c7b4ba8334}" id="{15837f3e-fad8-4b03-b5af-efa542b3b589}" done="0">
    <x18tc:text xml:space="preserve">1. Error handling, retries, etc. for DB Service workflows</x18tc:text>
  </x18tc:threadedComment>
  <x18tc:threadedComment ref="A1" dT="2026-07-01T22:32:18.00" personId="{589022af-f09c-4505-b48f-db8f7a94e760}" id="{8cf0b7cc-6836-44c2-b589-1d65ccc7971c}" done="1">
    <x18tc:text xml:space="preserve">Authz will also need to react to new credentials</x18tc:text>
  </x18tc:threadedComment>
  <x18tc:threadedComment ref="A1" dT="2026-07-03T15:17:13.00" personId="{204883d9-ce2c-4ba0-815c-503d69b6b19e}" id="{d92d5bf7-8380-45a3-9411-44d656032c8e}" done="0">
    <x18tc:text xml:space="preserve">IS:
-&gt; Atlas (SoR for Stars; generate Tenant/Star unique ID; share unique ID with Salesforce; generate missing unique IDs, short names, display names) 
-&gt; Voyager (provision Tenant/Star using unique IDs; allow to provision only if Tenant/Star exists in Atlas)
Cassini (accept GRNs with unique IDs)
IS NOT:
-&gt; Enabling Tenant / Star renaming (displayName/shortName)
TBD:
-&gt; Generating tenantKey, starKey, planetKey</x18tc:text>
  </x18tc:threadedComment>
  <x18tc:threadedComment ref="A1" dT="2026-07-24T16:30:41.00" personId="{e28f70c1-ef12-4c89-8349-6cb27991439b}" id="{6e4eb37c-6e50-46d7-a85d-39e2bbbe7801}" done="0">
    <x18tc:text xml:space="preserve">@mzajac@guidewire.com Based on the conversation here - https://guidewire.slack.com/archives/C0657SL7YNQ/p1784831007527559- I am adding the effort mentioned in SPIRE here
Assigned to mzajac@guidewire.com</x18tc:text>
    <x18tc:mentions>
      <x18tc:mention mentionpersonId="{7290d324-2e37-4c44-bab7-310330e7fcf9}" mentionId="{920b66cc-c9c2-43f8-98c6-39c02e6a2296}" startIndex="0" length="21"/>
    </x18tc:mentions>
    <x18tc:extLst>
      <ext uri="{F7C98A9C-CBB3-438F-8F68-D28B6AF4A901}">
        <xltc2:checksum/>
        <xltc2:hyperlink startIndex="55" length="67" url="https://guidewire.slack.com/archives/C0657SL7YNQ/p1784831007527559-"/>
      </ext>
    </x18tc:extLst>
  </x18tc:threadedComment>
  <x18tc:threadedComment ref="A1" dT="2026-07-01T13:14:31.00" personId="{f6366c9e-cebb-4b9b-a866-08c7b4ba8334}" id="{c3f0067b-2d51-45ef-885a-922357383b6d}" done="0">
    <x18tc:text xml:space="preserve">1. Adjust PDB, affinity, etc.</x18tc:text>
  </x18tc:threadedComment>
  <x18tc:threadedComment ref="A1" dT="2026-07-16T18:10:23.00" personId="{c6de0e33-195e-4738-ae51-ff8f5a192ad9}" id="{061f18b0-a4e5-4aea-a2ed-24e900a09f38}" parentId="{c3f0067b-2d51-45ef-885a-922357383b6d}">
    <x18tc:text xml:space="preserve">Why do you need to adjust PDB? As for affinity, do we add any affinity now to get scheduled on managed node groups?</x18tc:text>
  </x18tc:threadedComment>
  <x18tc:threadedComment ref="A1" dT="2026-07-23T12:17:33.00" personId="{f6366c9e-cebb-4b9b-a866-08c7b4ba8334}" id="{7961062a-3be6-4340-84f3-1083b038f980}" parentId="{c3f0067b-2d51-45ef-885a-922357383b6d}">
    <x18tc:text xml:space="preserve">You're right, our initial guesstimate was based on the incomplete understanding (just the name Karpenter and AI summary). Changed to No Dependency. Thanks for catching that!</x18tc:text>
  </x18tc:threadedComment>
  <x18tc:threadedComment ref="F69" dT="2026-07-01T08:24:44.00" personId="{426d6788-5168-43d2-98b3-974fdfba695a}" id="{f1452e20-8177-45f1-8ce6-bcd98d9850fc}" done="1">
    <x18tc:text xml:space="preserve">Here's the RFC on this topic: https://guidewireconfluence.atlassian.net/wiki/spaces/KDC/pages/2995225061/Moving+Inbound+Connections+Storing+Certificates, FYI @pflasinski@guidewire.com @mdykes@guidewire.com. I think if we were to centralize networking in BHM, the BHM team should make a call on the final implementation</x18tc:text>
    <x18tc:mentions>
      <x18tc:mention mentionpersonId="{cd223930-9fa8-4745-bd4a-709a216e143a}" mentionId="{25a25883-74a9-4040-87e1-17aa0045cc91}" startIndex="158" length="25"/>
      <x18tc:mention mentionpersonId="{5156ce53-8531-4acb-8049-5e6065240f6c}" mentionId="{8d4bd5bd-9b48-455e-b68a-27b5f822e663}" startIndex="184" length="21"/>
    </x18tc:mentions>
    <x18tc:extLst>
      <ext uri="{F7C98A9C-CBB3-438F-8F68-D28B6AF4A901}">
        <xltc2:checksum/>
        <xltc2:hyperlink startIndex="30" length="122" url="https://guidewireconfluence.atlassian.net/wiki/spaces/KDC/pages/2995225061/Moving+Inbound+Connections+Storing+Certificates"/>
      </ext>
    </x18tc:extLst>
  </x18tc:threadedComment>
  <x18tc:threadedComment ref="F69" dT="2026-07-02T21:35:08.00" personId="{dc1210a4-b4c4-461b-89cb-8dc65cd353ac}" id="{bb4d634a-c981-4a60-8370-7dcd82defbe7}" parentId="{f1452e20-8177-45f1-8ce6-bcd98d9850fc}">
    <x18tc:text xml:space="preserve">I don't see convincing arguments in the RFC to not use Helios. There are a few other certificate managers already in the wild for Guidewire, too. AND there is more functionality coming for the BYOK initiative for Helios. I've shared this information with the Helios folks and Avondale to get their take on it.</x18tc:text>
  </x18tc:threadedComment>
  <x18tc:threadedComment ref="A1" dT="2026-07-17T16:32:39.00" personId="{e28f70c1-ef12-4c89-8349-6cb27991439b}" id="{cd3951d4-6616-4fa3-86c5-b4200cbe54ff}" done="0">
    <x18tc:text xml:space="preserve">@ssandebiksham@guidewire.com this can be "None" right</x18tc:text>
    <x18tc:mentions>
      <x18tc:mention mentionpersonId="{82a8f867-3c05-49c1-986a-2b1d429f7733}" mentionId="{af7d0322-7672-40e4-89c6-269f7f25e40c}" startIndex="0" length="28"/>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4" dT="2026-07-07T17:13:14.00" personId="{7d6d157a-310c-4a7e-b624-fd05cd31f5f1}" id="{8c3c028b-d1d7-44f3-b8ca-47268b316e3c}" done="1">
    <x18tc:text xml:space="preserve">@atomar@guidewire.com Please add a one pager in confluence and link it here</x18tc:text>
    <x18tc:mentions>
      <x18tc:mention mentionpersonId="{b1e856c7-db14-4a0e-b4a6-b642dfdfb6ed}" mentionId="{da1e3fba-deb6-4d52-b503-e24d4ba7adb8}" startIndex="0" length="21"/>
    </x18tc:mentions>
  </x18tc:threadedComment>
  <x18tc:threadedComment ref="B24" dT="2026-07-08T21:13:08.00" personId="{7fd15008-94ee-4f23-a195-6d4dedd4ea7e}" id="{eace6810-e373-43ad-898d-8849d3f1109a}" parentId="{8c3c028b-d1d7-44f3-b8ca-47268b316e3c}">
    <x18tc:text xml:space="preserve">Yes working on it</x18tc:text>
  </x18tc:threadedComment>
  <x18tc:threadedComment ref="AI21" dT="2026-07-02T08:42:43.00" personId="{f6366c9e-cebb-4b9b-a866-08c7b4ba8334}" id="{b83b4343-a694-4bb9-8d7f-e7f8652fcf26}" done="0">
    <x18tc:text xml:space="preserve">Ragging in RDS OAM components (feature parity with tags introduced for LSS isolation)</x18tc:text>
  </x18tc:threadedComment>
  <x18tc:threadedComment ref="S17" dT="2026-07-13T19:22:11.00" personId="{e28f70c1-ef12-4c89-8349-6cb27991439b}" id="{18ca1b62-e40b-4d21-8230-6f2b302efaa7}" done="0">
    <x18tc:text xml:space="preserve">@amkhanna@guidewire.com Please help us out here
Assigned to amkhanna@guidewire.com</x18tc:text>
    <x18tc:mentions>
      <x18tc:mention mentionpersonId="{0a8aed59-9de1-4881-b9af-625628e8f795}" mentionId="{c6b43e3e-7dfd-40a7-8f58-3d90ec74f59c}" startIndex="0" length="23"/>
    </x18tc:mentions>
  </x18tc:threadedComment>
  <x18tc:threadedComment ref="S17" dT="2026-07-29T15:23:23.00" personId="{e28f70c1-ef12-4c89-8349-6cb27991439b}" id="{ab310e93-6fb6-491a-8c12-1ed62e9f421b}" parentId="{18ca1b62-e40b-4d21-8230-6f2b302efaa7}">
    <x18tc:text xml:space="preserve">@amkhanna@guidewire.com Gentle reminder here</x18tc:text>
    <x18tc:mentions>
      <x18tc:mention mentionpersonId="{0a8aed59-9de1-4881-b9af-625628e8f795}" mentionId="{acb7a657-9efb-4fba-8a10-31d900d17ef8}" startIndex="0" length="23"/>
    </x18tc:mentions>
  </x18tc:threadedComment>
  <x18tc:threadedComment ref="AI22" dT="2026-07-02T08:39:43.00" personId="{f6366c9e-cebb-4b9b-a866-08c7b4ba8334}" id="{3f1a6f0f-9120-421f-bf9a-3e209e1ece17}" done="1">
    <x18tc:text xml:space="preserve">OAM RDS impacted by limits / need for monitoring</x18tc:text>
  </x18tc:threadedComment>
  <x18tc:threadedComment ref="B20" dT="2026-07-07T17:14:25.00" personId="{7d6d157a-310c-4a7e-b624-fd05cd31f5f1}" id="{567c8005-9f8e-4290-a371-bde2b9c3215f}" done="1">
    <x18tc:text xml:space="preserve">@msmriti@guidewire.com : Please add a one pager in confluence and link it here
Assigned to msmriti@guidewire.com</x18tc:text>
    <x18tc:mentions>
      <x18tc:mention mentionpersonId="{4fa32788-b19d-42ec-b2db-713f60a44711}" mentionId="{3d5bf7a9-be79-4be7-a901-9dd4299430d1}" startIndex="0" length="22"/>
    </x18tc:mentions>
  </x18tc:threadedComment>
  <x18tc:threadedComment ref="B26" dT="2026-07-07T17:14:04.00" personId="{7d6d157a-310c-4a7e-b624-fd05cd31f5f1}" id="{812d6a6e-6cde-4814-a1d7-e55a1c26add1}" done="0">
    <x18tc:text xml:space="preserve">@rasubramanian@guidewire.com : Please add a one pager in confluence and link it here
Assigned to rasubramanian@guidewire.com</x18tc:text>
    <x18tc:mentions>
      <x18tc:mention mentionpersonId="{e24471b3-06fb-4838-ab9a-5a17bd74c488}" mentionId="{b2243cb0-cfc2-499b-830a-09256835e410}" startIndex="0" length="28"/>
    </x18tc:mentions>
  </x18tc:threadedComment>
  <x18tc:threadedComment ref="B26" dT="2026-07-07T17:54:26.00" personId="{286bd2de-8ccd-4afa-8208-966c0aa309b9}" id="{b123b245-2658-4490-a2d0-ba161327fa1e}" parentId="{812d6a6e-6cde-4814-a1d7-e55a1c26add1}">
    <x18tc:text xml:space="preserve">will add it.</x18tc:text>
  </x18tc:threadedComment>
  <x18tc:threadedComment ref="B18" dT="2026-07-07T17:13:51.00" personId="{7d6d157a-310c-4a7e-b624-fd05cd31f5f1}" id="{afc657ee-a99e-46a3-b1c1-1449950c2ba6}" done="0">
    <x18tc:text xml:space="preserve">@rasubramanian@guidewire.com : Please add a one pager in confluence and link it here
Assigned to rasubramanian@guidewire.com</x18tc:text>
    <x18tc:mentions>
      <x18tc:mention mentionpersonId="{e24471b3-06fb-4838-ab9a-5a17bd74c488}" mentionId="{08ef0b42-7e60-4cac-a89e-ee331b72d306}" startIndex="0" length="28"/>
    </x18tc:mentions>
  </x18tc:threadedComment>
  <x18tc:threadedComment ref="B18" dT="2026-07-07T17:54:32.00" personId="{286bd2de-8ccd-4afa-8208-966c0aa309b9}" id="{711cf863-4075-4d0f-904d-2f2a7612c7fc}" parentId="{afc657ee-a99e-46a3-b1c1-1449950c2ba6}">
    <x18tc:text xml:space="preserve">will add it.</x18tc:text>
  </x18tc:threadedComment>
  <x18tc:threadedComment ref="B25" dT="2026-07-07T17:13:33.00" personId="{7d6d157a-310c-4a7e-b624-fd05cd31f5f1}" id="{d9fedb62-fd7d-40c9-a018-70686648af24}" done="0">
    <x18tc:text xml:space="preserve">@rasubramanian@guidewire.com : Please add a one pager in confluence and link it here
Assigned to rasubramanian@guidewire.com</x18tc:text>
    <x18tc:mentions>
      <x18tc:mention mentionpersonId="{e24471b3-06fb-4838-ab9a-5a17bd74c488}" mentionId="{d41459d6-69a9-48a9-a021-d4b655c0c113}" startIndex="0" length="28"/>
    </x18tc:mentions>
  </x18tc:threadedComment>
  <x18tc:threadedComment ref="B25" dT="2026-07-07T17:54:35.00" personId="{286bd2de-8ccd-4afa-8208-966c0aa309b9}" id="{102d3c13-8556-47e8-9e45-34cfd8b27005}" parentId="{d9fedb62-fd7d-40c9-a018-70686648af24}">
    <x18tc:text xml:space="preserve">will add it.</x18tc:text>
  </x18tc:threadedComment>
  <x18tc:threadedComment ref="W15" dT="2026-07-14T19:27:30.00" personId="{e28f70c1-ef12-4c89-8349-6cb27991439b}" id="{d76ceaba-f4d4-4d72-bac7-ebb38572f584}" done="0">
    <x18tc:text xml:space="preserve">@gbouzeid@guidewire.com I assume there is no MSK usage here. If yes, please mark this as no dependency</x18tc:text>
    <x18tc:mentions>
      <x18tc:mention mentionpersonId="{745d7f76-f965-499b-8df6-91dbc43b9fb3}" mentionId="{6a8786c8-e3f1-4d87-ba91-dcb0e8cf49ef}" startIndex="0" length="23"/>
    </x18tc:mentions>
  </x18tc:threadedComment>
  <x18tc:threadedComment ref="W15" dT="2026-07-15T19:51:43.00" personId="{54eae484-93a2-444b-bad4-b9c1b9b87098}" id="{19815939-04dc-4409-accb-8f3bc9885ba9}" parentId="{d76ceaba-f4d4-4d72-bac7-ebb38572f584}">
    <x18tc:text xml:space="preserve">not aware of MSK usage for Bolinas - adding @bsekar@guidewire.com to comment as needed thx</x18tc:text>
    <x18tc:mentions>
      <x18tc:mention mentionpersonId="{72d6c93c-3592-4ad8-bf9d-420c1e2be403}" mentionId="{61b17933-872d-4e70-a092-773b1613c693}" startIndex="44" length="21"/>
    </x18tc:mentions>
  </x18tc:threadedComment>
  <x18tc:threadedComment ref="W15" dT="2026-07-16T00:22:28.00" personId="{589022af-f09c-4505-b48f-db8f7a94e760}" id="{64690a25-5284-4646-93c1-01c3c0b12e4d}" parentId="{d76ceaba-f4d4-4d72-bac7-ebb38572f584}">
    <x18tc:text xml:space="preserve">Marked as resolved</x18tc:text>
  </x18tc:threadedComment>
  <x18tc:threadedComment ref="W15" dT="2026-07-17T16:15:22.00" personId="{e28f70c1-ef12-4c89-8349-6cb27991439b}" id="{bb38196a-9a4d-47ea-9b94-5346784546fa}" parentId="{d76ceaba-f4d4-4d72-bac7-ebb38572f584}">
    <x18tc:text xml:space="preserve">Based on Gilbert's comments and Bharat's resolution, I marked it "No dependency"
Re-opened</x18tc:text>
  </x18tc:threadedComment>
  <x18tc:threadedComment ref="BA17" dT="2026-07-13T19:29:53.00" personId="{e28f70c1-ef12-4c89-8349-6cb27991439b}" id="{cd5a674a-7e5d-441a-a4f2-a44bee55ca0b}" done="0">
    <x18tc:text xml:space="preserve">@dhsharma@guidewire.com Please help us out here
Assigned to dhsharma@guidewire.com</x18tc:text>
    <x18tc:mentions>
      <x18tc:mention mentionpersonId="{8caf03f4-4a5e-4075-a37e-b0df4b86d6b2}" mentionId="{0ec7ac00-02f3-4163-a885-e264744b2796}" startIndex="0" length="23"/>
    </x18tc:mentions>
  </x18tc:threadedComment>
  <x18tc:threadedComment ref="BA17" dT="2026-07-13T20:35:14.00" personId="{61cac862-3159-478e-bfc8-f7bb69b5daa8}" id="{b3dbdfe2-e6a6-4f95-b35a-e59d824bf36a}" parentId="{cd5a674a-7e5d-441a-a4f2-a44bee55ca0b}">
    <x18tc:text xml:space="preserve">I looked at the details on the page, it looks like you would need API from Keti, which already exist https://keti.api.staging.ccs.guidewire.net/swagger-ui/preview-index.html#/applications/postSecret
Is there anything else in scope you see for Keti?</x18tc:text>
    <x18tc:extLst>
      <ext uri="{F7C98A9C-CBB3-438F-8F68-D28B6AF4A901}">
        <xltc2:checksum/>
        <xltc2:hyperlink startIndex="101" length="97" url="https://keti.api.staging.ccs.guidewire.net/swagger-ui/preview-index.html#/applications/postSecret"/>
      </ext>
    </x18tc:extLst>
  </x18tc:threadedComment>
  <x18tc:threadedComment ref="BA17" dT="2026-07-14T00:25:37.00" personId="{e28f70c1-ef12-4c89-8349-6cb27991439b}" id="{88a7679d-f3fa-4ad2-a6ce-9792422c2643}" parentId="{cd5a674a-7e5d-441a-a4f2-a44bee55ca0b}">
    <x18tc:text xml:space="preserve">From our perspective, if there are no Okta secrets that you need for auto-rotation (that should be migrated to Helios), SPIRE adoption for connecting to Helios will be the only requirement going forrward</x18tc:text>
  </x18tc:threadedComment>
  <x18tc:threadedComment ref="BA17" dT="2026-07-16T23:02:38.00" personId="{4829e030-29ff-4d9e-9e93-390c2a54ea65}" id="{159a2759-7240-4a77-97cc-1a5edf8edc08}" parentId="{cd5a674a-7e5d-441a-a4f2-a44bee55ca0b}">
    <x18tc:text xml:space="preserve">@cpetluri@guidewire.com @dhsharma@guidewire.com I added 3 weeks of effort to the original 1 week, to account for the necessary redesign of the way the `lastUsed` property is supplied in the Keti Secrets API, to improve scalability.
1 total reaction
Chakravarthy Petluri reacted with 👍 at 07/17/2026, 4:20 PM UTC</x18tc:text>
    <x18tc:mentions>
      <x18tc:mention mentionpersonId="{8406af2e-9a76-40b2-a7a0-2c6afa310f9d}" mentionId="{ed2e0b6f-eed0-4413-8f93-2bfc28021698}" startIndex="0" length="23"/>
      <x18tc:mention mentionpersonId="{8caf03f4-4a5e-4075-a37e-b0df4b86d6b2}" mentionId="{02e5fa84-4147-40c8-abee-a722b34ac72d}" startIndex="24" length="23"/>
    </x18tc:mentions>
  </x18tc:threadedComment>
  <x18tc:threadedComment ref="B17" dT="2026-07-07T17:14:36.00" personId="{7d6d157a-310c-4a7e-b624-fd05cd31f5f1}" id="{fb5d142d-ca62-4d12-af60-53d30b5748c1}" done="0">
    <x18tc:text xml:space="preserve">@cpetluri@guidewire.com : Please add a one pager in confluence and link it here
Assigned to cpetluri@guidewire.com</x18tc:text>
    <x18tc:mentions>
      <x18tc:mention mentionpersonId="{8406af2e-9a76-40b2-a7a0-2c6afa310f9d}" mentionId="{02a76b7d-1362-447d-9003-29d47e64f165}" startIndex="0" length="23"/>
    </x18tc:mentions>
  </x18tc:threadedComment>
  <x18tc:threadedComment ref="B17" dT="2026-07-07T17:31:38.00" personId="{e28f70c1-ef12-4c89-8349-6cb27991439b}" id="{6d7d39f4-239d-4027-a694-cfdb37e8728b}" parentId="{fb5d142d-ca62-4d12-af60-53d30b5748c1}">
    <x18tc:text xml:space="preserve">Done</x18tc:text>
  </x18tc:threadedComment>
  <x18tc:threadedComment ref="AJ22" dT="2026-07-21T04:40:31.00" personId="{bd50c6ca-3225-4178-9115-62cd4eafdb60}" id="{82f46bf4-5c7d-4fa0-b91d-4d89ce4beb9e}" done="1">
    <x18tc:text xml:space="preserve">@jguionnet@guidewire.com We do not have a dependency with Kanata for Cluster KEP. Was this added for some other reason?</x18tc:text>
    <x18tc:mentions>
      <x18tc:mention mentionpersonId="{15899f7f-e862-4c2e-86b4-7ca98f25b9f4}" mentionId="{d2e63a8d-6aea-4d68-b0d0-95bb032ba5f6}" startIndex="0" length="24"/>
    </x18tc:mentions>
  </x18tc:threadedComment>
  <x18tc:threadedComment ref="AJ22" dT="2026-07-21T11:41:09.00" personId="{fdd9deb0-0752-4724-9af1-ea031bd01e48}" id="{5a04f8d8-f5f0-421d-affc-5e45e521706b}" parentId="{82f46bf4-5c7d-4fa0-b91d-4d89ce4beb9e}">
    <x18tc:text xml:space="preserve">No my bad. Kanata using OCM will leverage the cluster KEP, so the dependency is the other way around</x18tc:text>
  </x18tc:threadedComment>
  <x18tc:threadedComment ref="Q20" dT="2026-07-01T20:06:56.00" personId="{286bd2de-8ccd-4afa-8208-966c0aa309b9}" id="{2976b547-2495-40e6-9303-c4bc808572d6}" done="0">
    <x18tc:text xml:space="preserve">Scope for Avondale:
oort
cert-manager</x18tc:text>
  </x18tc:threadedComment>
  <x18tc:threadedComment ref="Q20" dT="2026-07-23T18:47:14.00" personId="{b8c5c968-34dc-4851-bdeb-1b4e1462cb2b}" id="{7c935d3a-3357-4e06-bb1d-b5b82d258719}" parentId="{2976b547-2495-40e6-9303-c4bc808572d6}">
    <x18tc:text xml:space="preserve">We've decided to remove these items from scope.
I set this value to "No Dependency" but it was changed back to 6 on July 14, 11:26 AM. I'm updating again.</x18tc:text>
  </x18tc:threadedComment>
  <x18tc:threadedComment ref="Q20" dT="2026-07-23T18:49:56.00" personId="{b8c5c968-34dc-4851-bdeb-1b4e1462cb2b}" id="{54acee5d-1881-44aa-907e-27605613e314}" parentId="{2976b547-2495-40e6-9303-c4bc808572d6}">
    <x18tc:text xml:space="preserve">@msmriti@guidewire.com, please don't update our cell here</x18tc:text>
    <x18tc:mentions>
      <x18tc:mention mentionpersonId="{4fa32788-b19d-42ec-b2db-713f60a44711}" mentionId="{edb01da6-b3b6-4de6-acff-76d74147bea6}" startIndex="0" length="22"/>
    </x18tc:mentions>
  </x18tc:threadedComment>
  <x18tc:threadedComment ref="Q20" dT="2026-07-23T20:24:38.00" personId="{b55620b1-97e8-4c3f-9b2b-992c195732e8}" id="{bcacb3ca-686c-4b9c-a373-91c73836ebda}" parentId="{2976b547-2495-40e6-9303-c4bc808572d6}">
    <x18tc:text xml:space="preserve">@mrusso@guidewire.com The change was made without any communication. We would like to know why the scope has been removed, and discuss this further before finalizing this. 
cc: @bsekar@guidewire.com
1 total reaction
Bharath Sekar reacted with ➕ at 07/24/2026, 5:45 PM UTC</x18tc:text>
    <x18tc:mentions>
      <x18tc:mention mentionpersonId="{d2ee7563-ce62-4e76-b17d-fe5b98eaeea7}" mentionId="{cb572689-4bf2-43a0-8f87-11e1cfcba9a0}" startIndex="0" length="21"/>
      <x18tc:mention mentionpersonId="{72d6c93c-3592-4ad8-bf9d-420c1e2be403}" mentionId="{850c69e3-f514-4d27-9090-d9e667004d05}" startIndex="178" length="21"/>
    </x18tc:mentions>
  </x18tc:threadedComment>
  <x18tc:threadedComment ref="BN9" dT="2026-07-10T08:41:22.00" personId="{f6366c9e-cebb-4b9b-a866-08c7b4ba8334}" id="{2924684b-ca79-4a8b-9667-7d0f6f132b3c}" done="1">
    <x18tc:text xml:space="preserve">Warrior: OAM components</x18tc:text>
  </x18tc:threadedComment>
  <x18tc:threadedComment ref="AG17" dT="2026-07-13T19:25:33.00" personId="{e28f70c1-ef12-4c89-8349-6cb27991439b}" id="{9f569737-90cc-4b40-a565-91e354ab605d}" done="0">
    <x18tc:text xml:space="preserve">@gbouzeid@guidewire.com Please help us out here
Assigned to gbouzeid@guidewire.com</x18tc:text>
    <x18tc:mentions>
      <x18tc:mention mentionpersonId="{745d7f76-f965-499b-8df6-91dbc43b9fb3}" mentionId="{3323b7dc-1c10-4fcf-80aa-d2adb42f227c}" startIndex="0" length="23"/>
    </x18tc:mentions>
  </x18tc:threadedComment>
  <x18tc:threadedComment ref="AG17" dT="2026-07-14T20:10:33.00" personId="{54eae484-93a2-444b-bad4-b9c1b9b87098}" id="{e62a6c5a-e32b-4cf6-b8a4-9157a4cf0b18}" parentId="{9f569737-90cc-4b40-a565-91e354ab605d}">
    <x18tc:text xml:space="preserve">I am not aware of MSK dependency for Danville - i will update as such - though @beloy@guidewire.com @msherwin@guidewire.com please confirm thx
Reassigned to beloy@guidewire.com</x18tc:text>
    <x18tc:mentions>
      <x18tc:mention mentionpersonId="{2a75f47e-94ab-4e0f-88b5-7d5c15aedead}" mentionId="{a9662f75-cb58-4923-972c-68321796e6a8}" startIndex="79" length="20"/>
      <x18tc:mention mentionpersonId="{24de4957-e6f2-42b2-a0c8-54c40f8be555}" mentionId="{5d75e5b5-61fd-447f-8927-13ed876ee57b}" startIndex="100" length="23"/>
    </x18tc:mentions>
  </x18tc:threadedComment>
  <x18tc:threadedComment ref="W17" dT="2026-07-13T19:22:57.00" personId="{e28f70c1-ef12-4c89-8349-6cb27991439b}" id="{3fdef2b9-2b68-45d3-adab-51c313cea41f}" done="1">
    <x18tc:text xml:space="preserve">@gbouzeid@guidewire.com Please help us out here
Assigned to gbouzeid@guidewire.com</x18tc:text>
    <x18tc:mentions>
      <x18tc:mention mentionpersonId="{745d7f76-f965-499b-8df6-91dbc43b9fb3}" mentionId="{ce636dce-d82c-40e4-9f54-0fabdfdce7ce}" startIndex="0" length="23"/>
    </x18tc:mentions>
  </x18tc:threadedComment>
  <x18tc:threadedComment ref="W17" dT="2026-07-14T20:11:39.00" personId="{54eae484-93a2-444b-bad4-b9c1b9b87098}" id="{84c20791-2a8a-4d86-a1e0-2c8120cdfc58}" parentId="{3fdef2b9-2b68-45d3-adab-51c313cea41f}">
    <x18tc:text xml:space="preserve">Marked as done</x18tc:text>
  </x18tc:threadedComment>
  <x18tc:threadedComment ref="W17" dT="2026-07-15T17:14:02.00" personId="{e28f70c1-ef12-4c89-8349-6cb27991439b}" id="{c788ac25-50a8-456d-befb-8d5b3225c033}" parentId="{3fdef2b9-2b68-45d3-adab-51c313cea41f}">
    <x18tc:text xml:space="preserve">@gbouzeid@guidewire.com Please mark this as "No dependency" if there are no dependencies
Re-opened</x18tc:text>
    <x18tc:mentions>
      <x18tc:mention mentionpersonId="{745d7f76-f965-499b-8df6-91dbc43b9fb3}" mentionId="{676985b6-afa5-4a2a-bbb9-40747e917ba4}" startIndex="0" length="23"/>
    </x18tc:mentions>
  </x18tc:threadedComment>
  <x18tc:threadedComment ref="W17" dT="2026-07-15T19:37:18.00" personId="{54eae484-93a2-444b-bad4-b9c1b9b87098}" id="{c44bfa84-e9a0-4be7-b8ae-98b92fd15300}" parentId="{3fdef2b9-2b68-45d3-adab-51c313cea41f}">
    <x18tc:text xml:space="preserve">updated thx</x18tc:text>
  </x18tc:threadedComment>
  <x18tc:threadedComment ref="BN9" dT="2026-07-10T08:43:40.00" personId="{f6366c9e-cebb-4b9b-a866-08c7b4ba8334}" id="{dab7678b-f17a-4ffb-86fc-6c4e7f26bf78}" done="0">
    <x18tc:text xml:space="preserve">Warrior: tf/OAM components, Brilliant: KMS/Key Service</x18tc:text>
  </x18tc:threadedComment>
  <x18tc:threadedComment ref="B15" dT="2026-07-07T17:15:56.00" personId="{7d6d157a-310c-4a7e-b624-fd05cd31f5f1}" id="{f331398f-b3cf-4fab-acca-b95211c921e8}" done="0">
    <x18tc:text xml:space="preserve">@cpetluri@guidewire.com : Please add a one pager in confluence and link it here
Assigned to cpetluri@guidewire.com</x18tc:text>
    <x18tc:mentions>
      <x18tc:mention mentionpersonId="{8406af2e-9a76-40b2-a7a0-2c6afa310f9d}" mentionId="{cd27c735-2c8b-4d3d-be10-d0d2bfeccb36}" startIndex="0" length="23"/>
    </x18tc:mentions>
  </x18tc:threadedComment>
  <x18tc:threadedComment ref="B15" dT="2026-07-07T17:27:55.00" personId="{e28f70c1-ef12-4c89-8349-6cb27991439b}" id="{c101e029-52cc-41bd-b2e3-09bb966accef}" parentId="{f331398f-b3cf-4fab-acca-b95211c921e8}">
    <x18tc:text xml:space="preserve">Done</x18tc:text>
  </x18tc:threadedComment>
  <x18tc:threadedComment ref="B9" dT="2026-07-07T17:15:41.00" personId="{7d6d157a-310c-4a7e-b624-fd05cd31f5f1}" id="{05783dff-d0fa-4460-b4bc-ef43c5005887}" done="0">
    <x18tc:text xml:space="preserve">@cpetluri@guidewire.com : Please add a one pager in confluence and link it here</x18tc:text>
    <x18tc:mentions>
      <x18tc:mention mentionpersonId="{8406af2e-9a76-40b2-a7a0-2c6afa310f9d}" mentionId="{ac8883b0-96b5-4e7d-8e7a-90672c974365}" startIndex="0" length="23"/>
    </x18tc:mentions>
  </x18tc:threadedComment>
  <x18tc:threadedComment ref="B9" dT="2026-07-07T17:17:19.00" personId="{e28f70c1-ef12-4c89-8349-6cb27991439b}" id="{4e283436-e80d-4e19-a758-1788b4a59315}" parentId="{05783dff-d0fa-4460-b4bc-ef43c5005887}">
    <x18tc:text xml:space="preserve">Done</x18tc:text>
  </x18tc:threadedComment>
  <x18tc:threadedComment ref="AY17" dT="2026-07-13T19:30:25.00" personId="{e28f70c1-ef12-4c89-8349-6cb27991439b}" id="{d1dc2ec7-2e36-4431-8c08-f42384382486}" done="0">
    <x18tc:text xml:space="preserve">@kjayachandran@guidewire.com Please help us out here
Assigned to kjayachandran@guidewire.com</x18tc:text>
    <x18tc:mentions>
      <x18tc:mention mentionpersonId="{0a13f472-83e1-4ed7-b5f7-f3e6fab0b303}" mentionId="{885a5911-3201-4b64-accf-5730ebfcf367}" startIndex="0" length="28"/>
    </x18tc:mentions>
  </x18tc:threadedComment>
  <x18tc:threadedComment ref="AO17" dT="2026-07-13T19:26:11.00" personId="{e28f70c1-ef12-4c89-8349-6cb27991439b}" id="{c0574e78-393b-4418-bf30-f9b3b80e39c3}" done="0">
    <x18tc:text xml:space="preserve">@atomar@guidewire.com Please help us out here
Assigned to atomar@guidewire.com</x18tc:text>
    <x18tc:mentions>
      <x18tc:mention mentionpersonId="{b1e856c7-db14-4a0e-b4a6-b642dfdfb6ed}" mentionId="{83cb79a6-d746-455c-880d-693dd95a2d05}" startIndex="0" length="21"/>
    </x18tc:mentions>
  </x18tc:threadedComment>
  <x18tc:threadedComment ref="AO17" dT="2026-07-14T15:13:44.00" personId="{5ec39123-4a15-47f2-87a8-13dfe758f6e2}" id="{319e38f5-ed87-418d-b3c5-71949f9e0ec5}" parentId="{c0574e78-393b-4418-bf30-f9b3b80e39c3}">
    <x18tc:text xml:space="preserve">Kanata does not store any Okta credentials in Helios and does not operate any microservices, dependency should be none.
1 total reaction
Chakravarthy Petluri reacted with 👍 at 07/15/2026, 5:01 PM UTC</x18tc:text>
  </x18tc:threadedComment>
  <x18tc:threadedComment ref="N17" dT="2026-07-13T19:20:56.00" personId="{e28f70c1-ef12-4c89-8349-6cb27991439b}" id="{e24732ba-4cdc-4afb-93b2-f852f9db8d03}" done="0">
    <x18tc:text xml:space="preserve">@amkhanna@guidewire.com Please help us out here
Assigned to amkhanna@guidewire.com</x18tc:text>
    <x18tc:mentions>
      <x18tc:mention mentionpersonId="{0a8aed59-9de1-4881-b9af-625628e8f795}" mentionId="{c540d5d5-a8fc-46db-83b3-62ac62404b3b}" startIndex="0" length="23"/>
    </x18tc:mentions>
  </x18tc:threadedComment>
  <x18tc:threadedComment ref="N17" dT="2026-07-29T15:23:10.00" personId="{e28f70c1-ef12-4c89-8349-6cb27991439b}" id="{041ca3bf-b543-48e6-ad73-3fb78e02cb38}" parentId="{e24732ba-4cdc-4afb-93b2-f852f9db8d03}">
    <x18tc:text xml:space="preserve">@amkhanna@guidewire.com Gentle reminder here</x18tc:text>
    <x18tc:mentions>
      <x18tc:mention mentionpersonId="{0a8aed59-9de1-4881-b9af-625628e8f795}" mentionId="{2c8591ab-3de8-47e6-ba6d-3c04e31db1c5}" startIndex="0" length="23"/>
    </x18tc:mentions>
  </x18tc:threadedComment>
  <x18tc:threadedComment ref="AO21" dT="2026-07-21T00:00:40.00" personId="{4b9461a6-2cd7-419c-9e4f-545a60a17bc5}" id="{2b787389-401a-41f2-abb5-4cacf571f775}" done="0">
    <x18tc:text xml:space="preserve">Changes will be done by sub-module owners, Kanata might have to publish some instructions/documentation.</x18tc:text>
  </x18tc:threadedComment>
  <x18tc:threadedComment ref="W22" dT="2026-07-20T08:32:39.00" personId="{fdd9deb0-0752-4724-9af1-ea031bd01e48}" id="{f59e09ca-4326-4caf-af18-e37eecce0c1e}" done="0">
    <x18tc:text xml:space="preserve">@gbouzeid@guidewire.com As Ignite is gone, a team will haveto build the GWCP limits tracking app/dashboard and I feel it is in Bolinas domain. See the link to the confluence page for details and we can then chat online/offline. I am planning to create an RFC for it to
Assigned to gbouzeid@guidewire.com</x18tc:text>
    <x18tc:mentions>
      <x18tc:mention mentionpersonId="{745d7f76-f965-499b-8df6-91dbc43b9fb3}" mentionId="{32aee013-685a-4736-8033-f532ddf73067}" startIndex="0" length="23"/>
    </x18tc:mentions>
  </x18tc:threadedComment>
  <x18tc:threadedComment ref="W22" dT="2026-07-20T17:35:02.00" personId="{54eae484-93a2-444b-bad4-b9c1b9b87098}" id="{8202c18f-01b6-4363-8a0d-00dae199929d}" parentId="{f59e09ca-4326-4caf-af18-e37eecce0c1e}">
    <x18tc:text xml:space="preserve">thanks @jguionnet@guidewire.com for the update - in this case yep we need an estimate for Bolinas - including @ppaul@guidewire.com @bsekar@guidewire.com on this thread to review the ask/provide an estimate
Reassigned to ppaul@guidewire.com</x18tc:text>
    <x18tc:mentions>
      <x18tc:mention mentionpersonId="{15899f7f-e862-4c2e-86b4-7ca98f25b9f4}" mentionId="{f1941c32-7cfa-45dd-a503-c7e8e6a4a22b}" startIndex="7" length="24"/>
      <x18tc:mention mentionpersonId="{b9e5cf21-d7ea-4fe5-a729-64b89cb59d40}" mentionId="{b83f06fb-6a12-4e12-b84c-4cd00a170f4d}" startIndex="110" length="20"/>
      <x18tc:mention mentionpersonId="{72d6c93c-3592-4ad8-bf9d-420c1e2be403}" mentionId="{826a5c75-68cb-4e6a-bf43-db958508af36}" startIndex="131" length="21"/>
    </x18tc:mentions>
  </x18tc:threadedComment>
  <x18tc:threadedComment ref="AP3" dT="2026-07-03T15:29:22.00" personId="{204883d9-ce2c-4ba0-815c-503d69b6b19e}" id="{439e79eb-4a1a-41f5-a20f-23920cc710cd}" done="0">
    <x18tc:text xml:space="preserve">@amkhanna@guidewire.com Guard's "Entitlements" related needs are taken into account as part of Fulfillment Service estimate
1 total reaction
Amrit Khanna reacted with 👍 at 07/03/2026, 4:53 PM UTC</x18tc:text>
    <x18tc:mentions>
      <x18tc:mention mentionpersonId="{0a8aed59-9de1-4881-b9af-625628e8f795}" mentionId="{8eb7672e-a6e6-44a0-89c1-ba92745d2d7d}" startIndex="0" length="23"/>
    </x18tc:mentions>
  </x18tc:threadedComment>
  <x18tc:threadedComment ref="AP3" dT="2026-07-06T21:39:32.00" personId="{7d6d157a-310c-4a7e-b624-fd05cd31f5f1}" id="{c80da877-63f9-42be-90c6-f721d660febd}" parentId="{439e79eb-4a1a-41f5-a20f-23920cc710cd}">
    <x18tc:text xml:space="preserve">Lets only add dependency team names (comma separated) here as we are going to do some automations and with non standard input, it breaks.</x18tc:text>
  </x18tc:threadedComment>
  <x18tc:threadedComment ref="B23" dT="2026-07-17T20:36:30.00" personId="{61cac862-3159-478e-bfc8-f7bb69b5daa8}" id="{f0b1b83e-6250-4a56-b892-f5dfeeb7c203}" done="0">
    <x18tc:text xml:space="preserve">@jguionnet@guidewire.com do we have any more detailed documentation on this topic beyond slides?
Slides speaks about a Summary of "some type" of analysis. That analysis is more important to understand the details.
Assigned to jguionnet@guidewire.com</x18tc:text>
    <x18tc:mentions>
      <x18tc:mention mentionpersonId="{15899f7f-e862-4c2e-86b4-7ca98f25b9f4}" mentionId="{ca24b442-2ab1-4848-a1b1-f43484207e5e}" startIndex="0" length="24"/>
    </x18tc:mentions>
  </x18tc:threadedComment>
  <x18tc:threadedComment ref="B23" dT="2026-07-20T08:29:20.00" personId="{fdd9deb0-0752-4724-9af1-ea031bd01e48}" id="{ee0bba47-83e1-411e-b8c3-02a79d055d2f}" parentId="{f0b1b83e-6250-4a56-b892-f5dfeeb7c203}">
    <x18tc:text xml:space="preserve">For AuthN/Z, the scope is mainly LLM06, so something around
- Delegated Authorization: Implement an AuthZ proxy layer (such as Mithril using OPA/Rego) to ensure agents cannot exceed the permission scope of the user invoking them
- Human-in-the-Loop (HITL): Mandate explicit human approval before agents can execute high-stakes, destructive, or write actions
- Strict Tool Governance: Use a centralized Model Context Protocol (MCP) server registry and enforce least-privilege tool exposure via strict admission policies
- Cryptographic Identity: Replace static API keys with dynamic, instance-level workload identities (like SPIFFE/SPIRE) to securely authenticate agent connections
- Advanced Sandboxing: Isolate agents that run untrusted, LLM-generated code by utilizing advanced sandboxing technologies like WebAssembly (Wasm) or the Kubernetes Agent Sandbox</x18tc:text>
  </x18tc:threadedComment>
  <x18tc:threadedComment ref="AS17" dT="2026-07-13T19:26:50.00" personId="{e28f70c1-ef12-4c89-8349-6cb27991439b}" id="{4a3cae41-5084-421f-945a-f906dd033834}" done="0">
    <x18tc:text xml:space="preserve">@dhsharma@guidewire.com Please help us out here
Assigned to dhsharma@guidewire.com</x18tc:text>
    <x18tc:mentions>
      <x18tc:mention mentionpersonId="{8caf03f4-4a5e-4075-a37e-b0df4b86d6b2}" mentionId="{a6b8b067-1e20-49b3-a064-8dbea6fcf898}" startIndex="0" length="23"/>
    </x18tc:mentions>
  </x18tc:threadedComment>
  <x18tc:threadedComment ref="AS17" dT="2026-07-13T20:25:59.00" personId="{61cac862-3159-478e-bfc8-f7bb69b5daa8}" id="{cc5b81a2-687f-42fa-bc3b-ad53e1622daf}" parentId="{4a3cae41-5084-421f-945a-f906dd033834}">
    <x18tc:text xml:space="preserve">@cpetluri@guidewire.com what information are you looking for?
I checked the document, it does not mention any details related to Mithril.
Can you share what is the Mithril scope?
Reassigned to cpetluri@guidewire.com</x18tc:text>
    <x18tc:mentions>
      <x18tc:mention mentionpersonId="{8406af2e-9a76-40b2-a7a0-2c6afa310f9d}" mentionId="{f9b9e1f7-a260-49a5-9ded-06e110aef62d}" startIndex="0" length="23"/>
    </x18tc:mentions>
  </x18tc:threadedComment>
  <x18tc:threadedComment ref="AS17" dT="2026-07-14T00:22:53.00" personId="{e28f70c1-ef12-4c89-8349-6cb27991439b}" id="{54f98661-e4cd-4eec-907a-1945f1e3a8fc}" parentId="{4a3cae41-5084-421f-945a-f906dd033834}">
    <x18tc:text xml:space="preserve">SPIRE adoption if Mithril uses Helios.</x18tc:text>
  </x18tc:threadedComment>
  <x18tc:threadedComment ref="AS17" dT="2026-07-14T17:22:56.00" personId="{e5d3dd1d-cf3f-4447-9596-54dc3fd5ef0c}" id="{d10b7608-47b9-4844-ae79-1682fcd59a7f}" parentId="{4a3cae41-5084-421f-945a-f906dd033834}">
    <x18tc:text xml:space="preserve">The estimate is for Mithril (GADS and OPA) to consume the Spiffe/Spire implementation to store/retrieve the secrets from Helios.
1 total reaction
Chakravarthy Petluri reacted with 👍 at 07/15/2026, 5:03 PM UTC</x18tc:text>
  </x18tc:threadedComment>
  <x18tc:threadedComment ref="AS17" dT="2026-07-24T16:32:28.00" personId="{e28f70c1-ef12-4c89-8349-6cb27991439b}" id="{bb791f51-656c-4242-b8de-ab3166083fdb}" parentId="{4a3cae41-5084-421f-945a-f906dd033834}">
    <x18tc:text xml:space="preserve">@dhsharma@guidewire.com Based on the conversation here - https://guidewire.slack.com/archives/C0657SL7YNQ/p1784831007527559- I am adding the effort mentioned in SPIRE here
CC: @suramasamy@guidewire.com
Reassigned to dhsharma@guidewire.com</x18tc:text>
    <x18tc:mentions>
      <x18tc:mention mentionpersonId="{8caf03f4-4a5e-4075-a37e-b0df4b86d6b2}" mentionId="{09058d0e-811e-4bab-a457-ded659954cb6}" startIndex="0" length="23"/>
      <x18tc:mention mentionpersonId="{703efb3d-5bb5-4040-a4ec-8bcba53659af}" mentionId="{c7c601ea-c2c8-4733-af21-ec2ea9cd4c9d}" startIndex="177" length="25"/>
    </x18tc:mentions>
    <x18tc:extLst>
      <ext uri="{F7C98A9C-CBB3-438F-8F68-D28B6AF4A901}">
        <xltc2:checksum/>
        <xltc2:hyperlink startIndex="57" length="67" url="https://guidewire.slack.com/archives/C0657SL7YNQ/p1784831007527559-"/>
      </ext>
    </x18tc:extLst>
  </x18tc:threadedComment>
  <x18tc:threadedComment ref="AO16" dT="2026-07-20T23:50:30.00" personId="{4b9461a6-2cd7-419c-9e4f-545a60a17bc5}" id="{cc3facaa-4189-42b8-ad56-23555cbc6042}" done="0">
    <x18tc:text xml:space="preserve">There shouldn't be anything for Tenancy, however we will have to define quotas for Asteroid.</x18tc:text>
  </x18tc:threadedComment>
  <x18tc:threadedComment ref="BK17" dT="2026-07-13T19:28:15.00" personId="{e28f70c1-ef12-4c89-8349-6cb27991439b}" id="{cada88fb-a4a5-49dc-b8a8-9e745682b26b}" done="0">
    <x18tc:text xml:space="preserve">@atomar@guidewire.com Please help us out here
Assigned to atomar@guidewire.com</x18tc:text>
    <x18tc:mentions>
      <x18tc:mention mentionpersonId="{b1e856c7-db14-4a0e-b4a6-b642dfdfb6ed}" mentionId="{c66c2f6e-8b77-48b9-89bd-e294ffa1eaa6}" startIndex="0" length="21"/>
    </x18tc:mentions>
  </x18tc:threadedComment>
  <x18tc:threadedComment ref="BK17" dT="2026-07-14T21:55:21.00" personId="{5ec39123-4a15-47f2-87a8-13dfe758f6e2}" id="{49f815e2-2681-43dc-b21d-edc3b44d1a74}" parentId="{cada88fb-a4a5-49dc-b8a8-9e745682b26b}">
    <x18tc:text xml:space="preserve">@cpetluri@guidewire.com We need to move RHSDR provisioner to using SPIRE to talk to Helios, right now we use an Okta credential to talk to Helios.
I'm not sure if I should put this estimate here or under the SPIRE line (line 31), so I'm putting it here for now and setting the other one to no dependency. Feel free to change it.</x18tc:text>
    <x18tc:mentions>
      <x18tc:mention mentionpersonId="{8406af2e-9a76-40b2-a7a0-2c6afa310f9d}" mentionId="{62210528-8c16-4009-a60f-814a793fb54b}" startIndex="0" length="23"/>
    </x18tc:mentions>
  </x18tc:threadedComment>
  <x18tc:threadedComment ref="BK17" dT="2026-07-15T16:59:04.00" personId="{e28f70c1-ef12-4c89-8349-6cb27991439b}" id="{23101fcc-4eb1-489b-b63e-84b35531d140}" parentId="{cada88fb-a4a5-49dc-b8a8-9e745682b26b}">
    <x18tc:text xml:space="preserve">I moved it to SPIRE dependency. Thank you</x18tc:text>
  </x18tc:threadedComment>
  <x18tc:threadedComment ref="BK17" dT="2026-07-24T16:36:28.00" personId="{e28f70c1-ef12-4c89-8349-6cb27991439b}" id="{8eb48585-1a00-457f-9a61-cec93dc531bd}" parentId="{cada88fb-a4a5-49dc-b8a8-9e745682b26b}">
    <x18tc:text xml:space="preserve">@jdobson@guidewire.com Based on the conversation here - https://guidewire.slack.com/archives/C0657SL7YNQ/p1784831007527559- I am adding the effort mentioned in SPIRE here
CC: @atomar@guidewire.com
Reassigned to jdobson@guidewire.com</x18tc:text>
    <x18tc:mentions>
      <x18tc:mention mentionpersonId="{fb559fcf-211f-4073-84f5-555b4ff178df}" mentionId="{0507c68e-25b2-4be1-9e2e-54cff97093b1}" startIndex="0" length="22"/>
      <x18tc:mention mentionpersonId="{b1e856c7-db14-4a0e-b4a6-b642dfdfb6ed}" mentionId="{7055660d-997a-43ac-8ffe-654c03b0ce06}" startIndex="176" length="21"/>
    </x18tc:mentions>
    <x18tc:extLst>
      <ext uri="{F7C98A9C-CBB3-438F-8F68-D28B6AF4A901}">
        <xltc2:checksum/>
        <xltc2:hyperlink startIndex="56" length="67" url="https://guidewire.slack.com/archives/C0657SL7YNQ/p1784831007527559-"/>
      </ext>
    </x18tc:extLst>
  </x18tc:threadedComment>
  <x18tc:threadedComment ref="BD24" dT="2026-07-01T22:27:24.00" personId="{589022af-f09c-4505-b48f-db8f7a94e760}" id="{1dc2ac27-8e3c-4b09-83be-f9e8da8141af}" done="0">
    <x18tc:text xml:space="preserve">Needs changes from all µS teams</x18tc:text>
  </x18tc:threadedComment>
  <x18tc:threadedComment ref="B22" dT="2026-07-17T20:51:58.00" personId="{7fd15008-94ee-4f23-a195-6d4dedd4ea7e}" id="{bb77686f-5554-4f9e-9421-d680ca231f58}" done="0">
    <x18tc:text xml:space="preserve">@jguionnet@guidewire.com @beloy@guidewire.com BYOA has a serious dependency on the capability to systematically provide information what is the availability of resources (based on quota and limits) so that customers can real time purchase compute and provision resources as they deploy apps.
2 total reactions
Jerome Guionnet reacted with 👍 at 07/20/2026, 8:30 AM UTC
Ben Eloy reacted with 👍 at 07/28/2026, 4:39 PM UTC
Assigned to jguionnet@guidewire.com</x18tc:text>
    <x18tc:mentions>
      <x18tc:mention mentionpersonId="{15899f7f-e862-4c2e-86b4-7ca98f25b9f4}" mentionId="{18b517d6-131b-4ae9-96ee-eba4bb91d81b}" startIndex="0" length="24"/>
      <x18tc:mention mentionpersonId="{2a75f47e-94ab-4e0f-88b5-7d5c15aedead}" mentionId="{1a359745-4b53-480b-b155-7328f5ba5882}" startIndex="25" length="20"/>
    </x18tc:mentions>
  </x18tc:threadedComment>
  <x18tc:threadedComment ref="AY7" dT="2026-07-18T05:17:30.00" personId="{53eacbaa-b284-476d-89c0-8a0d10ce7b50}" id="{1b0d4fda-286c-4667-a8e8-b0b8df8d66b7}" done="1">
    <x18tc:text xml:space="preserve">TMD or equivalent?
@kjayachandran@guidewire.com - Please check</x18tc:text>
    <x18tc:mentions>
      <x18tc:mention mentionpersonId="{0a13f472-83e1-4ed7-b5f7-f3e6fab0b303}" mentionId="{200ed470-19b0-4837-b311-4173235f0573}" startIndex="19" length="28"/>
    </x18tc:mentions>
  </x18tc:threadedComment>
  <x18tc:threadedComment ref="Q7" dT="2026-07-01T20:38:47.00" personId="{b8c5c968-34dc-4851-bdeb-1b4e1462cb2b}" id="{1efcf07c-f45d-4132-a1b7-3d59eca764b8}" done="0">
    <x18tc:text xml:space="preserve">I'm not sure if we need to do anything here, need more info. I'm assuming no for now.</x18tc:text>
  </x18tc:threadedComment>
  <x18tc:threadedComment ref="AG7" dT="2026-07-18T05:16:21.00" personId="{53eacbaa-b284-476d-89c0-8a0d10ce7b50}" id="{91054635-afda-4fd5-8149-c10bff5ed00e}" done="0">
    <x18tc:text xml:space="preserve">- If any outstanding on PDB
- WNR improvements?
- Hot stand-by nodes?
Work collaboratively with SREPlat</x18tc:text>
  </x18tc:threadedComment>
  <x18tc:threadedComment ref="Q25" dT="2026-07-06T16:13:44.00" personId="{286bd2de-8ccd-4afa-8208-966c0aa309b9}" id="{bd1b2051-5f50-4aca-8b04-9e65ad7790c1}" done="0">
    <x18tc:text xml:space="preserve">@mrusso@guidewire.com can we consider this estimation already included as part of the BYOA line item (AWS Tenant isolation)?</x18tc:text>
    <x18tc:mentions>
      <x18tc:mention mentionpersonId="{d2ee7563-ce62-4e76-b17d-fe5b98eaeea7}" mentionId="{672dcb1f-ff2a-4734-98fc-54a146050197}" startIndex="0" length="21"/>
    </x18tc:mentions>
  </x18tc:threadedComment>
  <x18tc:threadedComment ref="Q25" dT="2026-07-06T16:59:02.00" personId="{b8c5c968-34dc-4851-bdeb-1b4e1462cb2b}" id="{f40490fb-f7e9-4dc3-9a38-1992d18a108c}" parentId="{bd1b2051-5f50-4aca-8b04-9e65ad7790c1}">
    <x18tc:text xml:space="preserve">Are you suggesting we remove estimates from here? I'd rather have estimates on this more granular item than on BYOA.</x18tc:text>
  </x18tc:threadedComment>
  <x18tc:threadedComment ref="Q25" dT="2026-07-06T21:04:37.00" personId="{286bd2de-8ccd-4afa-8208-966c0aa309b9}" id="{f8db4e36-d1e7-470d-a704-3229d6683026}" parentId="{bd1b2051-5f50-4aca-8b04-9e65ad7790c1}">
    <x18tc:text xml:space="preserve">ok, then we can remove the estimate from the BYOA.
2 total reactions
Michael Russo reacted with 👍 at 07/06/2026, 10:34 PM UTC
Michael Russo reacted with ✅ at 07/06/2026, 10:36 PM UTC</x18tc:text>
  </x18tc:threadedComment>
  <x18tc:threadedComment ref="BO21" dT="2026-07-01T13:16:26.00" personId="{f6366c9e-cebb-4b9b-a866-08c7b4ba8334}" id="{5926a852-08a9-4193-b0b4-4a992962af3b}" done="0">
    <x18tc:text xml:space="preserve">1. UI validation for proper star dring RDS assignment</x18tc:text>
  </x18tc:threadedComment>
  <x18tc:threadedComment ref="AE7" dT="2026-07-18T05:20:10.00" personId="{53eacbaa-b284-476d-89c0-8a0d10ce7b50}" id="{5fdae81a-fbbb-4bcd-979d-afa8685593ec}" done="0">
    <x18tc:text xml:space="preserve">as for any of the changes like WNR, hot stand-by, etc - SRE Plat have to spend time</x18tc:text>
  </x18tc:threadedComment>
  <x18tc:threadedComment ref="B7" dT="2026-07-01T23:30:42.00" personId="{589022af-f09c-4505-b48f-db8f7a94e760}" id="{877cce4d-de94-4a4d-bba8-44fde5aaf277}" done="0">
    <x18tc:text xml:space="preserve">Merge with Karpenter? @gbouzeid@guidewire.com
1 total reaction
Messiha Sherwin reacted with 👍 at 07/11/2026, 12:07 AM UTC
Assigned to gbouzeid@guidewire.com</x18tc:text>
    <x18tc:mentions>
      <x18tc:mention mentionpersonId="{745d7f76-f965-499b-8df6-91dbc43b9fb3}" mentionId="{966c3480-484b-4d03-bc3a-ccf0c6560bf5}" startIndex="22" length="23"/>
    </x18tc:mentions>
  </x18tc:threadedComment>
  <x18tc:threadedComment ref="B7" dT="2026-07-07T17:04:50.00" personId="{7d6d157a-310c-4a7e-b624-fd05cd31f5f1}" id="{ef4471b7-c385-4751-ab62-b378c0bcbe0a}" parentId="{877cce4d-de94-4a4d-bba8-44fde5aaf277}">
    <x18tc:text xml:space="preserve">Makes sense to me</x18tc:text>
  </x18tc:threadedComment>
  <x18tc:threadedComment ref="B7" dT="2026-07-18T05:13:45.00" personId="{53eacbaa-b284-476d-89c0-8a0d10ce7b50}" id="{0239f372-8614-4dca-b6c0-77ecd46e46f6}" parentId="{877cce4d-de94-4a4d-bba8-44fde5aaf277}">
    <x18tc:text xml:space="preserve">We should keep it separate. Karpenter could be one of the aspect, however there could be other items:
- PDB improvements (Danville recently did some)
- Tenancy improvements (Vulcan)
- SRE Plat related improvements (IDK as what at this point, but we certainly can improve)
- Options to optimize WNR? - Hot standby? etc</x18tc:text>
  </x18tc:threadedComment>
  <x18tc:threadedComment ref="BO2" dT="2026-07-01T13:18:09.00" personId="{f6366c9e-cebb-4b9b-a866-08c7b4ba8334}" id="{32def6f1-4901-4156-987f-825125d24387}" done="0">
    <x18tc:text xml:space="preserve">1. MRAP</x18tc:text>
  </x18tc:threadedComment>
  <x18tc:threadedComment ref="BO2" dT="2026-07-01T13:18:26.00" personId="{f6366c9e-cebb-4b9b-a866-08c7b4ba8334}" id="{42719a5c-1954-45a1-aa9d-b77a1fdd4822}" parentId="{32def6f1-4901-4156-987f-825125d24387}">
    <x18tc:text xml:space="preserve">2. LHS DR for SService and DBService</x18tc:text>
  </x18tc:threadedComment>
  <x18tc:threadedComment ref="BO2" dT="2026-07-02T20:00:10.00" personId="{5ec39123-4a15-47f2-87a8-13dfe758f6e2}" id="{012c8660-82bf-4556-b764-016e0eb01c4e}" parentId="{32def6f1-4901-4156-987f-825125d24387}">
    <x18tc:text xml:space="preserve">@pdomider@guidewire.com also please add the estimate for "back-fill star id and aurora star id for existing tenants; part of GWCP-96903"</x18tc:text>
    <x18tc:mentions>
      <x18tc:mention mentionpersonId="{9bf17f32-22f2-482c-9e47-de425774ad20}" mentionId="{5f202967-d4b0-472a-b142-842edff51da8}" startIndex="0" length="23"/>
    </x18tc:mentions>
  </x18tc:threadedComment>
  <x18tc:threadedComment ref="BO2" dT="2026-07-03T08:41:15.00" personId="{f6366c9e-cebb-4b9b-a866-08c7b4ba8334}" id="{a64de2ab-b0ea-47a7-a722-664a3718e6f0}" parentId="{32def6f1-4901-4156-987f-825125d24387}">
    <x18tc:text xml:space="preserve">@jdobson@guidewire.com I track it under BO11 (enforce constraints around tagging). I'm actively tracking it (and even have PgM assigned for help), but this is at adoption phase that takes most of this time. We have technical part ready, now need 'business folks' to give us values. Dev impact is minimal (1-2 sprints), but finding tags would take months. Happy to sync offline about this if needed.</x18tc:text>
    <x18tc:mentions>
      <x18tc:mention mentionpersonId="{fb559fcf-211f-4073-84f5-555b4ff178df}" mentionId="{3b0db4dd-1c13-41cd-a0d9-9a97721cfedc}" startIndex="0" length="22"/>
    </x18tc:mentions>
  </x18tc:threadedComment>
  <x18tc:threadedComment ref="BO2" dT="2026-07-03T13:59:00.00" personId="{5ec39123-4a15-47f2-87a8-13dfe758f6e2}" id="{1683d0bd-85cb-4036-904a-f5d715d9bdd3}" parentId="{32def6f1-4901-4156-987f-825125d24387}">
    <x18tc:text xml:space="preserve">That's unfortunate; without the star ids, the star deletion function that Vulcan is working on (needed for Voyager) will be unreliable. Also, Voyager may have difficulty implementing synchronization of DB settings between primary and secondary.
Vulcan will set up a meeting with Michalowice and Wola to discuss next week; maybe there is a work-around to unblock this.</x18tc:text>
  </x18tc:threadedComment>
  <x18tc:threadedComment ref="BO2" dT="2026-07-03T14:59:15.00" personId="{f6366c9e-cebb-4b9b-a866-08c7b4ba8334}" id="{1dc32ace-7ea3-42c5-b691-7b61df5fd592}" parentId="{32def6f1-4901-4156-987f-825125d24387}">
    <x18tc:text xml:space="preserve">I totally agree with you. Please add Jeryn Inman (PgM who helps us with this and would have most context about adoption difficulties) and Evgen Pruhlo (from dev side).</x18tc:text>
  </x18tc:threadedComment>
  <x18tc:threadedComment ref="BJ7" dT="2026-07-18T05:18:12.00" personId="{53eacbaa-b284-476d-89c0-8a0d10ce7b50}" id="{6ac3f8a2-5678-4b89-ad2f-fff4facecf70}" done="0">
    <x18tc:text xml:space="preserve">@jdobson@guidewire.com @atomar@guidewire.com - anything on tenancy improvements? or it is already counted part of Kanata?</x18tc:text>
    <x18tc:mentions>
      <x18tc:mention mentionpersonId="{fb559fcf-211f-4073-84f5-555b4ff178df}" mentionId="{53672b0e-e7d5-4d15-9840-5b363214277e}" startIndex="0" length="22"/>
      <x18tc:mention mentionpersonId="{b1e856c7-db14-4a0e-b4a6-b642dfdfb6ed}" mentionId="{49f9515e-3382-442d-9dec-e76977adf195}" startIndex="23" length="21"/>
    </x18tc:mentions>
  </x18tc:threadedComment>
  <x18tc:threadedComment ref="BJ7" dT="2026-07-22T13:41:01.00" personId="{7fd15008-94ee-4f23-a195-6d4dedd4ea7e}" id="{b534d0a2-4c7f-40e5-bf30-b2e3a4053480}" parentId="{6ac3f8a2-5678-4b89-ad2f-fff4facecf70}">
    <x18tc:text xml:space="preserve">No feature work is planned by Vulcan, however we need to ensure whatever we are doing with hub based placement doesn't make the situation worse!</x18tc:text>
  </x18tc:threadedComment>
  <x18tc:threadedComment ref="BL22" dT="2026-07-24T22:12:59.00" personId="{fd59b3ae-1428-41b2-8457-2cfb0f5b7546}" id="{72230ffe-97bd-4687-a67b-fd6293111319}" done="0">
    <x18tc:text xml:space="preserve">"Ignite"-like team</x18tc:text>
  </x18tc:threadedComment>
  <x18tc:threadedComment ref="AP14" dT="2026-07-03T14:56:23.00" personId="{204883d9-ce2c-4ba0-815c-503d69b6b19e}" id="{5b1befd9-a263-430b-a411-341ec43c6721}" done="0">
    <x18tc:text xml:space="preserve">Depends on:
-&gt; @atomar@guidewire.com Kanata
--&gt; Star.Claim/Tenant.Claim - become the abstract/unified and composable contracts, replacing hard-coded Star/Tenant creation.
--&gt; Should we unify Tenancy model (no GWCP and LWT Tenants - just Tenant/Star + bundles)
-&gt; Dependencies outside CCS exists</x18tc:text>
    <x18tc:mentions>
      <x18tc:mention mentionpersonId="{b1e856c7-db14-4a0e-b4a6-b642dfdfb6ed}" mentionId="{c9c8d5e5-fd08-4eea-9f9c-851d198de57c}" startIndex="15" length="21"/>
    </x18tc:mentions>
  </x18tc:threadedComment>
  <x18tc:threadedComment ref="B8" dT="2026-07-06T21:33:55.00" personId="{7d6d157a-310c-4a7e-b624-fd05cd31f5f1}" id="{36c67e2f-be67-4deb-addc-e3a2fafe4efc}" done="1">
    <x18tc:text xml:space="preserve">@mzajac@guidewire.com : Can you create a 1 pager in confluence and link it here for the readers to know what this is about and as an expected outcome ?</x18tc:text>
    <x18tc:mentions>
      <x18tc:mention mentionpersonId="{7290d324-2e37-4c44-bab7-310330e7fcf9}" mentionId="{3a883dac-529c-452a-8f54-b74aaea4a1e5}" startIndex="0" length="21"/>
    </x18tc:mentions>
  </x18tc:threadedComment>
  <x18tc:threadedComment ref="B11" dT="2026-07-01T03:14:31.00" personId="{7fd15008-94ee-4f23-a195-6d4dedd4ea7e}" id="{e60bc800-d22c-42e9-a78c-3998d1ab057b}" done="0">
    <x18tc:text xml:space="preserve">@jdobson@guidewire.com will add or I will input by Tuesday</x18tc:text>
    <x18tc:mentions>
      <x18tc:mention mentionpersonId="{fb559fcf-211f-4073-84f5-555b4ff178df}" mentionId="{e83fe407-e482-4e78-98a8-f4ebdcc21083}" startIndex="0" length="22"/>
    </x18tc:mentions>
  </x18tc:threadedComment>
  <x18tc:threadedComment ref="B11" dT="2026-07-01T17:43:23.00" personId="{f13fb00e-f10a-435c-815a-4d45504c7acc}" id="{3e76ecde-dd8d-4ab7-b4f6-6ea752e092ac}" parentId="{e60bc800-d22c-42e9-a78c-3998d1ab057b}">
    <x18tc:text xml:space="preserve">Could you plz add description - what is TMD
1 total reaction
Michael Russo reacted with 👍 at 07/06/2026, 2:54 PM UTC</x18tc:text>
  </x18tc:threadedComment>
  <x18tc:threadedComment ref="B11" dT="2026-07-06T14:54:30.00" personId="{b8c5c968-34dc-4851-bdeb-1b4e1462cb2b}" id="{3c182db5-ed31-4b62-863b-79c730732f68}" parentId="{e60bc800-d22c-42e9-a78c-3998d1ab057b}">
    <x18tc:text xml:space="preserve">TMD = Tenant Module Decomposition</x18tc:text>
  </x18tc:threadedComment>
  <x18tc:threadedComment ref="B11" dT="2026-07-06T21:42:42.00" personId="{7d6d157a-310c-4a7e-b624-fd05cd31f5f1}" id="{5ae3b268-0f89-40dc-b8a0-b8aebe58d144}" parentId="{e60bc800-d22c-42e9-a78c-3998d1ab057b}">
    <x18tc:text xml:space="preserve">@atomar@guidewire.com : Please add a one pager in confluence and link here for scope</x18tc:text>
    <x18tc:mentions>
      <x18tc:mention mentionpersonId="{b1e856c7-db14-4a0e-b4a6-b642dfdfb6ed}" mentionId="{f4da8bec-55ff-46d0-9db8-1268a2b03b2b}" startIndex="0" length="21"/>
    </x18tc:mentions>
  </x18tc:threadedComment>
  <x18tc:threadedComment ref="B11" dT="2026-08-03T17:28:28.00" personId="{7d6d157a-310c-4a7e-b624-fd05cd31f5f1}" id="{cd8b8168-6098-467a-9263-3854a3cc7065}" parentId="{e60bc800-d22c-42e9-a78c-3998d1ab057b}">
    <x18tc:text xml:space="preserve">@atomar@guidewire.com , a one pager please</x18tc:text>
    <x18tc:mentions>
      <x18tc:mention mentionpersonId="{b1e856c7-db14-4a0e-b4a6-b642dfdfb6ed}" mentionId="{4b57392f-b508-4d91-93f3-ec2d079589e6}" startIndex="0" length="21"/>
    </x18tc:mentions>
  </x18tc:threadedComment>
  <x18tc:threadedComment ref="B28" dT="2026-07-06T21:34:09.00" personId="{7d6d157a-310c-4a7e-b624-fd05cd31f5f1}" id="{b9b64d3f-ce7a-49ab-98af-293dbd632bf6}" done="0">
    <x18tc:text xml:space="preserve">@gbouzeid@guidewire.com :  : Can you create a 1 pager in confluence and link it here for the readers to know what this is about and as an expected outcome ?</x18tc:text>
    <x18tc:mentions>
      <x18tc:mention mentionpersonId="{745d7f76-f965-499b-8df6-91dbc43b9fb3}" mentionId="{e468d6d1-4d4d-4f67-9bfb-3526d5dce740}" startIndex="0" length="23"/>
    </x18tc:mentions>
  </x18tc:threadedComment>
  <x18tc:threadedComment ref="B28" dT="2026-07-06T21:52:11.00" personId="{54eae484-93a2-444b-bad4-b9c1b9b87098}" id="{6cfbdd1c-53ce-4117-8e12-4a2782139e80}" parentId="{b9b64d3f-ce7a-49ab-98af-293dbd632bf6}">
    <x18tc:text xml:space="preserve">sure i will follow on this - will update thx</x18tc:text>
  </x18tc:threadedComment>
  <x18tc:threadedComment ref="B28" dT="2026-07-07T20:35:34.00" personId="{54eae484-93a2-444b-bad4-b9c1b9b87098}" id="{66c57bb2-3930-4690-a061-a9f8206e08e8}" parentId="{b9b64d3f-ce7a-49ab-98af-293dbd632bf6}">
    <x18tc:text xml:space="preserve">Added https://guidewireconfluence.atlassian.net/wiki/spaces/CCS/pages/3404595752/DB+Monitoring+with+Query+Performance+with+OTEL+GA @ppaul@guidewire.com @lkota@guidewire.com will be reviewing too thx</x18tc:text>
    <x18tc:mentions>
      <x18tc:mention mentionpersonId="{b9e5cf21-d7ea-4fe5-a729-64b89cb59d40}" mentionId="{326dfe68-e403-4ad3-bf01-4897f8bbeeb0}" startIndex="131" length="20"/>
      <x18tc:mention mentionpersonId="{38671922-a19d-4120-870a-84f4fb8c1c6e}" mentionId="{5cf8918b-3511-4a76-a0fd-73ffc353b6be}" startIndex="152" length="20"/>
    </x18tc:mentions>
    <x18tc:extLst>
      <ext uri="{F7C98A9C-CBB3-438F-8F68-D28B6AF4A901}">
        <xltc2:checksum/>
        <xltc2:hyperlink startIndex="6" length="124" url="https://guidewireconfluence.atlassian.net/wiki/spaces/CCS/pages/3404595752/DB+Monitoring+with+Query+Performance+with+OTEL+GA"/>
      </ext>
    </x18tc:extLst>
  </x18tc:threadedComment>
  <x18tc:threadedComment ref="BP19" dT="2026-07-24T22:14:26.00" personId="{fd59b3ae-1428-41b2-8457-2cfb0f5b7546}" id="{ca45e26e-9c0f-453e-a977-df8501da1e8c}" done="0">
    <x18tc:text xml:space="preserve">Unknown, pending design of constraint mechanism and reliable source of truth.</x18tc:text>
  </x18tc:threadedComment>
  <x18tc:threadedComment ref="AS9" dT="2026-07-14T03:38:02.00" personId="{e28f70c1-ef12-4c89-8349-6cb27991439b}" id="{0c7810be-e99b-4e5a-b823-cf7ad351d625}" done="0">
    <x18tc:text xml:space="preserve">@dhsharma@guidewire.com We might have to build a new AuthN and AuthZ model for the proposed Key service mentioned in the updated one pager document. Please help us out here
Assigned to dhsharma@guidewire.com</x18tc:text>
    <x18tc:mentions>
      <x18tc:mention mentionpersonId="{8caf03f4-4a5e-4075-a37e-b0df4b86d6b2}" mentionId="{2b907820-3c1d-46fe-8bc8-95614a92d200}" startIndex="0" length="23"/>
    </x18tc:mentions>
  </x18tc:threadedComment>
  <x18tc:threadedComment ref="AS9" dT="2026-07-14T14:00:27.00" personId="{61cac862-3159-478e-bfc8-f7bb69b5daa8}" id="{2545d49d-023e-4013-adc2-607b0287e13d}" parentId="{0c7810be-e99b-4e5a-b823-cf7ad351d625}">
    <x18tc:text xml:space="preserve">@cpetluri@guidewire.com , can you add details to the one pager?
Tbh... I am not able to relate to what we mean by new AuthN/Z model?
Or, can you schedule a call where we can discuss?
Reassigned to cpetluri@guidewire.com</x18tc:text>
    <x18tc:mentions>
      <x18tc:mention mentionpersonId="{8406af2e-9a76-40b2-a7a0-2c6afa310f9d}" mentionId="{9eea3439-f331-41ce-8387-16ed82898bb9}" startIndex="0" length="23"/>
    </x18tc:mentions>
  </x18tc:threadedComment>
  <x18tc:threadedComment ref="AS9" dT="2026-07-15T17:26:33.00" personId="{e28f70c1-ef12-4c89-8349-6cb27991439b}" id="{38f6ccef-b8a4-45a3-a13f-896ede5f2556}" parentId="{0c7810be-e99b-4e5a-b823-cf7ad351d625}">
    <x18tc:text xml:space="preserve">We have a call setup for the same today.</x18tc:text>
  </x18tc:threadedComment>
  <x18tc:threadedComment ref="BP21" dT="2026-07-24T22:14:15.00" personId="{fd59b3ae-1428-41b2-8457-2cfb0f5b7546}" id="{447b3a90-d7df-4688-abdd-3cae2719dcbc}" done="0">
    <x18tc:text xml:space="preserve">Unknown, pending design of constraint mechanism and reliable source of truth.</x18tc:text>
  </x18tc:threadedComment>
  <x18tc:threadedComment ref="Q4" dT="2026-07-30T22:18:12.00" personId="{b8c5c968-34dc-4851-bdeb-1b4e1462cb2b}" id="{5a5b8d6e-0f15-4de4-9665-c2565f51a137}" done="0">
    <x18tc:text xml:space="preserve">Updated this to TBD while we await "Full Kit" (requirements) for this work</x18tc:text>
  </x18tc:threadedComment>
  <x18tc:threadedComment ref="BA9" dT="2026-07-14T03:39:49.00" personId="{e28f70c1-ef12-4c89-8349-6cb27991439b}" id="{c5103691-f8d0-483c-ace7-d0672090713b}" done="0">
    <x18tc:text xml:space="preserve">@dhsharma@guidewire.com I am not sure if the comment mentioned for Moosefactory will be applicable here. Please verify
Assigned to dhsharma@guidewire.com</x18tc:text>
    <x18tc:mentions>
      <x18tc:mention mentionpersonId="{8caf03f4-4a5e-4075-a37e-b0df4b86d6b2}" mentionId="{9e7645b3-312f-4352-a1ae-0842500c7a36}" startIndex="0" length="23"/>
    </x18tc:mentions>
  </x18tc:threadedComment>
  <x18tc:threadedComment ref="BM28" dT="2026-06-30T20:46:23.00" personId="{d2c41af9-dcab-4077-9f50-4ed638d50c9f}" id="{27a69228-57b1-4d0d-82fb-1d2e15eef96f}" done="0">
    <x18tc:text xml:space="preserve">Estimate assumes Warrior's scope is limited to Postgres parameter and extension support. Overlap with Audit logs item and Cepheid item.</x18tc:text>
  </x18tc:threadedComment>
  <x18tc:threadedComment ref="B10" dT="2026-07-06T21:35:29.00" personId="{7d6d157a-310c-4a7e-b624-fd05cd31f5f1}" id="{ef35d713-756a-4bf2-ae0a-d9678bc2fa67}" done="0">
    <x18tc:text xml:space="preserve">@gs@guidewire.com :  : Can you create a 1 pager in confluence and link it here for the readers to know what this is about and as an expected outcome ?
Assigned to gs@guidewire.com</x18tc:text>
    <x18tc:mentions>
      <x18tc:mention mentionpersonId="{266944f1-17de-482c-a280-997a68ef1dcb}" mentionId="{da4de81d-1603-4308-8b98-6ab7f50c25fe}" startIndex="0" length="17"/>
    </x18tc:mentions>
  </x18tc:threadedComment>
  <x18tc:threadedComment ref="B10" dT="2026-07-07T07:53:46.00" personId="{9b7c6d63-494a-4fe4-a4ff-6214c3fedfaa}" id="{f62196c2-04b4-428a-a65a-aa81a0813578}" parentId="{ef35d713-756a-4bf2-ae0a-d9678bc2fa67}">
    <x18tc:text xml:space="preserve">@agopalakrishnan@guidewire.com , I have updated the one pager for the initiative. Adding the same here for reference https://guidewireconfluence.atlassian.net/wiki/spaces/CCS/pages/3383951388/OAM+Adoption+and+Integration+with+Nova+Polaris</x18tc:text>
    <x18tc:mentions>
      <x18tc:mention mentionpersonId="{55349863-6a08-451e-90d8-f6ad025db8f5}" mentionId="{710d648a-1169-42c5-89ab-3698262cc7f6}" startIndex="0" length="30"/>
    </x18tc:mentions>
    <x18tc:extLst>
      <ext uri="{F7C98A9C-CBB3-438F-8F68-D28B6AF4A901}">
        <xltc2:checksum/>
        <xltc2:hyperlink startIndex="117" length="121" url="https://guidewireconfluence.atlassian.net/wiki/spaces/CCS/pages/3383951388/OAM+Adoption+and+Integration+with+Nova+Polaris"/>
      </ext>
    </x18tc:extLst>
  </x18tc:threadedComment>
  <x18tc:threadedComment ref="AO15" dT="2026-07-14T15:31:26.00" personId="{5ec39123-4a15-47f2-87a8-13dfe758f6e2}" id="{5efe7b6b-53ec-44ee-adb4-dc5f2ce82f16}" done="0">
    <x18tc:text xml:space="preserve">@cpetluri@guidewire.com I'm assuming that the only thing you need Kanata to do here is adopt MSK IAM auth; since we don't have any µS there shouldn't be anything for Kanata to do.
1 total reaction
Chakravarthy Petluri reacted with 👍 at 07/15/2026, 5:20 PM UTC</x18tc:text>
    <x18tc:mentions>
      <x18tc:mention mentionpersonId="{8406af2e-9a76-40b2-a7a0-2c6afa310f9d}" mentionId="{edd68cec-94f2-465c-978e-a570193d717a}" startIndex="0" length="23"/>
    </x18tc:mentions>
  </x18tc:threadedComment>
  <x18tc:threadedComment ref="AK9" dT="2026-07-14T03:35:40.00" personId="{e28f70c1-ef12-4c89-8349-6cb27991439b}" id="{6824c3fa-d240-427f-9a49-3f69a3780e21}" done="0">
    <x18tc:text xml:space="preserve">@gs@guidewire.com I think for DB provisioning of RHS applications OAM components will be best suited for provisioning required key ARNs. Please reverify using the updated one pager document
CC: @srajashekaran@guidewire.com
Assigned to gs@guidewire.com</x18tc:text>
    <x18tc:mentions>
      <x18tc:mention mentionpersonId="{266944f1-17de-482c-a280-997a68ef1dcb}" mentionId="{2c2aba6a-45b9-4a62-885d-f52acbfedd17}" startIndex="0" length="17"/>
      <x18tc:mention mentionpersonId="{9188f49e-8929-499c-8bc1-7ada386d3397}" mentionId="{8ba24896-0345-4bb6-862c-1b51e28aa647}" startIndex="195" length="28"/>
    </x18tc:mentions>
  </x18tc:threadedComment>
  <x18tc:threadedComment ref="AK9" dT="2026-07-16T02:39:12.00" personId="{9b7c6d63-494a-4fe4-a4ff-6214c3fedfaa}" id="{5203f9d3-27e3-49b3-9960-c521e5d8cc10}" parentId="{6824c3fa-d240-427f-9a49-3f69a3780e21}">
    <x18tc:text xml:space="preserve">@cpetluri@guidewire.com for DB provisioning it would be good to check with @rasubramanian@guidewire.com and would be in `pod-warrior` scope.
Reassigned to cpetluri@guidewire.com</x18tc:text>
    <x18tc:mentions>
      <x18tc:mention mentionpersonId="{8406af2e-9a76-40b2-a7a0-2c6afa310f9d}" mentionId="{6803cc23-a0c2-4b05-8146-5e99e5be9d1b}" startIndex="0" length="23"/>
      <x18tc:mention mentionpersonId="{e24471b3-06fb-4838-ab9a-5a17bd74c488}" mentionId="{4a7953f8-2a36-4f20-82aa-5f20d8506b69}" startIndex="75" length="28"/>
    </x18tc:mentions>
  </x18tc:threadedComment>
  <x18tc:threadedComment ref="AK9" dT="2026-07-17T16:43:22.00" personId="{e28f70c1-ef12-4c89-8349-6cb27991439b}" id="{4502b7ab-42a2-485a-8cbf-f9b122c96f5a}" parentId="{6824c3fa-d240-427f-9a49-3f69a3780e21}">
    <x18tc:text xml:space="preserve">@gs@guidewire.com Basedon our conversation on Jul 16 on S3, please suggest if "No dependency" is still valid here
Reassigned to gs@guidewire.com</x18tc:text>
    <x18tc:mentions>
      <x18tc:mention mentionpersonId="{266944f1-17de-482c-a280-997a68ef1dcb}" mentionId="{2ca8e167-892b-4c93-961d-a3a38bb41ebb}" startIndex="0" length="17"/>
    </x18tc:mentions>
  </x18tc:threadedComment>
  <x18tc:threadedComment ref="BA19" dT="2026-07-16T23:00:49.00" personId="{4829e030-29ff-4d9e-9e93-390c2a54ea65}" id="{85a1567d-cdd2-4c42-9dc2-ca9a803a3b27}" done="0">
    <x18tc:text xml:space="preserve">This estimate is to convey the ambiguity and potentially vast impact of the initiative. I'm not convinced the impact on Keti itself will be so huge, but leaving as is pending some documentation / more concrete description of the initiative.</x18tc:text>
  </x18tc:threadedComment>
  <x18tc:threadedComment ref="BA19" dT="2026-07-30T00:12:52.00" personId="{53eacbaa-b284-476d-89c0-8a0d10ce7b50}" id="{ea6ce3bf-7951-4eb1-81d3-d6c5f5fc774f}" parentId="{85a1567d-cdd2-4c42-9dc2-ca9a803a3b27}">
    <x18tc:text xml:space="preserve">Marking it as TBD, since the scope is unclear at this point in time. We can revisit later.</x18tc:text>
  </x18tc:threadedComment>
  <x18tc:threadedComment ref="AA15" dT="2026-07-22T21:54:18.00" personId="{fd59b3ae-1428-41b2-8457-2cfb0f5b7546}" id="{d9a37b15-c21f-4f10-a62e-11f607ec5ce2}" done="0">
    <x18tc:text xml:space="preserve">All teams currently using MSK (services that are NOT DR critical)</x18tc:text>
  </x18tc:threadedComment>
  <x18tc:threadedComment ref="N8" dT="2026-07-13T08:36:52.00" personId="{204883d9-ce2c-4ba0-815c-503d69b6b19e}" id="{0b46f774-fcd3-418e-a11a-2490cc75372b}" done="0">
    <x18tc:text xml:space="preserve">@amkhanna@guidewire.com I added Michalowice as Alleppey dependency, please adjust if needed.
Assigned to amkhanna@guidewire.com</x18tc:text>
    <x18tc:mentions>
      <x18tc:mention mentionpersonId="{0a8aed59-9de1-4881-b9af-625628e8f795}" mentionId="{8c50d269-2825-47b5-9118-2634a66d0354}" startIndex="0" length="23"/>
    </x18tc:mentions>
  </x18tc:threadedComment>
  <x18tc:threadedComment ref="N8" dT="2026-07-13T08:41:51.00" personId="{21736235-477c-461c-84dc-a8b9be3bd74c}" id="{91e82daa-8f37-4b1c-8d85-937614b2815c}" parentId="{0b46f774-fcd3-418e-a11a-2490cc75372b}">
    <x18tc:text xml:space="preserve">Hi @mzajac@guidewire.com if this relates to Guard it should be Pod-Bandipur</x18tc:text>
    <x18tc:mentions>
      <x18tc:mention mentionpersonId="{7290d324-2e37-4c44-bab7-310330e7fcf9}" mentionId="{d48ad16c-a51a-40a0-b891-1f8967c398bd}" startIndex="3" length="21"/>
    </x18tc:mentions>
  </x18tc:threadedComment>
  <x18tc:threadedComment ref="N8" dT="2026-07-13T10:14:00.00" personId="{204883d9-ce2c-4ba0-815c-503d69b6b19e}" id="{5ab79cb4-8e28-469b-bada-109663cf8c03}" parentId="{0b46f774-fcd3-418e-a11a-2490cc75372b}">
    <x18tc:text xml:space="preserve">@amkhanna@guidewire.com does this mean the effort for Alleppey needs to be corrected? If so, please adjust it accordingly, thx.</x18tc:text>
    <x18tc:mentions>
      <x18tc:mention mentionpersonId="{0a8aed59-9de1-4881-b9af-625628e8f795}" mentionId="{00ef95c4-247c-48aa-aed8-54d9dd119a81}" startIndex="0" length="23"/>
    </x18tc:mentions>
  </x18tc:threadedComment>
  <x18tc:threadedComment ref="AT21" dT="2026-07-24T22:26:54.00" personId="{fd59b3ae-1428-41b2-8457-2cfb0f5b7546}" id="{16cac830-9166-4bad-816e-007f1ddf9437}" done="0">
    <x18tc:text xml:space="preserve">Pending Decisions</x18tc:text>
  </x18tc:threadedComment>
  <x18tc:threadedComment ref="M9" dT="2026-07-21T05:36:11.00" personId="{9b7c6d63-494a-4fe4-a4ff-6214c3fedfaa}" id="{95197f4e-c0d7-405e-a3fe-b8b60e5557bc}" done="0">
    <x18tc:text xml:space="preserve">@cpetluri@guidewire.com As we spoke, I don't see a direct dependency for BYOK and `pod-ajanta`. Also, in terms of support of S3 OAM &amp; S3 TF for KMS encryption the same is allowed today per https://github.com/gwre-pdo/CCS-atmos-oam-library/blob/main/library/kubevela/components/s3/examples/create-s3-additional-fields.yaml#L47-L49 and https://github.com/gwre-pdo/ccs-atmos-tfmodule-s3-default/blob/f5417c66f199a36f27b62e00ab2f2462cfce9f60/main.tf#L20-L21
In terms, of dynamically fetching the custom managed kms key from an vault, I guess it would be best to leave to the application team consuming S3 OAM/S3 TF.
cc: @srajashekaran@guidewire.com
1 total reaction
Chakravarthy Petluri reacted with 👍 at 07/21/2026, 1:50 PM UTC</x18tc:text>
    <x18tc:mentions>
      <x18tc:mention mentionpersonId="{8406af2e-9a76-40b2-a7a0-2c6afa310f9d}" mentionId="{c9b0913e-43e8-4c27-a488-a1fa813f47c2}" startIndex="0" length="23"/>
      <x18tc:mention mentionpersonId="{9188f49e-8929-499c-8bc1-7ada386d3397}" mentionId="{ab1b20c5-1d4e-41c9-ab42-96cee78d525e}" startIndex="618" length="28"/>
    </x18tc:mentions>
    <x18tc:extLst>
      <ext uri="{F7C98A9C-CBB3-438F-8F68-D28B6AF4A901}">
        <xltc2:checksum/>
        <xltc2:hyperlink startIndex="189" length="140" url="https://github.com/gwre-pdo/CCS-atmos-oam-library/blob/main/library/kubevela/components/s3/examples/create-s3-additional-fields.yaml#L47-L49"/>
        <xltc2:hyperlink startIndex="334" length="119" url="https://github.com/gwre-pdo/ccs-atmos-tfmodule-s3-default/blob/f5417c66f199a36f27b62e00ab2f2462cfce9f60/main.tf#L20-L21"/>
      </ext>
    </x18tc:extLst>
  </x18tc:threadedComment>
  <x18tc:threadedComment ref="O12" dT="2026-07-17T05:16:22.00" personId="{ae832a63-a301-45ea-93ea-93de8308c03a}" id="{4061ba95-581b-4876-a5e8-95cc5ec93d4a}" done="0">
    <x18tc:text xml:space="preserve">hi @lkota@guidewire.com, @gbouzeid@guidewire.com 
I don't see SCIM Connect in the FY 27 targeted services list. If so, what is required from Alleppey?
cc: @amkhanna@guidewire.com</x18tc:text>
    <x18tc:mentions>
      <x18tc:mention mentionpersonId="{38671922-a19d-4120-870a-84f4fb8c1c6e}" mentionId="{40dababd-13c7-44ca-9d31-e6ff9b8c3890}" startIndex="3" length="20"/>
      <x18tc:mention mentionpersonId="{745d7f76-f965-499b-8df6-91dbc43b9fb3}" mentionId="{42e3adc5-2876-4422-9f79-b65dc6d31358}" startIndex="25" length="23"/>
      <x18tc:mention mentionpersonId="{0a8aed59-9de1-4881-b9af-625628e8f795}" mentionId="{0eb1111f-3b6a-4b77-b81d-640e1534edd2}" startIndex="156" length="23"/>
    </x18tc:mentions>
  </x18tc:threadedComment>
  <x18tc:threadedComment ref="O12" dT="2026-07-17T15:38:09.00" personId="{54eae484-93a2-444b-bad4-b9c1b9b87098}" id="{655fcc0a-b16d-434b-8ab6-153f40dd6898}" parentId="{4061ba95-581b-4876-a5e8-95cc5ec93d4a}">
    <x18tc:text xml:space="preserve">Hi @smalladi@guidewire.com 
From the document: "most of the work will be done by the Keti Team but some coordination may be required from each pod"
thx</x18tc:text>
    <x18tc:mentions>
      <x18tc:mention mentionpersonId="{afb4716a-a070-4d76-8d21-f9809f3d3492}" mentionId="{9a61ae78-3c13-41e0-8227-41d144492f70}" startIndex="3" length="23"/>
    </x18tc:mentions>
  </x18tc:threadedComment>
  <x18tc:threadedComment ref="O12" dT="2026-07-20T05:57:26.00" personId="{21736235-477c-461c-84dc-a8b9be3bd74c}" id="{935349e6-982f-4605-845f-0df4f6604e64}" parentId="{4061ba95-581b-4876-a5e8-95cc5ec93d4a}">
    <x18tc:text xml:space="preserve">Hi @smalladi@guidewire.com since Guard is on scope their might be some work on alleppey for audit logs of virtual groups for the group to role mapping functionality</x18tc:text>
    <x18tc:mentions>
      <x18tc:mention mentionpersonId="{afb4716a-a070-4d76-8d21-f9809f3d3492}" mentionId="{7af9b0b5-dd33-4bb0-84fb-990a36645735}" startIndex="3" length="23"/>
    </x18tc:mentions>
  </x18tc:threadedComment>
  <x18tc:threadedComment ref="Q18" dT="2026-07-06T21:11:06.00" personId="{286bd2de-8ccd-4afa-8208-966c0aa309b9}" id="{eccdcf22-bc50-4112-aaee-48f24f339bd4}" done="0">
    <x18tc:text xml:space="preserve">@mrusso@guidewire.com, Avondale might have little to no work, including 2 weeks to support Solina for the implementation.</x18tc:text>
    <x18tc:mentions>
      <x18tc:mention mentionpersonId="{d2ee7563-ce62-4e76-b17d-fe5b98eaeea7}" mentionId="{edd4ae7e-a3ea-460f-b47f-da6ec459b159}" startIndex="0" length="21"/>
    </x18tc:mentions>
  </x18tc:threadedComment>
  <x18tc:threadedComment ref="AG2" dT="2026-07-17T15:49:29.00" personId="{7fd15008-94ee-4f23-a195-6d4dedd4ea7e}" id="{ae7509fd-4c28-493a-987f-1e4cadcc9a40}" done="0">
    <x18tc:text xml:space="preserve">@gbouzeid@guidewire.com @bsekar@guidewire.com 
what is this effort for in relation to CR DR? If not required could you please remove this?
Assigned to gbouzeid@guidewire.com</x18tc:text>
    <x18tc:mentions>
      <x18tc:mention mentionpersonId="{745d7f76-f965-499b-8df6-91dbc43b9fb3}" mentionId="{8b2c8bf9-040a-458f-8ebf-b495c00c7947}" startIndex="0" length="23"/>
      <x18tc:mention mentionpersonId="{72d6c93c-3592-4ad8-bf9d-420c1e2be403}" mentionId="{7b230135-0f48-4f31-8d2e-2e89c055c13a}" startIndex="24" length="21"/>
    </x18tc:mentions>
  </x18tc:threadedComment>
  <x18tc:threadedComment ref="AG2" dT="2026-07-17T16:00:25.00" personId="{54eae484-93a2-444b-bad4-b9c1b9b87098}" id="{e272dac3-9646-409d-b6d3-c7822540b36f}" parentId="{ae7509fd-4c28-493a-987f-1e4cadcc9a40}">
    <x18tc:text xml:space="preserve">This is to support CRDr request / in the past Danville have been allocation additional capacity for any upcoming CRDR ask (including cluster creation, ECR, etc.) I will let @beloy@guidewire.com comment further on this if needed thx</x18tc:text>
    <x18tc:mentions>
      <x18tc:mention mentionpersonId="{2a75f47e-94ab-4e0f-88b5-7d5c15aedead}" mentionId="{512bf1d9-47ff-4d30-b97e-cc18c1470943}" startIndex="173" length="20"/>
    </x18tc:mentions>
  </x18tc:threadedComment>
  <x18tc:threadedComment ref="AG2" dT="2026-07-17T16:01:51.00" personId="{7fd15008-94ee-4f23-a195-6d4dedd4ea7e}" id="{17ff80fb-2b2c-45a5-96b7-ebbe85c30649}" parentId="{ae7509fd-4c28-493a-987f-1e4cadcc9a40}">
    <x18tc:text xml:space="preserve">@beloy@guidewire.com if this work is planned for August Demo, then it should not be here, this is strictly FY27
Reassigned to beloy@guidewire.com</x18tc:text>
    <x18tc:mentions>
      <x18tc:mention mentionpersonId="{2a75f47e-94ab-4e0f-88b5-7d5c15aedead}" mentionId="{5b9173f8-6b4e-4719-b9e3-8f0a410da32f}" startIndex="0" length="20"/>
    </x18tc:mentions>
  </x18tc:threadedComment>
  <x18tc:threadedComment ref="S15" dT="2026-07-17T10:18:33.00" personId="{ae832a63-a301-45ea-93ea-93de8308c03a}" id="{1435960c-4793-4c13-a694-94b080ef2300}" done="1">
    <x18tc:text xml:space="preserve">@amkhanna@guidewire.com @pikumar@guidewire.com can you also account the effort needed for RFC 147 changes for Bandipur.
Assigned to amkhanna@guidewire.com</x18tc:text>
    <x18tc:mentions>
      <x18tc:mention mentionpersonId="{0a8aed59-9de1-4881-b9af-625628e8f795}" mentionId="{7b45698f-1b24-4320-83ee-4af5570722fa}" startIndex="0" length="23"/>
      <x18tc:mention mentionpersonId="{46d15241-4c81-4146-94fb-3a2dc3e5cc58}" mentionId="{45e86a05-bb0a-4b72-b6d4-ef94a8bed249}" startIndex="24" length="22"/>
    </x18tc:mentions>
  </x18tc:threadedComment>
  <x18tc:threadedComment ref="BC18" dT="2026-07-06T21:12:24.00" personId="{286bd2de-8ccd-4afa-8208-966c0aa309b9}" id="{e807c196-8683-4854-a522-f7ec7e82177e}" done="0">
    <x18tc:text xml:space="preserve">@lmakowski@guidewire.com This 2 weeks is for the complete UI self service implementation of PL Ingress?
Assigned to lmakowski@guidewire.com</x18tc:text>
    <x18tc:mentions>
      <x18tc:mention mentionpersonId="{40b025f4-2e12-4c24-b8c7-59ba67cfd388}" mentionId="{d251bf9d-9447-45c1-b9a9-021ff1a83278}" startIndex="0" length="24"/>
    </x18tc:mentions>
  </x18tc:threadedComment>
  <x18tc:threadedComment ref="BC18" dT="2026-07-07T09:03:03.00" personId="{682da16d-5c98-41f2-abe5-082371878093}" id="{2e7e584e-aac9-4c96-9a02-741c85014df6}" parentId="{e807c196-8683-4854-a522-f7ec7e82177e}">
    <x18tc:text xml:space="preserve">@rasubramanian@guidewire.com  I don't know anything about self-service for PrivateLink Ingress. We've set aside two weeks just in case there are dependencies on the Solina POD and, for example, work would be needed at AGCS.
Reassigned to rasubramanian@guidewire.com</x18tc:text>
    <x18tc:mentions>
      <x18tc:mention mentionpersonId="{e24471b3-06fb-4838-ab9a-5a17bd74c488}" mentionId="{d08a482d-b08f-4956-8d90-ba002eef56c6}" startIndex="0" length="28"/>
    </x18tc:mentions>
  </x18tc:threadedComment>
  <x18tc:threadedComment ref="BC18" dT="2026-07-07T17:52:25.00" personId="{286bd2de-8ccd-4afa-8208-966c0aa309b9}" id="{19340dfd-486b-4598-b010-f8165a18219c}" parentId="{e807c196-8683-4854-a522-f7ec7e82177e}">
    <x18tc:text xml:space="preserve">https://docs.google.com/spreadsheets/d/1fJOnMTGebMdsd6tQtukruhoIyUMRuYZFb2S-DFuoyjg/edit?gid=0#gid=0&amp;range=D97</x18tc:text>
    <x18tc:extLst>
      <ext uri="{F7C98A9C-CBB3-438F-8F68-D28B6AF4A901}">
        <xltc2:checksum/>
        <xltc2:hyperlink startIndex="0" length="110" url="https://docs.google.com/spreadsheets/d/1fJOnMTGebMdsd6tQtukruhoIyUMRuYZFb2S-DFuoyjg/edit?gid=0#gid=0&amp;range=D97"/>
      </ext>
    </x18tc:extLst>
  </x18tc:threadedComment>
  <x18tc:threadedComment ref="BC18" dT="2026-07-07T17:53:19.00" personId="{286bd2de-8ccd-4afa-8208-966c0aa309b9}" id="{f6600ca1-9da4-4392-810f-1ef0b7469795}" parentId="{e807c196-8683-4854-a522-f7ec7e82177e}">
    <x18tc:text xml:space="preserve">@lmakowski@guidewire.com, I will create a onepager and share it with you.. For now, please review the high level what and why in the main proposal to consider sheet and provide a high level estimate. This should be very similar to what we have done for PL Egress</x18tc:text>
    <x18tc:mentions>
      <x18tc:mention mentionpersonId="{40b025f4-2e12-4c24-b8c7-59ba67cfd388}" mentionId="{7ade4ac3-b810-4ce5-b8f8-d0cfeedf7b51}" startIndex="0" length="24"/>
    </x18tc:mentions>
  </x18tc:threadedComment>
  <x18tc:threadedComment ref="BC18" dT="2026-07-07T18:12:13.00" personId="{286bd2de-8ccd-4afa-8208-966c0aa309b9}" id="{62f190ad-eb71-48ef-92fc-9a49ebda6cdc}" parentId="{e807c196-8683-4854-a522-f7ec7e82177e}">
    <x18tc:text xml:space="preserve">https://guidewireconfluence.atlassian.net/wiki/spaces/ORANGE/pages/3406168190/PrivateLink+Ingress+Self-Service+-+One+Pager</x18tc:text>
    <x18tc:extLst>
      <ext uri="{F7C98A9C-CBB3-438F-8F68-D28B6AF4A901}">
        <xltc2:checksum/>
        <xltc2:hyperlink startIndex="0" length="122" url="https://guidewireconfluence.atlassian.net/wiki/spaces/ORANGE/pages/3406168190/PrivateLink+Ingress+Self-Service+-+One+Pager"/>
      </ext>
    </x18tc:extLst>
  </x18tc:threadedComment>
  <x18tc:threadedComment ref="BC18" dT="2026-07-08T09:16:35.00" personId="{682da16d-5c98-41f2-abe5-082371878093}" id="{b40c80b3-acb9-403a-82d5-f4d6981f3b76}" parentId="{e807c196-8683-4854-a522-f7ec7e82177e}">
    <x18tc:text xml:space="preserve">@rasubramanian@guidewire.com @agopalakrishnan@guidewire.com  based on on-page I had to update our estimation from 2 to 20
Reassigned to agopalakrishnan@guidewire.com</x18tc:text>
    <x18tc:mentions>
      <x18tc:mention mentionpersonId="{e24471b3-06fb-4838-ab9a-5a17bd74c488}" mentionId="{3ccb8f22-c7db-433d-86e5-1eed776555d8}" startIndex="0" length="28"/>
      <x18tc:mention mentionpersonId="{55349863-6a08-451e-90d8-f6ad025db8f5}" mentionId="{ba365ebb-5f52-4532-899f-9909971a27a0}" startIndex="29" length="30"/>
    </x18tc:mentions>
  </x18tc:threadedComment>
  <x18tc:threadedComment ref="AS15" dT="2026-07-17T10:20:48.00" personId="{ae832a63-a301-45ea-93ea-93de8308c03a}" id="{466223ff-2c7c-4d80-a82a-52074c2b42e7}" done="1">
    <x18tc:text xml:space="preserve">@dhsharma@guidewire.com @suramasamy@guidewire.com can you please check if the effort required for RFC 147 changes are correct?
Assigned to suramasamy@guidewire.com</x18tc:text>
    <x18tc:mentions>
      <x18tc:mention mentionpersonId="{8caf03f4-4a5e-4075-a37e-b0df4b86d6b2}" mentionId="{c777402e-d347-4fc5-9a18-68e824b07f1a}" startIndex="0" length="23"/>
      <x18tc:mention mentionpersonId="{703efb3d-5bb5-4040-a4ec-8bcba53659af}" mentionId="{03a9d819-5126-428b-8e3e-9792795a4aaf}" startIndex="24" length="25"/>
    </x18tc:mentions>
  </x18tc:threadedComment>
  <x18tc:threadedComment ref="AS15" dT="2026-07-17T10:29:02.00" personId="{9a4dd64a-64e5-4cec-902d-a9c164a918af}" id="{bd8fd366-bec5-4e2f-97ca-e88274375d99}" parentId="{466223ff-2c7c-4d80-a82a-52074c2b42e7}">
    <x18tc:text xml:space="preserve">Marked as done</x18tc:text>
  </x18tc:threadedComment>
  <x18tc:threadedComment ref="AS15" dT="2026-07-17T14:03:49.00" personId="{e5d3dd1d-cf3f-4447-9596-54dc3fd5ef0c}" id="{14296521-e392-4868-ab4e-d39516ba2c56}" parentId="{466223ff-2c7c-4d80-a82a-52074c2b42e7}">
    <x18tc:text xml:space="preserve">@smalladi@guidewire.com We dont anticipate much changes for RFC 147 except changing the MSK broker configuration to use the topics present in respective IZ.
Re-opened</x18tc:text>
    <x18tc:mentions>
      <x18tc:mention mentionpersonId="{afb4716a-a070-4d76-8d21-f9809f3d3492}" mentionId="{07e7f580-6e17-453e-b245-292d81d2fa17}" startIndex="0" length="23"/>
    </x18tc:mentions>
  </x18tc:threadedComment>
  <x18tc:threadedComment ref="AU15" dT="2026-07-17T10:22:33.00" personId="{ae832a63-a301-45ea-93ea-93de8308c03a}" id="{0e46ed39-24ee-4e19-9841-5993510e6810}" done="1">
    <x18tc:text xml:space="preserve">@mzawadzka@guidewire.com @mkasprzyk@guidewire.com Could you please check if the capacity for RFC 147 changes are correct?
Assigned to mkasprzyk@guidewire.com</x18tc:text>
    <x18tc:mentions>
      <x18tc:mention mentionpersonId="{02efe0e5-fe76-4e6d-9da2-4e8a023aff8e}" mentionId="{5aafe333-2aa3-4504-be25-dad4a74a9685}" startIndex="0" length="24"/>
      <x18tc:mention mentionpersonId="{5e424c13-ecad-444a-bf13-ba0bafc0a458}" mentionId="{13a54e4b-8e2d-48bc-a5a7-99211a39b4fd}" startIndex="25" length="24"/>
    </x18tc:mentions>
  </x18tc:threadedComment>
  <x18tc:threadedComment ref="AQ1" dT="2026-07-23T22:12:21.00" personId="{7d6d157a-310c-4a7e-b624-fd05cd31f5f1}" id="{df38473e-e311-4660-ad2f-ca82f972b8aa}" done="0">
    <x18tc:text xml:space="preserve">@krosner@guidewire.com @ujain@guidewire.com : Why do we have two columns for Michalowice  and they both have estimates?
Assigned to ujain@guidewire.com</x18tc:text>
    <x18tc:mentions>
      <x18tc:mention mentionpersonId="{d88de86d-278d-4794-9436-96071479b281}" mentionId="{5c19a00f-acc9-4ff5-b450-57941c687b15}" startIndex="0" length="22"/>
      <x18tc:mention mentionpersonId="{879de53f-a744-4b67-987f-1006b3ceb550}" mentionId="{8998b070-dc7e-4a84-87ac-4e4281503b5f}" startIndex="23" length="20"/>
    </x18tc:mentions>
  </x18tc:threadedComment>
  <x18tc:threadedComment ref="AQ1" dT="2026-07-24T04:48:22.00" personId="{fd59b3ae-1428-41b2-8457-2cfb0f5b7546}" id="{43682779-fdb6-4bc0-9a01-871da69c083c}" parentId="{df38473e-e311-4660-ad2f-ca82f972b8aa}">
    <x18tc:text xml:space="preserve">I think KR is experimenting with his example estimation ... to see how the data would look different..</x18tc:text>
  </x18tc:threadedComment>
  <x18tc:threadedComment ref="AQ1" dT="2026-07-24T07:50:01.00" personId="{426d6788-5168-43d2-98b3-974fdfba695a}" id="{c0b04324-e787-4cdb-a0df-4196db2815c3}" parentId="{df38473e-e311-4660-ad2f-ca82f972b8aa}">
    <x18tc:text xml:space="preserve">yes, that's what I was trying to explain here: https://guidewire.slack.com/archives/C0B1QQ65ASC/p1784801723590689?thread_ts=1783709916.332589&amp;cid=C0B1QQ65ASC and what would happen if we moved to the man weeks for teams that are not pairing. I used Michalowice as an example to showcase that. So that you could see the pod weeks in the old "Michalowice" column and man weeks in the "Michalowice dev weeks example" and decide which really helps you see it better</x18tc:text>
    <x18tc:extLst>
      <ext uri="{F7C98A9C-CBB3-438F-8F68-D28B6AF4A901}">
        <xltc2:checksum/>
        <xltc2:hyperlink startIndex="47" length="110" url="https://guidewire.slack.com/archives/C0B1QQ65ASC/p1784801723590689?thread_ts=1783709916.332589&amp;cid=C0B1QQ65ASC"/>
      </ext>
    </x18tc:extLst>
  </x18tc:threadedComment>
  <x18tc:threadedComment ref="AQ1" dT="2026-07-24T07:53:55.00" personId="{426d6788-5168-43d2-98b3-974fdfba695a}" id="{15fd8538-f970-4983-8035-e8554e4dba94}" parentId="{df38473e-e311-4660-ad2f-ca82f972b8aa}">
    <x18tc:text xml:space="preserve">The man weeks is obviously much higher than pod weeks as it doesn't account for parallelization so I was trying to explain that it will make it harder with understanding which initiatives or pods are above capacity (50 weeks a year). I guess my point was that you can pick whatever you want based on this example and I'll adjust the rest of the teams</x18tc:text>
  </x18tc:threadedComment>
  <x18tc:threadedComment ref="V3" dT="2026-07-24T20:15:26.00" personId="{fd59b3ae-1428-41b2-8457-2cfb0f5b7546}" id="{39bdd8e3-f5fd-400d-a4e3-747343605e67}" done="0">
    <x18tc:text xml:space="preserve">Bolinas can work independently here. 
Guard would need a way to ship logs to customer datadog subaccount. Their might be some dependency when we start using the O.Tel functionality</x18tc:text>
    <x18tc:extLst>
      <ext uri="{F7C98A9C-CBB3-438F-8F68-D28B6AF4A901}">
        <xltc2:checksum/>
        <xltc2:hyperlink startIndex="162" length="5" url="http://O.Tel"/>
      </ext>
    </x18tc:extLst>
  </x18tc:threadedComment>
  <x18tc:threadedComment ref="O15" dT="2026-07-17T10:26:27.00" personId="{ae832a63-a301-45ea-93ea-93de8308c03a}" id="{1b7d04a0-5c1c-4258-a400-b2c4ea790e4f}" done="0">
    <x18tc:text xml:space="preserve">@amkhanna@guidewire.com changing this to 2 weeks as SCIM Connect has already adopted IAM role based auth. Rest of 2 weeks is to just migrate SCIM group (un)assignments to Keti v2 groups.</x18tc:text>
    <x18tc:mentions>
      <x18tc:mention mentionpersonId="{0a8aed59-9de1-4881-b9af-625628e8f795}" mentionId="{a580a474-3cbe-4ba5-bbbe-d8656e456608}" startIndex="0" length="23"/>
    </x18tc:mentions>
  </x18tc:threadedComment>
  <x18tc:threadedComment ref="O15" dT="2026-07-20T04:59:23.00" personId="{21736235-477c-461c-84dc-a8b9be3bd74c}" id="{de5ac12e-b930-4ea2-8d15-e913954bed36}" parentId="{1b7d04a0-5c1c-4258-a400-b2c4ea790e4f}">
    <x18tc:text xml:space="preserve">Thanks @smalladi@guidewire.com</x18tc:text>
    <x18tc:mentions>
      <x18tc:mention mentionpersonId="{afb4716a-a070-4d76-8d21-f9809f3d3492}" mentionId="{509537e2-9cef-4031-9026-3944cd15014b}" startIndex="7" length="23"/>
    </x18tc:mentions>
  </x18tc:threadedComment>
  <x18tc:threadedComment ref="B4" dT="2026-07-06T21:34:45.00" personId="{7d6d157a-310c-4a7e-b624-fd05cd31f5f1}" id="{68420049-8842-4e3a-88a6-f5e351848d0c}" done="0">
    <x18tc:text xml:space="preserve">@mzawadzka@guidewire.com :  : Can you create a 1 pager in confluence and link it here for the readers to know what this is about and as an expected outcome ?</x18tc:text>
    <x18tc:mentions>
      <x18tc:mention mentionpersonId="{02efe0e5-fe76-4e6d-9da2-4e8a023aff8e}" mentionId="{8db1de05-8fba-4e4e-a26c-848d369144a0}" startIndex="0" length="24"/>
    </x18tc:mentions>
  </x18tc:threadedComment>
  <x18tc:threadedComment ref="B4" dT="2026-07-07T09:17:58.00" personId="{9a4dd64a-64e5-4cec-902d-a9c164a918af}" id="{4a0e066f-bf97-48fd-b148-64f68295e873}" parentId="{68420049-8842-4e3a-88a6-f5e351848d0c}">
    <x18tc:text xml:space="preserve">Sure I will do this today, thx</x18tc:text>
  </x18tc:threadedComment>
  <x18tc:threadedComment ref="B4" dT="2026-07-08T07:41:49.00" personId="{9a4dd64a-64e5-4cec-902d-a9c164a918af}" id="{f3291cb3-f369-4ff8-b547-402d45414da7}" parentId="{68420049-8842-4e3a-88a6-f5e351848d0c}">
    <x18tc:text xml:space="preserve">@agopalakrishnan@guidewire.com I added the link with the Product One-pager</x18tc:text>
    <x18tc:mentions>
      <x18tc:mention mentionpersonId="{55349863-6a08-451e-90d8-f6ad025db8f5}" mentionId="{29f461a9-867e-4993-a328-6aafa2050bd9}" startIndex="0" length="30"/>
    </x18tc:mentions>
  </x18tc:threadedComment>
  <x18tc:threadedComment ref="AW2" dT="2026-07-03T14:30:18.00" personId="{682da16d-5c98-41f2-abe5-082371878093}" id="{8a1d2353-a084-484c-a526-7c24d07b1d52}" done="0">
    <x18tc:text xml:space="preserve">Include SMS to Helios migraion tools and PrivateLink Egress DR</x18tc:text>
  </x18tc:threadedComment>
  <x18tc:threadedComment ref="AW2" dT="2026-07-03T19:32:26.00" personId="{426d6788-5168-43d2-98b3-974fdfba695a}" id="{de3e2e38-88cc-4ab2-b6a2-7524fe1ca71a}" parentId="{8a1d2353-a084-484c-a526-7c24d07b1d52}">
    <x18tc:text xml:space="preserve">This is for Liberty as far as I understand, why would you need SMS to Helios migration tools? It's already migrated.</x18tc:text>
  </x18tc:threadedComment>
  <x18tc:threadedComment ref="AW2" dT="2026-07-03T20:01:33.00" personId="{682da16d-5c98-41f2-abe5-082371878093}" id="{b4209934-ca67-4c71-9bb0-35de82394849}" parentId="{8a1d2353-a084-484c-a526-7c24d07b1d52}">
    <x18tc:text xml:space="preserve">The same timeline is for migration The Hartford to Helios and to do this we have to develop tooling for DAD variables. And this is also dependency for the whole DR initiative. And answering to your question, yes LM is already migrated.</x18tc:text>
  </x18tc:threadedComment>
  <x18tc:threadedComment ref="AW2" dT="2026-07-06T09:25:47.00" personId="{426d6788-5168-43d2-98b3-974fdfba695a}" id="{8ef01ade-3c0e-4044-a26e-7cf0dfb38345}" parentId="{8a1d2353-a084-484c-a526-7c24d07b1d52}">
    <x18tc:text xml:space="preserve">Let's follow up offline on this, I'm not aware of any Hartford related dates for this one</x18tc:text>
  </x18tc:threadedComment>
  <x18tc:threadedComment ref="AW2" dT="2026-07-24T16:20:02.00" personId="{e28f70c1-ef12-4c89-8349-6cb27991439b}" id="{73209e74-6361-4627-803f-335ba935872d}" parentId="{8a1d2353-a084-484c-a526-7c24d07b1d52}">
    <x18tc:text xml:space="preserve">@lmakowski@guidewire.com Based on the conversation here - https://guidewire.slack.com/archives/C0657SL7YNQ/p1784830812758849 - I am adding the effort mentioned in MSK CR-DR row here
CC: @atomar@guidewire.com</x18tc:text>
    <x18tc:mentions>
      <x18tc:mention mentionpersonId="{40b025f4-2e12-4c24-b8c7-59ba67cfd388}" mentionId="{b3a26ef2-b3e2-4fcf-afdb-ece72e31922c}" startIndex="0" length="24"/>
      <x18tc:mention mentionpersonId="{b1e856c7-db14-4a0e-b4a6-b642dfdfb6ed}" mentionId="{beafbcfc-da85-42c1-b994-5fcbfc80efea}" startIndex="187" length="21"/>
    </x18tc:mentions>
    <x18tc:extLst>
      <ext uri="{F7C98A9C-CBB3-438F-8F68-D28B6AF4A901}">
        <xltc2:checksum/>
        <xltc2:hyperlink startIndex="58" length="66" url="https://guidewire.slack.com/archives/C0657SL7YNQ/p1784830812758849"/>
      </ext>
    </x18tc:extLst>
  </x18tc:threadedComment>
  <x18tc:threadedComment ref="AR3" dT="2026-07-06T21:39:57.00" personId="{7d6d157a-310c-4a7e-b624-fd05cd31f5f1}" id="{333d5b58-a800-4144-a275-b26838ff809b}" done="1">
    <x18tc:text xml:space="preserve">@amkhanna@guidewire.com : same comment as before
Assigned to amkhanna@guidewire.com</x18tc:text>
    <x18tc:mentions>
      <x18tc:mention mentionpersonId="{0a8aed59-9de1-4881-b9af-625628e8f795}" mentionId="{ab435808-9f14-4ab8-86b1-9a50b260e3e6}" startIndex="0" length="23"/>
    </x18tc:mentions>
  </x18tc:threadedComment>
  <x18tc:threadedComment ref="AP2" dT="2026-07-03T14:50:57.00" personId="{204883d9-ce2c-4ba0-815c-503d69b6b19e}" id="{5d86b898-b52f-4ef8-8d40-bc28908145df}" done="0">
    <x18tc:text xml:space="preserve">Depends on:
-&gt; @atomar@guidewire.com Kanata/Vulcan (changes in the TenantProvisioner related to deprovisioning workflows, Tier support; changes in the TenantProvisioner related to fix discrepancies between primary vs failover configuration drift)
-&gt; @lmakowski@guidewire.com Avondale / Solina (changes related to mTLS enablement and generation of additional Universal URL)
-&gt; @pdomider@guidewire.com Wola (changes in the TenantProvisioner related to Star deprovisioning may require changes in Aurora TF module)</x18tc:text>
    <x18tc:mentions>
      <x18tc:mention mentionpersonId="{b1e856c7-db14-4a0e-b4a6-b642dfdfb6ed}" mentionId="{d2bacb5b-11f5-476e-8d3f-c633c24be6cf}" startIndex="15" length="21"/>
      <x18tc:mention mentionpersonId="{40b025f4-2e12-4c24-b8c7-59ba67cfd388}" mentionId="{6aa2c444-33d1-47a7-b054-98afb7eefe11}" startIndex="250" length="24"/>
      <x18tc:mention mentionpersonId="{9bf17f32-22f2-482c-9e47-de425774ad20}" mentionId="{2939ec5f-81c3-4b8a-8a72-c374484d7f65}" startIndex="376" length="23"/>
    </x18tc:mentions>
  </x18tc:threadedComment>
  <x18tc:threadedComment ref="AB20" dT="2026-07-24T20:01:58.00" personId="{fd59b3ae-1428-41b2-8457-2cfb0f5b7546}" id="{4182ac31-b2bd-416b-b5eb-51f38bb8b8da}" done="0">
    <x18tc:text xml:space="preserve">Support for teams moving there components to NG</x18tc:text>
  </x18tc:threadedComment>
  <x18tc:threadedComment ref="V3" dT="2026-07-06T21:38:05.00" personId="{7d6d157a-310c-4a7e-b624-fd05cd31f5f1}" id="{456b40d2-eb58-41d4-ab53-22a35a9a7042}" done="1">
    <x18tc:text xml:space="preserve">@amkhanna@guidewire.com : Please give comma separate names of the dependency teams alone. Anything else can be put in as a comment. We are doing some automation and non standard input breaks it
Assigned to amkhanna@guidewire.com</x18tc:text>
    <x18tc:mentions>
      <x18tc:mention mentionpersonId="{0a8aed59-9de1-4881-b9af-625628e8f795}" mentionId="{5f8623a6-6ea5-4bb5-9ecf-5e7700953f2f}" startIndex="0" length="23"/>
    </x18tc:mentions>
  </x18tc:threadedComment>
  <x18tc:threadedComment ref="R3" dT="2026-07-06T21:37:34.00" personId="{7d6d157a-310c-4a7e-b624-fd05cd31f5f1}" id="{9de7cde4-676f-44d3-bac7-3e34b6aa1e66}" done="1">
    <x18tc:text xml:space="preserve">@amkhanna@guidewire.com : Please give comma separate names of the dependency teams alone. Anything else can be put in as a comment. We are doing some automation and non standard input breaks it
Assigned to amkhanna@guidewire.com</x18tc:text>
    <x18tc:mentions>
      <x18tc:mention mentionpersonId="{0a8aed59-9de1-4881-b9af-625628e8f795}" mentionId="{f9ee93f8-fdfc-491a-9aaf-d8f44b9cc4a2}" startIndex="0" length="23"/>
    </x18tc:mentions>
  </x18tc:threadedComment>
  <x18tc:threadedComment ref="R3" dT="2026-07-07T09:50:43.00" personId="{21736235-477c-461c-84dc-a8b9be3bd74c}" id="{a705e332-690b-4b6f-86ab-312c502b37bf}" parentId="{9de7cde4-676f-44d3-bac7-3e34b6aa1e66}">
    <x18tc:text xml:space="preserve">Bandipur is dependent on Mossefactory for line item 3 &amp; 4, then on Sausolito for completion of item 1 &amp; 2) 
Onboarding Non GCC Apps - 6
Import GH users - 5 
Scaling Guard - 5 
Planet Level Granularity - 12
Entitlemet - &lt;service doesn't exist we would check if we can use SF API's&gt; 3
Audit - 2
GPR - 4 (for all of the above)</x18tc:text>
  </x18tc:threadedComment>
  <x18tc:threadedComment ref="O8" dT="2026-07-06T21:29:05.00" personId="{7d6d157a-310c-4a7e-b624-fd05cd31f5f1}" id="{cbc8e323-a415-465e-8123-6003350b4b6c}" done="0">
    <x18tc:text xml:space="preserve">@amkhanna@guidewire.com @bsekar@guidewire.com @smalladi@guidewire.com : Is this change a big one?</x18tc:text>
    <x18tc:mentions>
      <x18tc:mention mentionpersonId="{0a8aed59-9de1-4881-b9af-625628e8f795}" mentionId="{a0dfa15f-bfc8-4144-bc10-ad9b2379ad84}" startIndex="0" length="23"/>
      <x18tc:mention mentionpersonId="{72d6c93c-3592-4ad8-bf9d-420c1e2be403}" mentionId="{abba4dee-49b8-4ea6-8bba-321851e005ef}" startIndex="24" length="21"/>
      <x18tc:mention mentionpersonId="{afb4716a-a070-4d76-8d21-f9809f3d3492}" mentionId="{7a324f02-4616-4384-b519-1a24824fd99a}" startIndex="46" length="23"/>
    </x18tc:mentions>
  </x18tc:threadedComment>
  <x18tc:threadedComment ref="O8" dT="2026-07-06T21:54:41.00" personId="{589022af-f09c-4505-b48f-db8f7a94e760}" id="{1561bcc4-4db0-4770-a4c4-b21982561125}" parentId="{cbc8e323-a415-465e-8123-6003350b4b6c}">
    <x18tc:text xml:space="preserve">I haven't had a chance to talk to Amrit, Sai yet. This was a guesstimate based on the following.
- Automations to IdP configuration  that sets the tenant_id in Okta/Keti with Atlas/Salesforce integration
- Group mapping configurations based on the tenant_id prefix, including migration of existing data
- tenant_id validation logic in Nova commons. This was community contribution but the auth team should own this.
- GUARD design changes and data migration should also be part of this plan.</x18tc:text>
  </x18tc:threadedComment>
  <x18tc:threadedComment ref="O8" dT="2026-07-07T01:39:07.00" personId="{ae832a63-a301-45ea-93ea-93de8308c03a}" id="{16feacd0-c811-4f57-b3ef-2f8896554988}" parentId="{cbc8e323-a415-465e-8123-6003350b4b6c}">
    <x18tc:text xml:space="preserve">hi @bsekar@guidewire.com, we plan to do tenant_id validation as part of Self serve IdP (17) by integrating with Atlas, but lets sync to understand more on the requirement here and the other asks, i.e. groups configs and tenant validation in nova commons. 
GUARD is owned by pod bandipur.</x18tc:text>
    <x18tc:mentions>
      <x18tc:mention mentionpersonId="{72d6c93c-3592-4ad8-bf9d-420c1e2be403}" mentionId="{c9b17ccd-2661-408c-bbeb-d3d2dfac5cd7}" startIndex="3" length="21"/>
    </x18tc:mentions>
  </x18tc:threadedComment>
  <x18tc:threadedComment ref="AQ6" dT="2026-07-28T12:38:14.00" personId="{204883d9-ce2c-4ba0-815c-503d69b6b19e}" id="{a6b11e33-6489-4d30-b274-b7546e357eb2}" done="0">
    <x18tc:text xml:space="preserve">IS:
- Automating de-provisioning of Lightweight Tenant (non-IS Carriers only)
IS NOT:
- Automating provisioning of Lightweight Tenant (already done; non-IS Carriers only)
- Converting LWT Tenant to GWCP Tenant (e.g. provisioning PrC at first then adding PC)</x18tc:text>
  </x18tc:threadedComment>
  <x18tc:threadedComment ref="AK6" dT="2026-07-02T16:55:55.00" personId="{9b7c6d63-494a-4fe4-a4ff-6214c3fedfaa}" id="{0f2107f7-5532-42ef-9ce3-5b68dc3ce97b}" done="0">
    <x18tc:text xml:space="preserve">Gokarna's scope is very minimal, it would be to support on Atmos KubeVela for vCluster or Asteroids, if at all any that comes from Kanata</x18tc:text>
  </x18tc:threadedComment>
  <x18tc:threadedComment ref="AK6" dT="2026-07-03T17:50:48.00" personId="{5ec39123-4a15-47f2-87a8-13dfe758f6e2}" id="{52c7f1d9-21fe-4c21-9682-7e4a052d039a}" parentId="{0f2107f7-5532-42ef-9ce3-5b68dc3ce97b}">
    <x18tc:text xml:space="preserve">@gs@guidewire.com are you calling this out just in case, or is there anything specific you know of that Gokarna must do?</x18tc:text>
    <x18tc:mentions>
      <x18tc:mention mentionpersonId="{266944f1-17de-482c-a280-997a68ef1dcb}" mentionId="{1cda915e-38cd-493c-bdf7-aab2753674e0}" startIndex="0" length="17"/>
    </x18tc:mentions>
  </x18tc:threadedComment>
  <x18tc:threadedComment ref="AK6" dT="2026-07-03T17:53:52.00" personId="{9b7c6d63-494a-4fe4-a4ff-6214c3fedfaa}" id="{cac2ff05-de6e-4bb5-91a5-ba5f5eb4efa7}" parentId="{0f2107f7-5532-42ef-9ce3-5b68dc3ce97b}">
    <x18tc:text xml:space="preserve">@jdobson@guidewire.com For Ajanta to work on RFC 109b, Gokarna has to complete the Addon KEP and Model API versioning and these efforts has already started in R-release and will complete both and push the features to atmos-kubevela by end of R-release. Using these features, Ajanta will work on RFC-109b. Hence, adding Gokarna as support with these numbers.</x18tc:text>
    <x18tc:mentions>
      <x18tc:mention mentionpersonId="{fb559fcf-211f-4073-84f5-555b4ff178df}" mentionId="{951cca20-1361-49f2-ab7d-1e901e08a784}" startIndex="0" length="22"/>
    </x18tc:mentions>
  </x18tc:threadedComment>
  <x18tc:threadedComment ref="AK6" dT="2026-07-03T18:07:05.00" personId="{5ec39123-4a15-47f2-87a8-13dfe758f6e2}" id="{1a99c3c3-5de9-4b5a-b2df-f0e633aa0546}" parentId="{0f2107f7-5532-42ef-9ce3-5b68dc3ce97b}">
    <x18tc:text xml:space="preserve">ok, we have marked RFC-109b as "NA" in https://guidewireconfluence.atlassian.net/wiki/spaces/CCS/pages/2430402590/BYOA+-+EA+GA+Deliverables so I'm going to change this to no dependency, however I've noted in the confluence page that there is a dependency here, should the need for RFC-109b in EA or GA change.</x18tc:text>
    <x18tc:extLst>
      <ext uri="{F7C98A9C-CBB3-438F-8F68-D28B6AF4A901}">
        <xltc2:checksum/>
        <xltc2:hyperlink startIndex="39" length="100" url="https://guidewireconfluence.atlassian.net/wiki/spaces/CCS/pages/2430402590/BYOA+-+EA+GA+Deliverables"/>
      </ext>
    </x18tc:extLst>
  </x18tc:threadedComment>
  <x18tc:threadedComment ref="AK6" dT="2026-07-03T18:41:15.00" personId="{9b7c6d63-494a-4fe4-a4ff-6214c3fedfaa}" id="{3d448f23-9673-4eee-86cc-3b4ef77f0b1a}" parentId="{0f2107f7-5532-42ef-9ce3-5b68dc3ce97b}">
    <x18tc:text xml:space="preserve">I guess RFC-109b is a GA change and not for EA. May be @atomar@guidewire.com can confirm.</x18tc:text>
    <x18tc:mentions>
      <x18tc:mention mentionpersonId="{b1e856c7-db14-4a0e-b4a6-b642dfdfb6ed}" mentionId="{8ad2f9f4-b25f-4089-8a8f-cfbee37f7b01}" startIndex="55" length="21"/>
    </x18tc:mentions>
  </x18tc:threadedComment>
  <x18tc:threadedComment ref="BK22" dT="2026-07-17T14:33:43.00" personId="{fdd9deb0-0752-4724-9af1-ea031bd01e48}" id="{cb2a0496-f374-4b99-b320-bed23b330132}" done="0">
    <x18tc:text xml:space="preserve">@jdobson@guidewire.com Please review, I made it up
Updated estimate based on the linked Confluence doc.
Section A (provide/validate usage source and soft/hard limits for resources owned by Vulcan): x weeks
Section B (Hub-driven cross-region migration trigger): y weeks
Assigned to jdobson@guidewire.com</x18tc:text>
    <x18tc:mentions>
      <x18tc:mention mentionpersonId="{fb559fcf-211f-4073-84f5-555b4ff178df}" mentionId="{5db8de49-2193-4da9-b88c-ad1cfe108bf7}" startIndex="0" length="22"/>
    </x18tc:mentions>
  </x18tc:threadedComment>
  <x18tc:threadedComment ref="W8" dT="2026-07-03T15:52:11.00" personId="{204883d9-ce2c-4ba0-815c-503d69b6b19e}" id="{63440168-7964-4fbc-a72b-af52e95919b7}" done="0">
    <x18tc:text xml:space="preserve">@gbouzeid@guidewire.com please drop a line about what changes are needed, thanks.</x18tc:text>
    <x18tc:mentions>
      <x18tc:mention mentionpersonId="{745d7f76-f965-499b-8df6-91dbc43b9fb3}" mentionId="{dd327127-aea6-4381-8786-0a6968e0c36a}" startIndex="0" length="23"/>
    </x18tc:mentions>
  </x18tc:threadedComment>
  <x18tc:threadedComment ref="W8" dT="2026-07-06T21:29:50.00" personId="{7d6d157a-310c-4a7e-b624-fd05cd31f5f1}" id="{073faaa4-7474-4c76-8ed4-b8da27c90b4a}" parentId="{63440168-7964-4fbc-a72b-af52e95919b7}">
    <x18tc:text xml:space="preserve">@gbouzeid@guidewire.com : I am interested to know as well</x18tc:text>
    <x18tc:mentions>
      <x18tc:mention mentionpersonId="{745d7f76-f965-499b-8df6-91dbc43b9fb3}" mentionId="{ff8a028f-db62-4f66-bf06-785f0654c6fe}" startIndex="0" length="23"/>
    </x18tc:mentions>
  </x18tc:threadedComment>
  <x18tc:threadedComment ref="W8" dT="2026-07-06T21:50:15.00" personId="{54eae484-93a2-444b-bad4-b9c1b9b87098}" id="{6da3cab4-43ba-4702-92b6-acf3b6401d73}" parentId="{63440168-7964-4fbc-a72b-af52e95919b7}">
    <x18tc:text xml:space="preserve">hi @mzajac@guidewire.com 
this line is about Immutable/Persistent IDs - i am the PM for observability/Atmos Core (not on this initiative)</x18tc:text>
    <x18tc:mentions>
      <x18tc:mention mentionpersonId="{7290d324-2e37-4c44-bab7-310330e7fcf9}" mentionId="{c1910ce3-3f2f-40ab-95cc-ae22d50cab5e}" startIndex="3" length="21"/>
    </x18tc:mentions>
  </x18tc:threadedComment>
  <x18tc:threadedComment ref="W8" dT="2026-07-07T12:44:45.00" personId="{204883d9-ce2c-4ba0-815c-503d69b6b19e}" id="{8636e6b5-6365-4b33-ab68-69574e14e24d}" parentId="{63440168-7964-4fbc-a72b-af52e95919b7}">
    <x18tc:text xml:space="preserve">@gbouzeid@guidewire.com PodIQ lists you as PM for Bolinas with 8 pod-weeks allocated - wanted to check if that's still accurate. If it's not applicable, could you set it to "No Dependency"? Thanks!</x18tc:text>
    <x18tc:mentions>
      <x18tc:mention mentionpersonId="{745d7f76-f965-499b-8df6-91dbc43b9fb3}" mentionId="{9dd3a789-43ff-452e-a136-50c608c6174e}" startIndex="0" length="23"/>
    </x18tc:mentions>
  </x18tc:threadedComment>
  <x18tc:threadedComment ref="W8" dT="2026-07-07T14:01:14.00" personId="{54eae484-93a2-444b-bad4-b9c1b9b87098}" id="{559a9236-0bde-406b-900d-d19fa03af2a6}" parentId="{63440168-7964-4fbc-a72b-af52e95919b7}">
    <x18tc:text xml:space="preserve">starting a slack thread with you and @ppaul@guidewire.com thx</x18tc:text>
    <x18tc:mentions>
      <x18tc:mention mentionpersonId="{b9e5cf21-d7ea-4fe5-a729-64b89cb59d40}" mentionId="{858a8fc9-3b09-48e3-8a4e-45f9e8b72246}" startIndex="37" length="20"/>
    </x18tc:mentions>
  </x18tc:threadedComment>
  <x18tc:threadedComment ref="AZ3" dT="2026-07-06T21:40:30.00" personId="{7d6d157a-310c-4a7e-b624-fd05cd31f5f1}" id="{979edbfa-d7a1-4607-b9ca-b08405761810}" done="1">
    <x18tc:text xml:space="preserve">@amkhanna@guidewire.com : Please give comma separate names of the dependency teams alone. Anything else can be put in as a comment. We are doing some automation and non standard input breaks it
Assigned to amkhanna@guidewire.com</x18tc:text>
    <x18tc:mentions>
      <x18tc:mention mentionpersonId="{0a8aed59-9de1-4881-b9af-625628e8f795}" mentionId="{0c7978aa-f6bd-45e6-85f1-584eb6ff3bfc}" startIndex="0" length="23"/>
    </x18tc:mentions>
  </x18tc:threadedComment>
  <x18tc:threadedComment ref="AI6" dT="2026-07-03T18:34:37.00" personId="{5ec39123-4a15-47f2-87a8-13dfe758f6e2}" id="{29dbdc30-32c2-44ba-9b21-362b7c7e3ce1}" done="0">
    <x18tc:text xml:space="preserve">@pdomider@guidewire.com I pinged you also in a Slack message, I'm trying to understand the scope here.</x18tc:text>
    <x18tc:mentions>
      <x18tc:mention mentionpersonId="{9bf17f32-22f2-482c-9e47-de425774ad20}" mentionId="{172e9d4c-40e6-4cab-a24e-8425b2a34320}" startIndex="0" length="23"/>
    </x18tc:mentions>
  </x18tc:threadedComment>
  <x18tc:threadedComment ref="AI6" dT="2026-07-06T13:07:29.00" personId="{f6366c9e-cebb-4b9b-a866-08c7b4ba8334}" id="{b0715260-dc99-4b72-8d82-9ef85da16619}" parentId="{29dbdc30-32c2-44ba-9b21-362b7c7e3ce1}">
    <x18tc:text xml:space="preserve">@jdobson@guidewire.com our thinking was around OAM RDS components and the need to generalize them (things like profiles).</x18tc:text>
    <x18tc:mentions>
      <x18tc:mention mentionpersonId="{fb559fcf-211f-4073-84f5-555b4ff178df}" mentionId="{9dd12484-768e-4305-8ccc-937ed61f67ed}" startIndex="0" length="22"/>
    </x18tc:mentions>
  </x18tc:threadedComment>
  <x18tc:threadedComment ref="B3" dT="2026-07-15T17:54:20.00" personId="{f13fb00e-f10a-435c-815a-4d45504c7acc}" id="{a2be4ae6-4eb3-4a05-b84a-a9ac3ccfc15f}" done="0">
    <x18tc:text xml:space="preserve">@amkhanna@guidewire.com – What are the timelines for deprecation? Shouldn't this be separated into:
Guard rollout for LM-dependent LHS services
Deprecation of AD groups – Guard adoption
If #2 is not in scope for FY27, can you please specify that deprecation is out of scope for FY27?</x18tc:text>
    <x18tc:mentions>
      <x18tc:mention mentionpersonId="{0a8aed59-9de1-4881-b9af-625628e8f795}" mentionId="{0c42ac41-a752-4bd7-84d3-d02488de80a0}" startIndex="0" length="23"/>
    </x18tc:mentions>
  </x18tc:threadedComment>
  <x18tc:threadedComment ref="B3" dT="2026-07-16T04:45:31.00" personId="{21736235-477c-461c-84dc-a8b9be3bd74c}" id="{2f9491c4-0815-4777-84c4-c64980155f81}" parentId="{a2be4ae6-4eb3-4a05-b84a-a9ac3ccfc15f}">
    <x18tc:text xml:space="preserve">Hi @ssandebiksham@guidewire.co from Guard perspective the work required for both is similar. Once Guard is ready to onboard  any application can onboard. Certain apps are a priority as they are a security threat and are needed urgently by customer. But if only few apps onboard and other don't, customer has to manage certain permissions from AD group but other from Guard creating a friction in user experience and distributed experience. Therefore if the app is not waiting for Guard to resolve any feature gap we would prefer to have it onboard. As it helps us move away from AD groups.</x18tc:text>
    <x18tc:mentions>
      <x18tc:mention mentionpersonId="{da173be0-67e2-4405-bc96-f21e0c208906}" mentionId="{2a400bad-2c18-4dba-b3a9-46a4251286db}" startIndex="3" length="27"/>
    </x18tc:mentions>
  </x18tc:threadedComment>
  <x18tc:threadedComment ref="BK15" dT="2026-07-14T21:43:12.00" personId="{5ec39123-4a15-47f2-87a8-13dfe758f6e2}" id="{584694d7-5625-4950-b445-353db260828e}" done="0">
    <x18tc:text xml:space="preserve">See above: Vulcan has no µS that uses MSK, hence there is no work to adopt IAM or express brokers.</x18tc:text>
  </x18tc:threadedComment>
  <x18tc:threadedComment ref="B30" dT="2026-07-06T22:48:20.00" personId="{7d6d157a-310c-4a7e-b624-fd05cd31f5f1}" id="{0d0f74fd-df30-4121-a236-dd74b630f8c4}" done="0">
    <x18tc:text xml:space="preserve">@gbouzeid@guidewire.com : Please create a 1 pager in confluence and link it to this
Assigned to gbouzeid@guidewire.com</x18tc:text>
    <x18tc:mentions>
      <x18tc:mention mentionpersonId="{745d7f76-f965-499b-8df6-91dbc43b9fb3}" mentionId="{f41b3d89-6e01-433e-9295-ae769b09f823}" startIndex="0" length="23"/>
    </x18tc:mentions>
  </x18tc:threadedComment>
  <x18tc:threadedComment ref="B30" dT="2026-07-06T22:59:45.00" personId="{54eae484-93a2-444b-bad4-b9c1b9b87098}" id="{d1b8d8f8-bd3b-48ec-9eb8-5d06034a2406}" parentId="{0d0f74fd-df30-4121-a236-dd74b630f8c4}">
    <x18tc:text xml:space="preserve">Sure i will follow up on it thx</x18tc:text>
  </x18tc:threadedComment>
  <x18tc:threadedComment ref="B30" dT="2026-07-07T14:55:50.00" personId="{54eae484-93a2-444b-bad4-b9c1b9b87098}" id="{e20e7e62-d216-4d87-a842-cae64c214efe}" parentId="{0d0f74fd-df30-4121-a236-dd74b630f8c4}">
    <x18tc:text xml:space="preserve">added - https://guidewireconfluence.atlassian.net/wiki/spaces/CCS/pages/3405021311/OTEL+Telemetry+Streaming+GA - asking @ppaul@guidewire.com for his help in reviewing it too. thx
Reassigned to ppaul@guidewire.com</x18tc:text>
    <x18tc:mentions>
      <x18tc:mention mentionpersonId="{b9e5cf21-d7ea-4fe5-a729-64b89cb59d40}" mentionId="{37191850-093b-4145-bb90-6d51839299d6}" startIndex="120" length="20"/>
    </x18tc:mentions>
    <x18tc:extLst>
      <ext uri="{F7C98A9C-CBB3-438F-8F68-D28B6AF4A901}">
        <xltc2:checksum/>
        <xltc2:hyperlink startIndex="8" length="102" url="https://guidewireconfluence.atlassian.net/wiki/spaces/CCS/pages/3405021311/OTEL+Telemetry+Streaming+GA"/>
      </ext>
    </x18tc:extLst>
  </x18tc:threadedComment>
  <x18tc:threadedComment ref="BA12" dT="2026-07-16T22:02:09.00" personId="{4829e030-29ff-4d9e-9e93-390c2a54ea65}" id="{1f35a991-490a-43c0-91ad-d91a65fbdb3f}" done="1">
    <x18tc:text xml:space="preserve">After reading the one pager, I'm assuming this estimate for required work in Keti is about adopting the new log standards (2 weeks blocked for every LHS team), plus some buffer for potential work around exposing access logs (e.g. forwarding them from GW Hub)? @gbouzeid@guidewire.com could you confirm?
Assigned to gbouzeid@guidewire.com</x18tc:text>
    <x18tc:mentions>
      <x18tc:mention mentionpersonId="{745d7f76-f965-499b-8df6-91dbc43b9fb3}" mentionId="{73302b6a-f24b-4f11-bf61-c603dd270c03}" startIndex="260" length="23"/>
    </x18tc:mentions>
  </x18tc:threadedComment>
  <x18tc:threadedComment ref="BA12" dT="2026-07-16T23:13:47.00" personId="{54eae484-93a2-444b-bad4-b9c1b9b87098}" id="{68c69381-1d18-4a3c-a768-9ed865d0dffb}" parentId="{1f35a991-490a-43c0-91ad-d91a65fbdb3f}">
    <x18tc:text xml:space="preserve">sending them to GW observability pipeline - otherwise what you mentioned is right thx
1 total reaction
Grzegorz Solinski reacted with 👍 at 07/16/2026, 11:14 PM UTC</x18tc:text>
  </x18tc:threadedComment>
  <x18tc:threadedComment ref="BA12" dT="2026-07-16T23:14:42.00" personId="{4829e030-29ff-4d9e-9e93-390c2a54ea65}" id="{6aa01480-b5a1-4333-8432-2fa7f14c100a}" parentId="{1f35a991-490a-43c0-91ad-d91a65fbdb3f}">
    <x18tc:text xml:space="preserve">Thanks!</x18tc:text>
  </x18tc:threadedComment>
  <x18tc:threadedComment ref="AF8" dT="2026-07-10T12:47:31.00" personId="{204883d9-ce2c-4ba0-815c-503d69b6b19e}" id="{74264e87-f056-448d-80e8-8b9f729fb02b}" done="0">
    <x18tc:text xml:space="preserve">@gbouzeid@guidewire.com I added Michalowice as Danville's dependency, please adjust if needed.
Assigned to gbouzeid@guidewire.com</x18tc:text>
    <x18tc:mentions>
      <x18tc:mention mentionpersonId="{745d7f76-f965-499b-8df6-91dbc43b9fb3}" mentionId="{45301aa0-a707-4827-9f4d-a6c2fed1446b}" startIndex="0" length="23"/>
    </x18tc:mentions>
  </x18tc:threadedComment>
  <x18tc:threadedComment ref="AF8" dT="2026-07-10T21:30:54.00" personId="{54eae484-93a2-444b-bad4-b9c1b9b87098}" id="{f1e438f3-d337-475c-8651-055766ccd35a}" parentId="{74264e87-f056-448d-80e8-8b9f729fb02b}">
    <x18tc:text xml:space="preserve">@beloy@guidewire.com @msherwin@guidewire.com to review/comment thx
Reassigned to beloy@guidewire.com</x18tc:text>
    <x18tc:mentions>
      <x18tc:mention mentionpersonId="{2a75f47e-94ab-4e0f-88b5-7d5c15aedead}" mentionId="{a1013760-8c8b-461c-9c5c-fa166037196e}" startIndex="0" length="20"/>
      <x18tc:mention mentionpersonId="{24de4957-e6f2-42b2-a0c8-54c40f8be555}" mentionId="{c6b5184a-fd92-4854-9784-a28460bdec3b}" startIndex="21" length="23"/>
    </x18tc:mentions>
  </x18tc:threadedComment>
  <x18tc:threadedComment ref="AF8" dT="2026-07-10T22:06:04.00" personId="{c9dd6b42-40f6-4055-84f6-44364668c572}" id="{13dc3f2d-154a-4554-8491-394860e51710}" parentId="{74264e87-f056-448d-80e8-8b9f729fb02b}">
    <x18tc:text xml:space="preserve">My sense is that Danville doesn't need to do anything to support this initiative, nor is any of Danville's other work blocked or affected by it. @msherwin@guidewire.com can correct me if I'm wrong about that :)</x18tc:text>
    <x18tc:mentions>
      <x18tc:mention mentionpersonId="{24de4957-e6f2-42b2-a0c8-54c40f8be555}" mentionId="{d2e757d1-6beb-4d35-84f7-376a5835289d}" startIndex="145" length="23"/>
    </x18tc:mentions>
  </x18tc:threadedComment>
  <x18tc:threadedComment ref="AF8" dT="2026-07-10T22:36:11.00" personId="{3a98b0a9-292e-4dc0-bf9d-144e28dbe050}" id="{c791bee4-ddab-48be-9393-c2b6cc4f0eab}" parentId="{74264e87-f056-448d-80e8-8b9f729fb02b}">
    <x18tc:text xml:space="preserve">I agree. It is mostly changing customer tenant Id which is managed by gwcp-tenancy team</x18tc:text>
  </x18tc:threadedComment>
  <x18tc:threadedComment ref="AF8" dT="2026-07-13T08:28:46.00" personId="{204883d9-ce2c-4ba0-815c-503d69b6b19e}" id="{9903f9f5-c764-4e0b-b390-5bc689730bba}" parentId="{74264e87-f056-448d-80e8-8b9f729fb02b}">
    <x18tc:text xml:space="preserve">Ok, so changing to None. Please adjust the effort if needed, thx.</x18tc:text>
  </x18tc:threadedComment>
  <x18tc:threadedComment ref="BG8" dT="2026-07-03T15:57:27.00" personId="{204883d9-ce2c-4ba0-815c-503d69b6b19e}" id="{a185fc47-2184-463d-b65f-3110d913a05e}" done="0">
    <x18tc:text xml:space="preserve">@apers@guidewire.com please drop a line about what changes you meant, thanks.</x18tc:text>
    <x18tc:mentions>
      <x18tc:mention mentionpersonId="{9e53b3d0-d239-47a2-ba08-3df186c9f734}" mentionId="{fa0ebe95-b403-40b8-b114-2aa54482aac2}" startIndex="0" length="20"/>
    </x18tc:mentions>
  </x18tc:threadedComment>
  <x18tc:threadedComment ref="BG8" dT="2026-07-06T13:43:35.00" personId="{bc56bac3-b681-4b44-b2e3-7e5386a68645}" id="{996122c3-bd6b-4fb9-acfd-8c07ebd77cd4}" parentId="{a185fc47-2184-463d-b65f-3110d913a05e}">
    <x18tc:text xml:space="preserve">@mzajac@guidewire.com This was mainly driven by the fact that the scope of this topic is not entirely clear to us. Based on our teams' experience, it seemed possible that we might be affected. After today's discussions, we think there may be a need to use different properties in our pipelines depending on the business need - unique id vs short name.</x18tc:text>
    <x18tc:mentions>
      <x18tc:mention mentionpersonId="{7290d324-2e37-4c44-bab7-310330e7fcf9}" mentionId="{d2d6cf38-3d20-44ff-bfd9-9619ed1a9243}" startIndex="0" length="21"/>
    </x18tc:mentions>
  </x18tc:threadedComment>
  <x18tc:threadedComment ref="BG8" dT="2026-07-07T12:57:31.00" personId="{204883d9-ce2c-4ba0-815c-503d69b6b19e}" id="{28b0416e-229a-44c6-85e7-a5759a80d826}" parentId="{a185fc47-2184-463d-b65f-3110d913a05e}">
    <x18tc:text xml:space="preserve">@apers@guidewire.com please validate against this https://guidewireconfluence.atlassian.net/wiki/spaces/KDC/pages/3402468441/Immutable+ID+Initiative+One+Pager#What-this-means-for-your-service, thx</x18tc:text>
    <x18tc:mentions>
      <x18tc:mention mentionpersonId="{9e53b3d0-d239-47a2-ba08-3df186c9f734}" mentionId="{3b77ca5a-8da6-4060-9723-797038dc8dd7}" startIndex="0" length="20"/>
    </x18tc:mentions>
    <x18tc:extLst>
      <ext uri="{F7C98A9C-CBB3-438F-8F68-D28B6AF4A901}">
        <xltc2:checksum/>
        <xltc2:hyperlink startIndex="50" length="141" url="https://guidewireconfluence.atlassian.net/wiki/spaces/KDC/pages/3402468441/Immutable+ID+Initiative+One+Pager#What-this-means-for-your-service"/>
      </ext>
    </x18tc:extLst>
  </x18tc:threadedComment>
  <x18tc:threadedComment ref="BG8" dT="2026-07-14T13:18:01.00" personId="{bc56bac3-b681-4b44-b2e3-7e5386a68645}" id="{07e8047a-47f7-4fde-bbf5-9b6d6402e25c}" parentId="{a185fc47-2184-463d-b65f-3110d913a05e}">
    <x18tc:text xml:space="preserve">@mzajac@guidewire.com Done. Taking into account the information from the one-pager, as well as what we discussed yesterday about the potential impact on public APIs, Tychy pod has asked me to extend our estimate to 8. Of course, once we complete a more detailed deep dive, this may change.</x18tc:text>
    <x18tc:mentions>
      <x18tc:mention mentionpersonId="{7290d324-2e37-4c44-bab7-310330e7fcf9}" mentionId="{c78b45b5-f3b7-47fe-bc00-b03a66e5172d}" startIndex="0" length="21"/>
    </x18tc:mentions>
  </x18tc:threadedComment>
  <x18tc:threadedComment ref="BM25" dT="2026-07-02T15:46:29.00" personId="{d2c41af9-dcab-4077-9f50-4ed638d50c9f}" id="{43d0688a-76a3-4a04-997a-fed824d411a2}" done="0">
    <x18tc:text xml:space="preserve">Support for new security groups in Aurora module and OAM Postgres component</x18tc:text>
  </x18tc:threadedComment>
  <x18tc:threadedComment ref="V8" dT="2026-07-10T12:45:51.00" personId="{204883d9-ce2c-4ba0-815c-503d69b6b19e}" id="{756dee8c-77af-40e4-9532-b89ce684968a}" done="0">
    <x18tc:text xml:space="preserve">@gbouzeid@guidewire.com I added Michalowice as Bolinas's dependency, please adjust if needed.
Assigned to gbouzeid@guidewire.com</x18tc:text>
    <x18tc:mentions>
      <x18tc:mention mentionpersonId="{745d7f76-f965-499b-8df6-91dbc43b9fb3}" mentionId="{e927a2c4-6726-48b0-840f-c37b95f18159}" startIndex="0" length="23"/>
    </x18tc:mentions>
  </x18tc:threadedComment>
  <x18tc:threadedComment ref="V8" dT="2026-07-14T20:12:36.00" personId="{54eae484-93a2-444b-bad4-b9c1b9b87098}" id="{f3d22bfd-c060-4ba9-bbfa-ae12e55af188}" parentId="{756dee8c-77af-40e4-9532-b89ce684968a}">
    <x18tc:text xml:space="preserve">thx ! I will let @bsekar@guidewire.com @ppaul@guidewire.com review too
Reassigned to bsekar@guidewire.com</x18tc:text>
    <x18tc:mentions>
      <x18tc:mention mentionpersonId="{72d6c93c-3592-4ad8-bf9d-420c1e2be403}" mentionId="{9fc611d1-cd59-4c2c-99e1-076fcb6ff46a}" startIndex="17" length="21"/>
      <x18tc:mention mentionpersonId="{b9e5cf21-d7ea-4fe5-a729-64b89cb59d40}" mentionId="{a3c41818-7cd4-4519-8053-ac5ee89e28b1}" startIndex="39" length="20"/>
    </x18tc:mentions>
  </x18tc:threadedComment>
  <x18tc:threadedComment ref="V8" dT="2026-07-16T00:26:54.00" personId="{589022af-f09c-4505-b48f-db8f7a94e760}" id="{2fe5277a-297e-4d19-ba51-67dfee756ca8}" parentId="{756dee8c-77af-40e4-9532-b89ce684968a}">
    <x18tc:text xml:space="preserve">hi @mzajac@guidewire.com, can you help me understand what the dependency on on Michalowice is?
Reassigned to mzajac@guidewire.com</x18tc:text>
    <x18tc:mentions>
      <x18tc:mention mentionpersonId="{7290d324-2e37-4c44-bab7-310330e7fcf9}" mentionId="{3a6c72cf-5428-4a81-a454-421ea36449c1}" startIndex="3" length="21"/>
    </x18tc:mentions>
  </x18tc:threadedComment>
  <x18tc:threadedComment ref="V8" dT="2026-07-16T10:15:43.00" personId="{204883d9-ce2c-4ba0-815c-503d69b6b19e}" id="{d5b86162-5bfd-49e3-8cc8-0bb7bca7347c}" parentId="{756dee8c-77af-40e4-9532-b89ce684968a}">
    <x18tc:text xml:space="preserve">@bsekar@guidewire.com sure, it's simply a result of Bolinas having provided the estimate (8). Unfortunately, I still haven't received an answer to my question about what scope this estimate actually covers. @gbouzeid@guidewire.com could we get this finalized - either mark it as "No dependency" or share a high-level sense of what scope the provided value is based on?</x18tc:text>
    <x18tc:mentions>
      <x18tc:mention mentionpersonId="{72d6c93c-3592-4ad8-bf9d-420c1e2be403}" mentionId="{be354b15-a36f-4e6e-97f0-384b11c3b8a8}" startIndex="0" length="21"/>
      <x18tc:mention mentionpersonId="{745d7f76-f965-499b-8df6-91dbc43b9fb3}" mentionId="{87f54af0-9b31-4146-a4de-bde7ae2f6181}" startIndex="207" length="23"/>
    </x18tc:mentions>
  </x18tc:threadedComment>
  <x18tc:threadedComment ref="V8" dT="2026-07-16T16:14:51.00" personId="{54eae484-93a2-444b-bad4-b9c1b9b87098}" id="{5b99db0f-b4de-4385-8ca3-f0de24d00208}" parentId="{756dee8c-77af-40e4-9532-b89ce684968a}">
    <x18tc:text xml:space="preserve">hi @mzajac@guidewire.com 
I do not have additional information to confirm/infirm this dependency - if no additional update from @ppaul@guidewire.com or @bsekar@guidewire.com let's leave it as such for now</x18tc:text>
    <x18tc:mentions>
      <x18tc:mention mentionpersonId="{7290d324-2e37-4c44-bab7-310330e7fcf9}" mentionId="{af70033f-771f-4d60-ba74-8ce209303081}" startIndex="3" length="21"/>
      <x18tc:mention mentionpersonId="{b9e5cf21-d7ea-4fe5-a729-64b89cb59d40}" mentionId="{5b0dd4f3-445a-459e-b22c-bc1b93813054}" startIndex="128" length="20"/>
      <x18tc:mention mentionpersonId="{72d6c93c-3592-4ad8-bf9d-420c1e2be403}" mentionId="{d1899a99-0797-4122-b20a-3681012fa1d9}" startIndex="152" length="21"/>
    </x18tc:mentions>
  </x18tc:threadedComment>
  <x18tc:threadedComment ref="V8" dT="2026-07-17T19:01:34.00" personId="{589022af-f09c-4505-b48f-db8f7a94e760}" id="{ea64ba0b-357b-4790-9382-1f4e5ef851cc}" parentId="{756dee8c-77af-40e4-9532-b89ce684968a}">
    <x18tc:text xml:space="preserve">@mzajac@guidewire.com We suspect the following work.
- Vector routing of tenant logs need to change based on the tenant_id changes if any
- Datadog tenant configuration changes
- GWCP cost is also with Bolinas and hence updating of tenant tags is also something I suspect bolinas would have to do depending on the changes required.</x18tc:text>
    <x18tc:mentions>
      <x18tc:mention mentionpersonId="{7290d324-2e37-4c44-bab7-310330e7fcf9}" mentionId="{0becb124-0e6a-479d-b79a-047a5e8c43b6}" startIndex="0" length="21"/>
    </x18tc:mentions>
  </x18tc:threadedComment>
  <x18tc:threadedComment ref="AG8" dT="2026-07-03T15:54:00.00" personId="{204883d9-ce2c-4ba0-815c-503d69b6b19e}" id="{27f2b70d-451c-49b7-88b5-fbbca3feeb87}" done="0">
    <x18tc:text xml:space="preserve">@gbouzeid@guidewire.com please drop a line about what changes are needed, thanks.</x18tc:text>
    <x18tc:mentions>
      <x18tc:mention mentionpersonId="{745d7f76-f965-499b-8df6-91dbc43b9fb3}" mentionId="{4e0f91f9-c0f8-4830-86e2-3afa3864f010}" startIndex="0" length="23"/>
    </x18tc:mentions>
  </x18tc:threadedComment>
  <x18tc:threadedComment ref="AG8" dT="2026-07-14T13:32:08.00" personId="{204883d9-ce2c-4ba0-815c-503d69b6b19e}" id="{58a58e6e-eb06-46a9-8885-1343c9ebfdf4}" parentId="{27f2b70d-451c-49b7-88b5-fbbca3feeb87}">
    <x18tc:text xml:space="preserve">@msherwin@guidewire.com, could you please adjust the effort estimate based on the notes in "Danville Dependencies"? The comments mention "no effort," so the current estimate of 2 seems like it might be an oversight.</x18tc:text>
    <x18tc:mentions>
      <x18tc:mention mentionpersonId="{24de4957-e6f2-42b2-a0c8-54c40f8be555}" mentionId="{0bef3528-a06a-40bb-9e09-77fc29ec3113}" startIndex="0" length="23"/>
    </x18tc:mentions>
  </x18tc:threadedComment>
  <x18tc:threadedComment ref="BM16" dT="2026-07-02T15:44:01.00" personId="{d2c41af9-dcab-4077-9f50-4ed638d50c9f}" id="{a6350e47-a4bf-4e48-b3ed-a91ed88adebd}" done="0">
    <x18tc:text xml:space="preserve">Quota work captured in Kubernetes Quota line item</x18tc:text>
  </x18tc:threadedComment>
  <x18tc:threadedComment ref="X8" dT="2026-07-10T12:44:17.00" personId="{204883d9-ce2c-4ba0-815c-503d69b6b19e}" id="{780e292d-6b13-4f67-9558-8ac2adfa269d}" done="0">
    <x18tc:text xml:space="preserve">@cpetluri@guidewire.com I added Michalowice as Brilliant's dependency, please adjust if needed.
Assigned to cpetluri@guidewire.com</x18tc:text>
    <x18tc:mentions>
      <x18tc:mention mentionpersonId="{8406af2e-9a76-40b2-a7a0-2c6afa310f9d}" mentionId="{8a22648a-f08e-4644-8841-885cd359ed56}" startIndex="0" length="23"/>
    </x18tc:mentions>
  </x18tc:threadedComment>
  <x18tc:threadedComment ref="X8" dT="2026-07-10T13:27:45.00" personId="{e28f70c1-ef12-4c89-8349-6cb27991439b}" id="{6e93d2bb-4182-48ea-bb88-c4cf48f32c0e}" parentId="{780e292d-6b13-4f67-9558-8ac2adfa269d}">
    <x18tc:text xml:space="preserve">I agree.</x18tc:text>
  </x18tc:threadedComment>
  <x18tc:threadedComment ref="AU6" dT="2026-07-03T17:45:56.00" personId="{5ec39123-4a15-47f2-87a8-13dfe758f6e2}" id="{89096411-ff44-428c-aecf-7e8fb157a901}" done="1">
    <x18tc:text xml:space="preserve">@mzawadzka@guidewire.com Please see Slack message, I'm curious what this is for since no work for Okocim is identified here: https://guidewireconfluence.atlassian.net/wiki/spaces/CCS/pages/2430402590/BYOA+-+EA+GA+Deliverables</x18tc:text>
    <x18tc:mentions>
      <x18tc:mention mentionpersonId="{02efe0e5-fe76-4e6d-9da2-4e8a023aff8e}" mentionId="{8913f57b-759c-4925-b1a6-ee4ee2b2a9cb}" startIndex="0" length="24"/>
    </x18tc:mentions>
    <x18tc:extLst>
      <ext uri="{F7C98A9C-CBB3-438F-8F68-D28B6AF4A901}">
        <xltc2:checksum/>
        <xltc2:hyperlink startIndex="125" length="100" url="https://guidewireconfluence.atlassian.net/wiki/spaces/CCS/pages/2430402590/BYOA+-+EA+GA+Deliverables"/>
      </ext>
    </x18tc:extLst>
  </x18tc:threadedComment>
  <x18tc:threadedComment ref="AU6" dT="2026-07-06T10:17:20.00" personId="{9a4dd64a-64e5-4cec-902d-a9c164a918af}" id="{8b0475e7-83d0-4917-8ea9-c282260c7764}" parentId="{89096411-ff44-428c-aecf-7e8fb157a901}">
    <x18tc:text xml:space="preserve">Hi @jdobson@guidewire.com as KR mention our assumption was that there is still some work needed but if the whole initiative is going to Kanata as it is marked there is no dependency. Thx</x18tc:text>
    <x18tc:mentions>
      <x18tc:mention mentionpersonId="{fb559fcf-211f-4073-84f5-555b4ff178df}" mentionId="{45b3c61a-dee3-406a-a369-28e7745a5158}" startIndex="3" length="22"/>
    </x18tc:mentions>
  </x18tc:threadedComment>
  <x18tc:threadedComment ref="AN21" dT="2026-07-24T20:16:14.00" personId="{fd59b3ae-1428-41b2-8457-2cfb0f5b7546}" id="{213c2c71-a29f-46b4-bc21-79dbb7527cad}" done="0">
    <x18tc:text xml:space="preserve">All submodule owner teams</x18tc:text>
  </x18tc:threadedComment>
  <x18tc:threadedComment ref="BM2" dT="2026-06-30T21:06:21.00" personId="{d2c41af9-dcab-4077-9f50-4ed638d50c9f}" id="{ac8ef17e-6e61-4459-881f-6615659bf5ea}" done="0">
    <x18tc:text xml:space="preserve">Assuming no architectural changes, such as for rfc-149.</x18tc:text>
  </x18tc:threadedComment>
  <x18tc:threadedComment ref="AQ13" dT="2026-07-28T13:26:26.00" personId="{204883d9-ce2c-4ba0-815c-503d69b6b19e}" id="{4c0c76f6-1645-491f-bf85-f0be21c6ad2d}" done="0">
    <x18tc:text xml:space="preserve">IS:
-&gt; Approach 1: Assigning a dedicated Okta Group during UAA user provisioning to guarantee access to the Self-Serve IdP.
-&gt; Approach 2: Removing the temporary IdP from commercial Tenant Provisioning in favor of the Self-Serve IdP.
Note: The scope estimate assumes designing Approach 2. Approach 1 is a lower-cost alternative (~1 week).
IS NOT:
-&gt; Migrating/switching from UAA to Okta Realms.</x18tc:text>
  </x18tc:threadedComment>
  <x18tc:threadedComment ref="BA27" dT="2026-07-15T17:21:51.00" personId="{61cac862-3159-478e-bfc8-f7bb69b5daa8}" id="{877d6caa-148a-4cea-afba-409ab18ef6a4}" done="0">
    <x18tc:text xml:space="preserve">@amkhanna@guidewire.com did you added this 11 weeks effort?
Can you share what you are expecting on Keti that is different than today?
1 total reaction
Grzegorz Solinski reacted with ☝️ at 07/16/2026, 10:40 PM UTC
Assigned to amkhanna@guidewire.com</x18tc:text>
    <x18tc:mentions>
      <x18tc:mention mentionpersonId="{0a8aed59-9de1-4881-b9af-625628e8f795}" mentionId="{19fb3cb0-1b40-4b8b-8c4a-abe92fa82783}" startIndex="0" length="23"/>
    </x18tc:mentions>
  </x18tc:threadedComment>
  <x18tc:threadedComment ref="BA27" dT="2026-07-20T06:00:11.00" personId="{21736235-477c-461c-84dc-a8b9be3bd74c}" id="{bf19b3de-f115-4b19-8957-dc3d25d27263}" parentId="{877d6caa-148a-4cea-afba-409ab18ef6a4}">
    <x18tc:text xml:space="preserve">@dhsharma@guidewire.com This is similar exercise as Guard SCIM integration. SCIM bring users and groups and creates them in IS. This estimates, factor in the changes needed in User store to accomodate IS specific information and evoking IS apis. The approach for this is yet to be finalised but we have assumed user store has to modify itself to accomodate IS specific terms and then evoking user management API's from IS . This includes storing additional user attributes in user store like authority limit. Also storing the mapping details (user store first name - &gt; pc_username) and other mappings and evoking IS.</x18tc:text>
    <x18tc:mentions>
      <x18tc:mention mentionpersonId="{8caf03f4-4a5e-4075-a37e-b0df4b86d6b2}" mentionId="{9cd2667d-be86-4727-a714-83fdd36e44ac}" startIndex="0" length="23"/>
    </x18tc:mentions>
  </x18tc:threadedComment>
  <x18tc:threadedComment ref="BA22" dT="2026-07-15T17:09:09.00" personId="{61cac862-3159-478e-bfc8-f7bb69b5daa8}" id="{e9dacff7-d3c7-4362-83d2-c32168cfdf8a}" done="0">
    <x18tc:text xml:space="preserve">@jguionnet@guidewire.com , can you confirm if Okta Org rearchitecting is part of this effort?
Assigned to jguionnet@guidewire.com</x18tc:text>
    <x18tc:mentions>
      <x18tc:mention mentionpersonId="{15899f7f-e862-4c2e-86b4-7ca98f25b9f4}" mentionId="{bf72c7dc-3bdb-4f59-ade2-3ceae7d98f6b}" startIndex="0" length="24"/>
    </x18tc:mentions>
  </x18tc:threadedComment>
  <x18tc:threadedComment ref="BA22" dT="2026-07-17T13:55:01.00" personId="{fdd9deb0-0752-4724-9af1-ea031bd01e48}" id="{b474c653-7d10-41ab-92d0-d151341d8293}" parentId="{e9dacff7-d3c7-4362-83d2-c32168cfdf8a}">
    <x18tc:text xml:space="preserve">@dhsharma@guidewire.com no Okta Org Provisioning was presented as mainly a pod only initiative and as such need to be prioritized in the pod Backlog
This team is about AI Workload security only. With impact on Infra with Sandboxing AI agent, and on AuthN/Z for AI agent Identity and permissions
Reassigned to dhsharma@guidewire.com</x18tc:text>
    <x18tc:mentions>
      <x18tc:mention mentionpersonId="{8caf03f4-4a5e-4075-a37e-b0df4b86d6b2}" mentionId="{d5d10c08-fcd2-4c17-8f03-07a1c80d4eae}" startIndex="0" length="23"/>
    </x18tc:mentions>
  </x18tc:threadedComment>
  <x18tc:threadedComment ref="BA22" dT="2026-07-17T14:18:14.00" personId="{61cac862-3159-478e-bfc8-f7bb69b5daa8}" id="{b2407082-c672-436f-a5c7-acaf673592cb}" parentId="{e9dacff7-d3c7-4362-83d2-c32168cfdf8a}">
    <x18tc:text xml:space="preserve">@jguionnet@guidewire.com row #6 is also same then about "AI Workload"?
Reassigned to jguionnet@guidewire.com</x18tc:text>
    <x18tc:mentions>
      <x18tc:mention mentionpersonId="{15899f7f-e862-4c2e-86b4-7ca98f25b9f4}" mentionId="{1b5ce747-dea7-4340-a159-615e678a3e67}" startIndex="0" length="24"/>
    </x18tc:mentions>
  </x18tc:threadedComment>
  <x18tc:threadedComment ref="BA22" dT="2026-07-17T14:24:30.00" personId="{fdd9deb0-0752-4724-9af1-ea031bd01e48}" id="{6d569635-5b11-4327-8830-da94936c1178}" parentId="{e9dacff7-d3c7-4362-83d2-c32168cfdf8a}">
    <x18tc:text xml:space="preserve">@dhsharma@guidewire.com sorry, wrong row
It is only about tracking Okta limits and Sausalito/Keti should just be a dependency, so provide input on how to query that to report in a central GWCP limit dashboard
The Okta Org Provisioning was presented as mainly a pod only initiative and as such need to be prioritized in the pod Backlog
Reassigned to dhsharma@guidewire.com</x18tc:text>
    <x18tc:mentions>
      <x18tc:mention mentionpersonId="{8caf03f4-4a5e-4075-a37e-b0df4b86d6b2}" mentionId="{6a581304-7ed5-4bdb-818d-a61873346b37}" startIndex="0" length="23"/>
    </x18tc:mentions>
  </x18tc:threadedComment>
  <x18tc:threadedComment ref="AU14" dT="2026-07-03T16:00:31.00" personId="{204883d9-ce2c-4ba0-815c-503d69b6b19e}" id="{cf3501b2-d3fb-465e-93fc-e2c855968cfd}" done="1">
    <x18tc:text xml:space="preserve">@mzawadzka@guidewire.com please drop a line about what changes you meant, thanks.</x18tc:text>
    <x18tc:mentions>
      <x18tc:mention mentionpersonId="{02efe0e5-fe76-4e6d-9da2-4e8a023aff8e}" mentionId="{b08bfab4-b331-47a5-9519-2ce06e635130}" startIndex="0" length="24"/>
    </x18tc:mentions>
  </x18tc:threadedComment>
  <x18tc:threadedComment ref="AU14" dT="2026-07-06T10:21:21.00" personId="{9a4dd64a-64e5-4cec-902d-a9c164a918af}" id="{28c0cdbb-20ed-430d-a0df-d0305930a960}" parentId="{cf3501b2-d3fb-465e-93fc-e2c855968cfd}">
    <x18tc:text xml:space="preserve">@mzajac@guidewire.com My assumption is that maybe we will need to take some info from Fulfillment Service into Project Service my assumption was that there might some impact on CBC or anything else in Project Provisioning, If you cannot see any dependencies I will change it as No dependency</x18tc:text>
    <x18tc:mentions>
      <x18tc:mention mentionpersonId="{7290d324-2e37-4c44-bab7-310330e7fcf9}" mentionId="{bb2917db-5c7e-4cc6-87e1-b9c657305d7d}" startIndex="0" length="21"/>
    </x18tc:mentions>
  </x18tc:threadedComment>
  <x18tc:threadedComment ref="AU14" dT="2026-07-06T11:15:36.00" personId="{204883d9-ce2c-4ba0-815c-503d69b6b19e}" id="{fce205e9-caaa-4204-8361-7b271df7296a}" parentId="{cf3501b2-d3fb-465e-93fc-e2c855968cfd}">
    <x18tc:text xml:space="preserve">@mzawadzka@guidewire.com Understood — since it's a rough estimate at this stage, let's leave it as is. As we plan to decommission Voyager for Star provisioning and replace it with the "Fulfillment" Service, there will definitely be a touchpoint with ProjectService. That said, we're currently assuming PS won't need immediate API changes because of this.</x18tc:text>
    <x18tc:mentions>
      <x18tc:mention mentionpersonId="{02efe0e5-fe76-4e6d-9da2-4e8a023aff8e}" mentionId="{06ab6314-a0f6-43df-b3fb-5e25d44f3067}" startIndex="0" length="24"/>
    </x18tc:mentions>
  </x18tc:threadedComment>
  <x18tc:threadedComment ref="BN26" dT="2026-07-02T12:47:33.00" personId="{f6366c9e-cebb-4b9b-a866-08c7b4ba8334}" id="{d724c1f3-49a3-4f50-b2e6-5901391393c9}" done="0">
    <x18tc:text xml:space="preserve">In my (Piotr D the PM) opinion it shall be postponed after Cepheid</x18tc:text>
  </x18tc:threadedComment>
  <x18tc:threadedComment ref="AO22" dT="2026-07-10T20:18:09.00" personId="{5ec39123-4a15-47f2-87a8-13dfe758f6e2}" id="{5c9a11b3-32e6-4653-a8d0-c914f2177546}" done="0">
    <x18tc:text xml:space="preserve">@jguionnet@guidewire.com where did you get this estimate? Do you need help from Kanata refining it?</x18tc:text>
    <x18tc:mentions>
      <x18tc:mention mentionpersonId="{15899f7f-e862-4c2e-86b4-7ca98f25b9f4}" mentionId="{247993a3-ab00-4179-9d39-06a94d477fd8}" startIndex="0" length="24"/>
    </x18tc:mentions>
  </x18tc:threadedComment>
  <x18tc:threadedComment ref="AO22" dT="2026-07-17T14:18:30.00" personId="{fdd9deb0-0752-4724-9af1-ea031bd01e48}" id="{9229d929-e292-46ab-be78-72603aa99033}" parentId="{5c9a11b3-32e6-4653-a8d0-c914f2177546}">
    <x18tc:text xml:space="preserve">@jdobson@guidewire.com
I made it up after quickly speaking with Michael and it needs refinement. It is to support tenant migration (k8s first, AWS second: as it depend on being able to migrate data store...) using placement/leveraging OCM for infra provisioning/migration</x18tc:text>
    <x18tc:mentions>
      <x18tc:mention mentionpersonId="{fb559fcf-211f-4073-84f5-555b4ff178df}" mentionId="{490a2a41-872a-4c4c-88d3-9214fca7309a}" startIndex="0" length="22"/>
    </x18tc:mentions>
  </x18tc:threadedComment>
  <x18tc:threadedComment ref="BK2" dT="2026-07-02T20:04:39.00" personId="{5ec39123-4a15-47f2-87a8-13dfe758f6e2}" id="{2b6748c7-e9f3-4f3b-8de6-18dc5790f6f9}" done="0">
    <x18tc:text xml:space="preserve">19 weeks for November commitments: Hub Observability, LHS Services DR Orchestration, and Support for Voyager Deprovisioning.
13 weeks for Hub Automated Recovery (DR)
10 weeks for Self-Serve Testing</x18tc:text>
  </x18tc:threadedComment>
  <x18tc:threadedComment ref="BK2" dT="2026-07-02T20:06:13.00" personId="{5ec39123-4a15-47f2-87a8-13dfe758f6e2}" id="{dc778d43-554a-4dc9-a238-41c6184b2afa}" parentId="{2b6748c7-e9f3-4f3b-8de6-18dc5790f6f9}">
    <x18tc:text xml:space="preserve">Marked as resolved</x18tc:text>
  </x18tc:threadedComment>
  <x18tc:threadedComment ref="BK2" dT="2026-07-02T20:06:58.00" personId="{5ec39123-4a15-47f2-87a8-13dfe758f6e2}" id="{dc98c8c6-7396-44c9-a85d-c27f3c4d17f5}" parentId="{2b6748c7-e9f3-4f3b-8de6-18dc5790f6f9}">
    <x18tc:text xml:space="preserve">Re-opened</x18tc:text>
  </x18tc:threadedComment>
  <x18tc:threadedComment ref="BK2" dT="2026-07-14T14:00:55.00" personId="{5ec39123-4a15-47f2-87a8-13dfe758f6e2}" id="{35c2e881-a763-4471-92ab-1e4c9e6cecdf}" parentId="{2b6748c7-e9f3-4f3b-8de6-18dc5790f6f9}">
    <x18tc:text xml:space="preserve">Just for November it is Hub Observability + LHS Orchestration, which is 70 SP = 7.77 sprints ~ 32 lane weeks</x18tc:text>
  </x18tc:threadedComment>
  <x18tc:threadedComment ref="L8" dT="2026-07-13T08:31:22.00" personId="{204883d9-ce2c-4ba0-815c-503d69b6b19e}" id="{b6812607-dfe7-46e3-b2ca-528a4a5c7e21}" done="0">
    <x18tc:text xml:space="preserve">Updated to "None," based on the "No Dependency" setting.</x18tc:text>
  </x18tc:threadedComment>
  <x18tc:threadedComment ref="AA2" dT="2026-07-02T15:22:47.00" personId="{f13fb00e-f10a-435c-815a-4d45504c7acc}" id="{352cc338-3737-4242-8524-3de0ccdd0fdf}" done="0">
    <x18tc:text xml:space="preserve">MSK Admin cross region is estimated below on row 35 - DR support for MSK (IAM authentication )</x18tc:text>
  </x18tc:threadedComment>
  <x18tc:threadedComment ref="AA2" dT="2026-07-17T15:47:57.00" personId="{7fd15008-94ee-4f23-a195-6d4dedd4ea7e}" id="{58ec06da-891e-414f-ba45-fe12f81f7570}" parentId="{352cc338-3737-4242-8524-3de0ccdd0fdf}">
    <x18tc:text xml:space="preserve">@ssandebiksham@guidewire.com @cpetluri@guidewire.com 
Is this work scheduled to be completed by August 2026? If so, please remove it from this sheet. This planning is strictly for FY27, and we shouldn't include any efforts currently in flight for the August LM timelines.</x18tc:text>
    <x18tc:mentions>
      <x18tc:mention mentionpersonId="{82a8f867-3c05-49c1-986a-2b1d429f7733}" mentionId="{9e719ebb-d255-4367-a726-b0a1e7126885}" startIndex="0" length="28"/>
      <x18tc:mention mentionpersonId="{8406af2e-9a76-40b2-a7a0-2c6afa310f9d}" mentionId="{2c9b22b0-faba-40bb-adf3-17ce4d0fbbf5}" startIndex="29" length="23"/>
    </x18tc:mentions>
  </x18tc:threadedComment>
  <x18tc:threadedComment ref="AA2" dT="2026-07-17T16:35:47.00" personId="{e28f70c1-ef12-4c89-8349-6cb27991439b}" id="{dd8d9745-4f7a-42e6-931e-3fae387bc096}" parentId="{352cc338-3737-4242-8524-3de0ccdd0fdf}">
    <x18tc:text xml:space="preserve">@atomar@guidewire.com , there will be work post August also here as MSK DR failover needs to tested as well and will happen till Sep (R-release end)</x18tc:text>
    <x18tc:mentions>
      <x18tc:mention mentionpersonId="{b1e856c7-db14-4a0e-b4a6-b642dfdfb6ed}" mentionId="{76b997cc-16d0-4c87-9d99-09d2d24cd656}" startIndex="0" length="21"/>
    </x18tc:mentions>
  </x18tc:threadedComment>
  <x18tc:threadedComment ref="AA2" dT="2026-07-17T17:43:19.00" personId="{7fd15008-94ee-4f23-a195-6d4dedd4ea7e}" id="{3dfe480f-78cf-47a8-98ec-d8d24c2ad91a}" parentId="{352cc338-3737-4242-8524-3de0ccdd0fdf}">
    <x18tc:text xml:space="preserve">@cpetluri@guidewire.com 
In that case please only add the total effort that is required to be spent post August, 2 weeks?</x18tc:text>
    <x18tc:mentions>
      <x18tc:mention mentionpersonId="{8406af2e-9a76-40b2-a7a0-2c6afa310f9d}" mentionId="{ebd0efa6-a0f0-411d-a260-484b63944eeb}" startIndex="0" length="23"/>
    </x18tc:mentions>
  </x18tc:threadedComment>
  <x18tc:threadedComment ref="AA2" dT="2026-07-20T14:56:17.00" personId="{e28f70c1-ef12-4c89-8349-6cb27991439b}" id="{78108437-1b4b-4f57-afa9-29d99189aca2}" parentId="{352cc338-3737-4242-8524-3de0ccdd0fdf}">
    <x18tc:text xml:space="preserve">I am confused, we are targeting by Sep 30, and we have work from Aug 1 to meet November deadlines - Hence, 8 weeks</x18tc:text>
  </x18tc:threadedComment>
  <x18tc:threadedComment ref="AA2" dT="2026-07-21T13:51:22.00" personId="{e28f70c1-ef12-4c89-8349-6cb27991439b}" id="{621fbd04-423b-4012-9ab8-12b47d516cf1}" parentId="{352cc338-3737-4242-8524-3de0ccdd0fdf}">
    <x18tc:text xml:space="preserve">By post Aug, do you mean from Sep 1, 2026? It's confusing because the FY 27 starts from Aug 1</x18tc:text>
  </x18tc:threadedComment>
  <x18tc:threadedComment ref="AA2" dT="2026-07-24T16:15:48.00" personId="{e28f70c1-ef12-4c89-8349-6cb27991439b}" id="{5d62b7cf-5ca5-4eaf-a79e-6f06d971e427}" parentId="{352cc338-3737-4242-8524-3de0ccdd0fdf}">
    <x18tc:text xml:space="preserve">Based on the conversation here - https://guidewire.slack.com/archives/C0657SL7YNQ/p1784830812758849 - I am shifting the effort mentioned in MSK CR-DR (MSK Admin DR support) as a local initiative.
CC: @ssandebiksham@guidewire.com @atomar@guidewire.com</x18tc:text>
    <x18tc:mentions>
      <x18tc:mention mentionpersonId="{82a8f867-3c05-49c1-986a-2b1d429f7733}" mentionId="{caf6a74e-c75b-4fc4-aba8-3a0d5dc20548}" startIndex="200" length="28"/>
      <x18tc:mention mentionpersonId="{b1e856c7-db14-4a0e-b4a6-b642dfdfb6ed}" mentionId="{4b5da01a-ceee-4b90-93df-76a8977a387f}" startIndex="229" length="21"/>
    </x18tc:mentions>
    <x18tc:extLst>
      <ext uri="{F7C98A9C-CBB3-438F-8F68-D28B6AF4A901}">
        <xltc2:checksum/>
        <xltc2:hyperlink startIndex="33" length="66" url="https://guidewire.slack.com/archives/C0657SL7YNQ/p1784830812758849"/>
      </ext>
    </x18tc:extLst>
  </x18tc:threadedComment>
  <x18tc:threadedComment ref="BA23" dT="2026-07-15T17:09:58.00" personId="{61cac862-3159-478e-bfc8-f7bb69b5daa8}" id="{48ef96fa-f91b-48c6-b8cc-ac8ced862cbb}" done="0">
    <x18tc:text xml:space="preserve">@jguionnet@guidewire.com can you add details for the scope of this initiative?
Assigned to jguionnet@guidewire.com</x18tc:text>
    <x18tc:mentions>
      <x18tc:mention mentionpersonId="{15899f7f-e862-4c2e-86b4-7ca98f25b9f4}" mentionId="{606ac4bf-1899-49ea-bb7c-25623558bc7f}" startIndex="0" length="24"/>
    </x18tc:mentions>
  </x18tc:threadedComment>
  <x18tc:threadedComment ref="BA23" dT="2026-07-17T14:19:50.00" personId="{fdd9deb0-0752-4724-9af1-ea031bd01e48}" id="{b118de02-0c70-4ac3-994c-283945f625b1}" parentId="{48ef96fa-f91b-48c6-b8cc-ac8ced862cbb}">
    <x18tc:text xml:space="preserve">@dhsharma@guidewire.com 
This team is about AI Workload security only. With impact on Infra with Sandboxing AI agent, and on AuthN/Z for AI agent Identity and permissions
Reassigned to dhsharma@guidewire.com</x18tc:text>
    <x18tc:mentions>
      <x18tc:mention mentionpersonId="{8caf03f4-4a5e-4075-a37e-b0df4b86d6b2}" mentionId="{1867d002-53fa-4060-b654-58aff95e4074}" startIndex="0" length="23"/>
    </x18tc:mentions>
  </x18tc:threadedComment>
  <x18tc:threadedComment ref="BA23" dT="2026-07-17T15:03:51.00" personId="{fdd9deb0-0752-4724-9af1-ea031bd01e48}" id="{67f7bb86-8622-4c40-83c2-690bfe0fc96a}" parentId="{48ef96fa-f91b-48c6-b8cc-ac8ced862cbb}">
    <x18tc:text xml:space="preserve">In the context of AuthN, it is SPIFFE/SPIRE at the cluster level for agent workload, so it is dependent on Brilliant SPIFFE/SPIRE MVP</x18tc:text>
  </x18tc:threadedComment>
  <x18tc:threadedComment ref="BO8" dT="2026-07-03T15:59:10.00" personId="{204883d9-ce2c-4ba0-815c-503d69b6b19e}" id="{38b6925d-51ae-42f4-bcef-4e22d5de20f0}" done="0">
    <x18tc:text xml:space="preserve">@pdomider@guidewire.com please drop a line about what changes you meant, thanks.</x18tc:text>
    <x18tc:mentions>
      <x18tc:mention mentionpersonId="{9bf17f32-22f2-482c-9e47-de425774ad20}" mentionId="{25d65fd7-51d1-4926-a0cf-3ee57b263c78}" startIndex="0" length="23"/>
    </x18tc:mentions>
  </x18tc:threadedComment>
  <x18tc:threadedComment ref="BO8" dT="2026-07-05T17:48:52.00" personId="{54eae484-93a2-444b-bad4-b9c1b9b87098}" id="{54691664-dee1-4796-92dd-2b96c35eb727}" parentId="{38b6925d-51ae-42f4-bcef-4e22d5de20f0}">
    <x18tc:text xml:space="preserve">hi @mzajac@guidewire.com are u referring about item 7 or 8? thx</x18tc:text>
    <x18tc:mentions>
      <x18tc:mention mentionpersonId="{7290d324-2e37-4c44-bab7-310330e7fcf9}" mentionId="{65bb0600-8b70-42cf-80b7-726615b5cbbf}" startIndex="3" length="21"/>
    </x18tc:mentions>
  </x18tc:threadedComment>
  <x18tc:threadedComment ref="BO8" dT="2026-07-06T11:07:17.00" personId="{204883d9-ce2c-4ba0-815c-503d69b6b19e}" id="{b6609628-392e-42fd-92a1-d2c0eb21faf0}" parentId="{38b6925d-51ae-42f4-bcef-4e22d5de20f0}">
    <x18tc:text xml:space="preserve">@gbouzeid@guidewire.com I'm referring to Immutable ID (item 7), thx</x18tc:text>
    <x18tc:mentions>
      <x18tc:mention mentionpersonId="{745d7f76-f965-499b-8df6-91dbc43b9fb3}" mentionId="{7cb24285-6a0a-48c0-8785-ddb19aea7ff4}" startIndex="0" length="23"/>
    </x18tc:mentions>
  </x18tc:threadedComment>
  <x18tc:threadedComment ref="BO8" dT="2026-07-06T13:24:32.00" personId="{f6366c9e-cebb-4b9b-a866-08c7b4ba8334}" id="{721b69df-6a16-4d30-b56b-2b3b01708295}" parentId="{38b6925d-51ae-42f4-bcef-4e22d5de20f0}">
    <x18tc:text xml:space="preserve">@mzajac@guidewire.com I'll sync with you on slack on this</x18tc:text>
    <x18tc:mentions>
      <x18tc:mention mentionpersonId="{7290d324-2e37-4c44-bab7-310330e7fcf9}" mentionId="{034e93ef-5bee-4eed-bb2b-ca0893eadf16}" startIndex="0" length="21"/>
    </x18tc:mentions>
  </x18tc:threadedComment>
  <x18tc:threadedComment ref="BM11" dT="2026-07-02T15:32:13.00" personId="{d2c41af9-dcab-4077-9f50-4ed638d50c9f}" id="{999c537e-bc70-4892-92e3-303956f8a3d8}" done="0">
    <x18tc:text xml:space="preserve">New provisioner for migration DBs</x18tc:text>
  </x18tc:threadedComment>
  <x18tc:threadedComment ref="U6" dT="2026-07-17T20:32:39.00" personId="{7fd15008-94ee-4f23-a195-6d4dedd4ea7e}" id="{21d96eea-f7c2-4b69-8113-5102e7c47c15}" done="0">
    <x18tc:text xml:space="preserve">James Dobson
James Dobson
2:44 PM Jul 3
@pflasinski@guidewire.com I have Slacked you and the PMs for an estimate here; please also fill out dependencies if any.
Piotr Flasiński
Piotr Flasiński
6:02 PM Jul 3
Sure, I'm not sure if those dependencies have been discussed with the PM / Pod, but we'll followup
Assigned to pflasinski@guidewire.com</x18tc:text>
    <x18tc:mentions>
      <x18tc:mention mentionpersonId="{cd223930-9fa8-4745-bd4a-709a216e143a}" mentionId="{d4d1b811-090b-4d59-b147-12f9f8571cf8}" startIndex="40" length="25"/>
    </x18tc:mentions>
  </x18tc:threadedComment>
  <x18tc:threadedComment ref="U6" dT="2026-07-22T12:26:55.00" personId="{924f2a14-453f-443a-b46a-ffe32a106350}" id="{e7222125-f807-415b-ad00-8b7008b4ff74}" parentId="{21d96eea-f7c2-4b69-8113-5102e7c47c15}">
    <x18tc:text xml:space="preserve">I'm not sure I understand. What's missing?</x18tc:text>
  </x18tc:threadedComment>
  <x18tc:threadedComment ref="U6" dT="2026-07-22T15:38:36.00" personId="{7fd15008-94ee-4f23-a195-6d4dedd4ea7e}" id="{82815424-afc0-45e1-bf3a-611e72b54a6f}" parentId="{21d96eea-f7c2-4b69-8113-5102e7c47c15}">
    <x18tc:text xml:space="preserve">in short, @pflasinski@guidewire.com could you please help confirm Biala pod to review the estimate?</x18tc:text>
    <x18tc:mentions>
      <x18tc:mention mentionpersonId="{cd223930-9fa8-4745-bd4a-709a216e143a}" mentionId="{fe954866-52af-4877-b67a-b21eacc37a4b}" startIndex="10" length="25"/>
    </x18tc:mentions>
  </x18tc:threadedComment>
  <x18tc:threadedComment ref="U6" dT="2026-07-22T17:04:53.00" personId="{924f2a14-453f-443a-b46a-ffe32a106350}" id="{215cc215-32ee-4240-8a58-ec7939b88eee}" parentId="{21d96eea-f7c2-4b69-8113-5102e7c47c15}">
    <x18tc:text xml:space="preserve">Sure! But please take into account that if there are no requirements they will need to do that based on their assumptions.</x18tc:text>
  </x18tc:threadedComment>
  <x18tc:threadedComment ref="U6" dT="2026-07-23T10:06:31.00" personId="{8e157234-d69b-418e-841c-69e28314c5d0}" id="{95a12891-4802-41ff-93ac-4e380b4b9845}" parentId="{21d96eea-f7c2-4b69-8113-5102e7c47c15}">
    <x18tc:text xml:space="preserve">@atomar@guidewire.com the estimate is correct according to our current understanding of Asteroids. It is based on our previous experience onboarding new integrations. We expect that the pricing model will be defined by the BYOA team and endpoints will be available for Solaris to consume data from. If the integration will be a non-standard one, Biala's amount work may be even twice this much.
Reassigned to atomar@guidewire.com</x18tc:text>
    <x18tc:mentions>
      <x18tc:mention mentionpersonId="{b1e856c7-db14-4a0e-b4a6-b642dfdfb6ed}" mentionId="{bf282a25-6826-42c8-8989-070e9608c593}" startIndex="0" length="21"/>
    </x18tc:mentions>
  </x18tc:threadedComment>
  <x18tc:threadedComment ref="Q22" dT="2026-06-30T19:43:52.00" personId="{286bd2de-8ccd-4afa-8208-966c0aa309b9}" id="{486ff3d5-779b-4888-b586-9c1f87539066}" done="0">
    <x18tc:text xml:space="preserve">Avondale scope (All Networking component/resources)</x18tc:text>
  </x18tc:threadedComment>
  <x18tc:threadedComment ref="Q22" dT="2026-07-01T20:32:46.00" personId="{b8c5c968-34dc-4851-bdeb-1b4e1462cb2b}" id="{0567671a-c2c1-40cf-a49b-92f042709007}" parentId="{486ff3d5-779b-4888-b586-9c1f87539066}">
    <x18tc:text xml:space="preserve">I'm not sure what this involves besides quotas, so I'm just adding 3 sols to this.</x18tc:text>
  </x18tc:threadedComment>
  <x18tc:threadedComment ref="Q22" dT="2026-07-06T13:54:31.00" personId="{286bd2de-8ccd-4afa-8208-966c0aa309b9}" id="{bb90a7c0-f67f-497a-96fb-5891e9cfd630}" parentId="{486ff3d5-779b-4888-b586-9c1f87539066}">
    <x18tc:text xml:space="preserve">I assume, it would be Kubernetes and AWS quotas and any implementations to limit those resource usages.</x18tc:text>
  </x18tc:threadedComment>
  <x18tc:threadedComment ref="Q22" dT="2026-07-08T16:48:01.00" personId="{7d6d157a-310c-4a7e-b624-fd05cd31f5f1}" id="{f2caa7e7-0c2e-491c-a625-65fca825fd54}" parentId="{486ff3d5-779b-4888-b586-9c1f87539066}">
    <x18tc:text xml:space="preserve">@mrusso@guidewire.com @rasubramanian@guidewire.com : Please use the item in row 22 on k8s limits. We are going to mark this as duplicate of that instance. You can move your estimates there
2 total reactions
Michael Russo reacted with 👍 at 07/08/2026, 10:07 PM UTC
Michael Russo reacted with ✅ at 07/08/2026, 10:11 PM UTC</x18tc:text>
    <x18tc:mentions>
      <x18tc:mention mentionpersonId="{d2ee7563-ce62-4e76-b17d-fe5b98eaeea7}" mentionId="{238200aa-3611-4020-8027-9ca2f6d755f3}" startIndex="0" length="21"/>
      <x18tc:mention mentionpersonId="{e24471b3-06fb-4838-ab9a-5a17bd74c488}" mentionId="{cd40c082-bed2-42e6-8b26-40cf59d43c8a}" startIndex="22" length="28"/>
    </x18tc:mentions>
  </x18tc:threadedComment>
  <x18tc:threadedComment ref="Q22" dT="2026-07-23T18:13:31.00" personId="{b8c5c968-34dc-4851-bdeb-1b4e1462cb2b}" id="{50cf8be7-65ce-4974-aaf7-b42321b6e9af}" parentId="{486ff3d5-779b-4888-b586-9c1f87539066}">
    <x18tc:text xml:space="preserve">Row 22 is currently "Enforce constraints around tagging". That doesn't relate to quota enforcement. Maybe this comment is stale now? I vaguely recall having a separate row for k8s limits that may have been removed.</x18tc:text>
  </x18tc:threadedComment>
  <x18tc:threadedComment ref="Q22" dT="2026-07-23T18:28:45.00" personId="{b8c5c968-34dc-4851-bdeb-1b4e1462cb2b}" id="{d85d49d4-2526-463f-9f99-742e824c03c9}" parentId="{486ff3d5-779b-4888-b586-9c1f87539066}">
    <x18tc:text xml:space="preserve">I never set this to 50. I'm trying to track down who did this. I see the change happened on 7/10 11:27a CDT.
For now, I'll set this back to my estimate.</x18tc:text>
  </x18tc:threadedComment>
  <x18tc:threadedComment ref="Q22" dT="2026-07-23T22:10:00.00" personId="{7d6d157a-310c-4a7e-b624-fd05cd31f5f1}" id="{3a35d31d-57d2-4a45-af5c-0df447ccae09}" parentId="{486ff3d5-779b-4888-b586-9c1f87539066}">
    <x18tc:text xml:space="preserve">@mrusso@guidewire.com : yeah looks like Jerome deleted the duplicate on row 22 earlier in favor of this row. So as far as you have info in here correctly, you are good
1 total reaction
Michael Russo reacted with 👍 at 07/24/2026, 3:22 PM UTC</x18tc:text>
    <x18tc:mentions>
      <x18tc:mention mentionpersonId="{d2ee7563-ce62-4e76-b17d-fe5b98eaeea7}" mentionId="{6e58b082-0f92-4be1-8bed-46544c60a961}" startIndex="0" length="21"/>
    </x18tc:mentions>
  </x18tc:threadedComment>
  <x18tc:threadedComment ref="W11" dT="2026-07-03T18:51:26.00" personId="{5ec39123-4a15-47f2-87a8-13dfe758f6e2}" id="{13b085b9-3627-4b77-b18c-1533e2a4b5d8}" done="0">
    <x18tc:text xml:space="preserve">@gbouzeid@guidewire.com I have messaged you in Slack, I'm wondering about the observability sub-module of tenancy.</x18tc:text>
    <x18tc:mentions>
      <x18tc:mention mentionpersonId="{745d7f76-f965-499b-8df6-91dbc43b9fb3}" mentionId="{4e81e125-5aa3-4f82-bb41-a42209bec2a8}" startIndex="0" length="23"/>
    </x18tc:mentions>
  </x18tc:threadedComment>
  <x18tc:threadedComment ref="W11" dT="2026-07-14T20:16:44.00" personId="{54eae484-93a2-444b-bad4-b9c1b9b87098}" id="{2761787c-024c-4d00-821f-dec7af0a6489}" parentId="{13b085b9-3627-4b77-b18c-1533e2a4b5d8}">
    <x18tc:text xml:space="preserve">estimate was updated i believe by @ppaul@guidewire.com</x18tc:text>
    <x18tc:mentions>
      <x18tc:mention mentionpersonId="{b9e5cf21-d7ea-4fe5-a729-64b89cb59d40}" mentionId="{b7671d9c-6587-403c-a666-452329f79a8d}" startIndex="34" length="20"/>
    </x18tc:mentions>
  </x18tc:threadedComment>
  <x18tc:threadedComment ref="Q11" dT="2026-07-03T18:47:44.00" personId="{5ec39123-4a15-47f2-87a8-13dfe758f6e2}" id="{072a7453-e6a8-4498-b5d1-649ab9219752}" done="0">
    <x18tc:text xml:space="preserve">@rasubramanian@guidewire.com @mrusso@guidewire.com is there not a dependency on decoupling TenantOption?</x18tc:text>
    <x18tc:mentions>
      <x18tc:mention mentionpersonId="{e24471b3-06fb-4838-ab9a-5a17bd74c488}" mentionId="{0ecbc75d-c828-4843-9c7d-88404af7339f}" startIndex="0" length="28"/>
      <x18tc:mention mentionpersonId="{d2ee7563-ce62-4e76-b17d-fe5b98eaeea7}" mentionId="{ec8fe48e-721b-4560-a355-fba8c284a3b6}" startIndex="29" length="21"/>
    </x18tc:mentions>
  </x18tc:threadedComment>
  <x18tc:threadedComment ref="Q11" dT="2026-07-03T23:39:15.00" personId="{b8c5c968-34dc-4851-bdeb-1b4e1462cb2b}" id="{1ed653bf-013e-43fe-af83-1bfb4a602e07}" parentId="{072a7453-e6a8-4498-b5d1-649ab9219752}">
    <x18tc:text xml:space="preserve">I probably should've clarified this. I was estimating for FY27, where I was assuming we would already be done with TMD. In this sprint, we were working on what we thought were the final stages.
That said, we just encountered a blocker yesterday. I'll add a dependency on Kanata to address this.</x18tc:text>
  </x18tc:threadedComment>
  <x18tc:threadedComment ref="Q11" dT="2026-07-06T14:47:01.00" personId="{5ec39123-4a15-47f2-87a8-13dfe758f6e2}" id="{f85f6487-83ba-40e2-8868-85844bbc94f4}" parentId="{072a7453-e6a8-4498-b5d1-649ab9219752}">
    <x18tc:text xml:space="preserve">Got it, I wasn't aware you were working on it before FY27. Thanks!
1 total reaction
Michael Russo reacted with 👍 at 07/06/2026, 10:36 PM UTC</x18tc:text>
  </x18tc:threadedComment>
  <x18tc:threadedComment ref="P6" dT="2026-07-03T18:14:30.00" personId="{5ec39123-4a15-47f2-87a8-13dfe758f6e2}" id="{37f2aba9-b7d4-42e6-935a-979eab75150d}" done="0">
    <x18tc:text xml:space="preserve">@rasubramanian@guidewire.com I assume there are no dependencies here?</x18tc:text>
    <x18tc:mentions>
      <x18tc:mention mentionpersonId="{e24471b3-06fb-4838-ab9a-5a17bd74c488}" mentionId="{eb07d9de-95a9-4044-a1f2-a6fb2f315027}" startIndex="0" length="28"/>
    </x18tc:mentions>
  </x18tc:threadedComment>
  <x18tc:threadedComment ref="P6" dT="2026-07-06T16:09:40.00" personId="{286bd2de-8ccd-4afa-8208-966c0aa309b9}" id="{d1c9333a-75fb-4366-9229-dcb7d077aff0}" parentId="{37f2aba9-b7d4-42e6-935a-979eab75150d}">
    <x18tc:text xml:space="preserve">Yes James, for now we don't see any dependencies</x18tc:text>
  </x18tc:threadedComment>
  <x18tc:threadedComment ref="BM22" dT="2026-06-30T19:41:39.00" personId="{286bd2de-8ccd-4afa-8208-966c0aa309b9}" id="{a7643ca7-5d0f-4183-a61d-43787dc61e30}" done="0">
    <x18tc:text xml:space="preserve">Warrior scope- Aurora, DynamoDB resources limits/quotas and related Kubevela/Crossplane limits</x18tc:text>
  </x18tc:threadedComment>
  <x18tc:threadedComment ref="BM22" dT="2026-07-14T20:38:48.00" personId="{d2c41af9-dcab-4077-9f50-4ed638d50c9f}" id="{258caef2-c445-4300-b543-fdcdcfee95ed}" parentId="{a7643ca7-5d0f-4183-a61d-43787dc61e30}">
    <x18tc:text xml:space="preserve">Updated estimate based on the linked Confluence doc.
Section A (limits): 2 weeks
Section B (data migration across accounts/regions): 18 weeks</x18tc:text>
  </x18tc:threadedComment>
  <x18tc:threadedComment ref="Q4" dT="2026-07-29T17:09:39.00" personId="{b8c5c968-34dc-4851-bdeb-1b4e1462cb2b}" id="{f196e23f-91db-4e14-92da-e6e4d295ab32}" done="1">
    <x18tc:text xml:space="preserve">@ujain@guidewire.com , can you please either unlock this cell for editing or set the value to TBD?
For justification, please see the cell directly to the left of this one.
Assigned to ujain@guidewire.com</x18tc:text>
    <x18tc:mentions>
      <x18tc:mention mentionpersonId="{879de53f-a744-4b67-987f-1006b3ceb550}" mentionId="{68b44e4f-3f0d-441a-b929-b0b2e0125f88}" startIndex="0" length="20"/>
    </x18tc:mentions>
  </x18tc:threadedComment>
  <x18tc:threadedComment ref="AQ8" dT="2026-07-28T12:36:49.00" personId="{204883d9-ce2c-4ba0-815c-503d69b6b19e}" id="{64c651d9-5550-42fb-9ab4-aaacd38da7af}" done="0">
    <x18tc:text xml:space="preserve">IS:
-&gt; Atlas (SoR for Stars; generate Tenant/Star unique ID; share unique ID with Salesforce; generate missing unique IDs, short names, display names)
-&gt; Voyager (provision Tenant/Star using unique IDs; allow to provision only if Tenant/Star exists in Atlas)
Cassini (accept GRNs with unique IDs)
IS NOT:
-&gt; Enabling Tenant / Star renaming (displayName/shortName)</x18tc:text>
  </x18tc:threadedComment>
  <x18tc:threadedComment ref="BM19" dT="2026-07-02T15:57:24.00" personId="{d2c41af9-dcab-4077-9f50-4ed638d50c9f}" id="{06eab84b-462a-4583-8153-0afe8bbe3b64}" done="0">
    <x18tc:text xml:space="preserve">Need more info. Estimate is high level, scoped just to design for data retrieval requirements.</x18tc:text>
  </x18tc:threadedComment>
  <x18tc:threadedComment ref="Q2" dT="2026-06-30T19:45:35.00" personId="{286bd2de-8ccd-4afa-8208-966c0aa309b9}" id="{beb8f0cf-4bae-484e-a893-6d0de5f044cd}" done="0">
    <x18tc:text xml:space="preserve">CRDR - Universal URL, Privatelink</x18tc:text>
  </x18tc:threadedComment>
  <x18tc:threadedComment ref="Q2" dT="2026-07-21T13:46:56.00" personId="{286bd2de-8ccd-4afa-8208-966c0aa309b9}" id="{575209ab-765e-41db-aa47-7d3d5ed608f7}" parentId="{beb8f0cf-4bae-484e-a893-6d0de5f044cd}">
    <x18tc:text xml:space="preserve">@lowen@guidewire.com @mrusso@guidewire.com Include the high level sols for Cloudfare/Other solution to support the Universal URL &amp; Privatelink</x18tc:text>
    <x18tc:mentions>
      <x18tc:mention mentionpersonId="{fa9f48d9-40b2-47a2-8290-f0ceb6420e38}" mentionId="{eba58e97-78a9-4f7f-9d9c-e1e44c645c26}" startIndex="0" length="20"/>
      <x18tc:mention mentionpersonId="{d2ee7563-ce62-4e76-b17d-fe5b98eaeea7}" mentionId="{4167a049-1122-4d22-ad95-304efaec900d}" startIndex="21" length="21"/>
    </x18tc:mentions>
  </x18tc:threadedComment>
  <x18tc:threadedComment ref="BM7" dT="2026-07-02T16:06:35.00" personId="{d2c41af9-dcab-4077-9f50-4ed638d50c9f}" id="{b427bf42-74a2-41a1-bbf0-dd71ab7ec9ef}" done="0">
    <x18tc:text xml:space="preserve">Depends on how we approach this. Decoupling of migration DBs (captured in "Finish TMD") will reduce tenant infra time slightly, but only for quadrants and tenants with migration DBs. Cepheid (captured in "Aurora Cluster OAM Components") will likely reduce tenant infra time significantly.</x18tc:text>
  </x18tc:threadedComment>
  <x18tc:threadedComment ref="BM12" dT="2026-06-30T19:54:07.00" personId="{d2c41af9-dcab-4077-9f50-4ed638d50c9f}" id="{575ecfd8-6c01-4e24-9271-fadaf510611f}" done="0">
    <x18tc:text xml:space="preserve">Warrior scope: support for Postgres parameters/extensions needed for audit. Overlap with DB Monitoring line item. Estimate assumes data obfuscation is not in scope.</x18tc:text>
  </x18tc:threadedComment>
  <x18tc:threadedComment ref="W6" dT="2026-07-03T18:32:03.00" personId="{5ec39123-4a15-47f2-87a8-13dfe758f6e2}" id="{4c25f547-9461-49cd-a539-6b8f18a84f28}" done="0">
    <x18tc:text xml:space="preserve">@gbouzeid@guidewire.com please update with actual estimate</x18tc:text>
    <x18tc:mentions>
      <x18tc:mention mentionpersonId="{745d7f76-f965-499b-8df6-91dbc43b9fb3}" mentionId="{937789b2-456e-4e96-b694-3b7812666543}" startIndex="0" length="23"/>
    </x18tc:mentions>
  </x18tc:threadedComment>
  <x18tc:threadedComment ref="W6" dT="2026-07-14T20:17:37.00" personId="{54eae484-93a2-444b-bad4-b9c1b9b87098}" id="{b3ff488e-6cac-4cc3-99ba-c870d99e6a6c}" parentId="{4c25f547-9461-49cd-a539-6b8f18a84f28}">
    <x18tc:text xml:space="preserve">Estimate updated by @ppaul@guidewire.com / adding him to confirm. thx</x18tc:text>
    <x18tc:mentions>
      <x18tc:mention mentionpersonId="{b9e5cf21-d7ea-4fe5-a729-64b89cb59d40}" mentionId="{d6375d25-cf64-40b6-bfa2-1ca612a8fccb}" startIndex="20" length="20"/>
    </x18tc:mentions>
  </x18tc:threadedComment>
  <x18tc:threadedComment ref="B2" dT="2026-07-01T03:11:52.00" personId="{7fd15008-94ee-4f23-a195-6d4dedd4ea7e}" id="{93386c03-a301-4f62-a638-48ebebd572a7}" done="0">
    <x18tc:text xml:space="preserve">@lmakowski@guidewire.com - SMS to Helios @pdomider@guidewire.com - S3 MRAP, Snapshot Export, Read Replica
@rasubramanian@guidewire.com for universal URL
@jdobson@guidewire.com for Hub DR, LHS DR Orchestrator and Self-Serve Testing</x18tc:text>
    <x18tc:mentions>
      <x18tc:mention mentionpersonId="{40b025f4-2e12-4c24-b8c7-59ba67cfd388}" mentionId="{4072299c-bfbc-40a3-ac30-7ff297159615}" startIndex="0" length="24"/>
      <x18tc:mention mentionpersonId="{9bf17f32-22f2-482c-9e47-de425774ad20}" mentionId="{d58c8f28-1b74-4d33-998c-5cab2261835e}" startIndex="41" length="23"/>
      <x18tc:mention mentionpersonId="{e24471b3-06fb-4838-ab9a-5a17bd74c488}" mentionId="{61edc5ca-cef0-4a1e-8eed-9e2c93679203}" startIndex="106" length="28"/>
      <x18tc:mention mentionpersonId="{fb559fcf-211f-4073-84f5-555b4ff178df}" mentionId="{a792cdb8-caa0-497e-822e-370d4c1e485e}" startIndex="153" length="22"/>
    </x18tc:mentions>
  </x18tc:threadedComment>
  <x18tc:threadedComment ref="B2" dT="2026-07-06T21:41:51.00" personId="{7d6d157a-310c-4a7e-b624-fd05cd31f5f1}" id="{7cafb684-d7d8-46d1-b04c-5bfc97d4286b}" parentId="{93386c03-a301-4f62-a638-48ebebd572a7}">
    <x18tc:text xml:space="preserve">@atomar@guidewire.com : Please add a 1 pager that links to this item and keep the scope in it clear for the outcome. Removing NOTE that was in. the cell to comments.</x18tc:text>
    <x18tc:mentions>
      <x18tc:mention mentionpersonId="{b1e856c7-db14-4a0e-b4a6-b642dfdfb6ed}" mentionId="{58704a40-bc11-4e18-a577-ef38c56ee765}" startIndex="0" length="21"/>
    </x18tc:mentions>
  </x18tc:threadedComment>
  <x18tc:threadedComment ref="B2" dT="2026-07-06T21:42:03.00" personId="{7d6d157a-310c-4a7e-b624-fd05cd31f5f1}" id="{9e7a0aa3-63fe-4d6a-bdd8-734e1ce4c1e8}" parentId="{93386c03-a301-4f62-a638-48ebebd572a7}">
    <x18tc:text xml:space="preserve">NOTE: Please exclude anything we are working towards August timelines.
Scope high-level
- Universal URL for PL Ingress (with ARC or Cloudfare)
- SMS to Helios
- IS Read Replica in DR from the DR region
- IS Snapshot export in the DR region (only scheduled, as GH wont be available for instant backup)
- S3 MRAP
- Hub Automated Recovery
- Self-Serve Testing</x18tc:text>
  </x18tc:threadedComment>
  <x18tc:threadedComment ref="BM9" dT="2026-07-02T15:52:47.00" personId="{d2c41af9-dcab-4077-9f50-4ed638d50c9f}" id="{4bf72343-7e1d-4db5-a39a-9a3d0fe889a4}" done="0">
    <x18tc:text xml:space="preserve">Per Chakri, BYOK adoption is in FY28. Work will be needed from Warrior to support new keys at that time. FY27 estimate is scoped to design only.</x18tc:text>
  </x18tc:threadedComment>
  <x18tc:threadedComment ref="Q6" dT="2026-06-30T19:44:49.00" personId="{286bd2de-8ccd-4afa-8208-966c0aa309b9}" id="{c565052e-6b9f-46b2-ab45-c95bcb394001}" done="0">
    <x18tc:text xml:space="preserve">Avondale scope - Kubevela Networking Trait, AWS Resources Network isolation</x18tc:text>
  </x18tc:threadedComment>
  <x18tc:threadedComment ref="Q6" dT="2026-07-06T16:11:54.00" personId="{286bd2de-8ccd-4afa-8208-966c0aa309b9}" id="{8e8b2c57-d076-4552-85fc-fe08b7cf5e37}" parentId="{c565052e-6b9f-46b2-ab45-c95bcb394001}">
    <x18tc:text xml:space="preserve">@mrusso@guidewire.com , All the BYOA related estimates are added to this line item. I assume this 16 includes the AWS Tenant Isolation and Kubevela related implementation.</x18tc:text>
    <x18tc:mentions>
      <x18tc:mention mentionpersonId="{d2ee7563-ce62-4e76-b17d-fe5b98eaeea7}" mentionId="{b1edcb87-b348-4c25-94d8-9208a011ed33}" startIndex="0" length="21"/>
    </x18tc:mentions>
  </x18tc:threadedComment>
  <x18tc:threadedComment ref="Q6" dT="2026-07-17T20:45:53.00" personId="{7fd15008-94ee-4f23-a195-6d4dedd4ea7e}" id="{9c996982-4981-481a-91fa-40b0531acd8e}" parentId="{c565052e-6b9f-46b2-ab45-c95bcb394001}">
    <x18tc:text xml:space="preserve">Based on last comment from @mrusso@guidewire.com I am changing it to 16 CC: @rasubramanian@guidewire.com</x18tc:text>
    <x18tc:mentions>
      <x18tc:mention mentionpersonId="{d2ee7563-ce62-4e76-b17d-fe5b98eaeea7}" mentionId="{766ef500-3fff-47b1-9230-2b822165222a}" startIndex="27" length="21"/>
      <x18tc:mention mentionpersonId="{e24471b3-06fb-4838-ab9a-5a17bd74c488}" mentionId="{fcfcd82b-7f5a-4d3f-ac62-0608f6662d61}" startIndex="76" length="28"/>
    </x18tc:mentions>
  </x18tc:threadedComment>
  <x18tc:threadedComment ref="AA3" dT="2026-07-15T16:51:24.00" personId="{e28f70c1-ef12-4c89-8349-6cb27991439b}" id="{dc30c620-2196-4b92-883d-d261a5c1f6ca}" done="0">
    <x18tc:text xml:space="preserve">@amkhanna@guidewire.com Can you please clarify if MSK Amdin as an LHS service is in scope for this initiative? It's confusing because the initiative name specifies for LM and "the Ask" in the one pager specifies for all LHS services.
Also, we would like to know the scope of work from MSK Admin perspective expected. Is it 100% replacement in FY27 itself?
Assigned to amkhanna@guidewire.com</x18tc:text>
    <x18tc:mentions>
      <x18tc:mention mentionpersonId="{0a8aed59-9de1-4881-b9af-625628e8f795}" mentionId="{e34bc5f7-fa97-4f02-93fb-9292e55040d0}" startIndex="0" length="23"/>
    </x18tc:mentions>
  </x18tc:threadedComment>
  <x18tc:threadedComment ref="AA3" dT="2026-07-15T17:10:36.00" personId="{21736235-477c-461c-84dc-a8b9be3bd74c}" id="{c391ffd4-19d6-48dc-bc54-16de3c8f5832}" parentId="{dc30c620-2196-4b92-883d-d261a5c1f6ca}">
    <x18tc:text xml:space="preserve">Hi Chakri, LM specific apps are must have and highest priority. Other LHS are good to have and must also follow unless they have a stronger priority. Because until all apps onboard we can't deprecate AD groups. If MSK in a LHS app in GH it is in scope.</x18tc:text>
  </x18tc:threadedComment>
  <x18tc:threadedComment ref="AA3" dT="2026-07-15T17:25:49.00" personId="{e28f70c1-ef12-4c89-8349-6cb27991439b}" id="{6967fb87-32db-45e8-b6f5-0927e2079511}" parentId="{dc30c620-2196-4b92-883d-d261a5c1f6ca}">
    <x18tc:text xml:space="preserve">FYI - @ssandebiksham@guidewire.com 
@amkhanna@guidewire.com Two points to note:
1. "MSK Admin" - not MSK, is LM critical service for Guard, as MSK admin is internal
2. Please confirm the scope for FY27 here. Ex: Some of the AD groups must be moved to GUARD. I understand that it can be vague, but I want to double check here</x18tc:text>
    <x18tc:mentions>
      <x18tc:mention mentionpersonId="{82a8f867-3c05-49c1-986a-2b1d429f7733}" mentionId="{5ef9b70b-849a-4c60-8af4-7d7b8d0ec6f4}" startIndex="6" length="28"/>
      <x18tc:mention mentionpersonId="{0a8aed59-9de1-4881-b9af-625628e8f795}" mentionId="{528a4dee-c912-469c-a44f-d4678cc1d9b9}" startIndex="37" length="23"/>
    </x18tc:mentions>
  </x18tc:threadedComment>
  <x18tc:threadedComment ref="AA3" dT="2026-07-15T17:54:34.00" personId="{f13fb00e-f10a-435c-815a-4d45504c7acc}" id="{343f3684-9f01-481e-ae07-7b4e5a59700e}" parentId="{dc30c620-2196-4b92-883d-d261a5c1f6ca}">
    <x18tc:text xml:space="preserve">@amkhanna@guidewire.com – What are the timelines for deprecation? Shouldn't this be separated into:
Guard rollout for LM-dependent LHS services
Deprecation of AD groups – Guard adoption
If #2 is not in scope for FY27, can you please specify that deprecation is out of scope for FY27?</x18tc:text>
    <x18tc:mentions>
      <x18tc:mention mentionpersonId="{0a8aed59-9de1-4881-b9af-625628e8f795}" mentionId="{e58968f6-696f-4e79-b213-e2776231df5a}" startIndex="0" length="23"/>
    </x18tc:mentions>
  </x18tc:threadedComment>
  <x18tc:threadedComment ref="AQ24" dT="2026-07-28T13:27:56.00" personId="{204883d9-ce2c-4ba0-815c-503d69b6b19e}" id="{839b066c-f897-48d6-af61-944f5621298b}" done="0">
    <x18tc:text xml:space="preserve">Atlas/Voyager may be impacted. Allocating time for design phase participation.</x18tc:text>
  </x18tc:threadedComment>
  <x18tc:threadedComment ref="AQ14" dT="2026-07-28T13:28:21.00" personId="{204883d9-ce2c-4ba0-815c-503d69b6b19e}" id="{11ab4c4d-228c-4379-af8b-aa5530166399}" done="0">
    <x18tc:text xml:space="preserve">IS:
-&gt; Replacing Voyager for provisioning/deprovisioning Customer Tenants
-&gt; Fulfillment
--&gt; Dashboard (mechanism to answer the question what Carrier is entitled to vs what was provisioned; mechanism to trigger Day2 (postponed) provisioning)
--&gt; Interpreter (mechanism to translate commercial entitlements into provisioning/deprovisioning plan; mechanism to identify drift between provisioned and to be provisioned/deprovisioned entitlements)
--&gt; Executor (mechanism to execute a provisioning/deprovisioning plan)
--&gt; Steps Catalog (mechanism to register and store supplied by each product provisioning steps)
IS NOT:
-&gt; Replacing Voyager for provisioning/deprovisioning Internal Tenants
-&gt; Provisioning/deprovisioning Sandbox Stars</x18tc:text>
  </x18tc:threadedComment>
  <x18tc:threadedComment ref="BG2" dT="2026-07-24T16:23:01.00" personId="{e28f70c1-ef12-4c89-8349-6cb27991439b}" id="{ab65d65b-76be-4056-bddf-e8c667b045ad}" done="0">
    <x18tc:text xml:space="preserve">@apers@guidewire.com Based on the conversation here - https://guidewire.slack.com/archives/C0657SL7YNQ/p1784830812758849 - I am adding the effort mentioned in MSK CR-DR row here
CC: @atomar@guidewire.com
Assigned to apers@guidewire.com</x18tc:text>
    <x18tc:mentions>
      <x18tc:mention mentionpersonId="{9e53b3d0-d239-47a2-ba08-3df186c9f734}" mentionId="{96384f45-bbe3-4fee-b2ef-960313c3e351}" startIndex="0" length="20"/>
      <x18tc:mention mentionpersonId="{b1e856c7-db14-4a0e-b4a6-b642dfdfb6ed}" mentionId="{fecbb37a-ba15-4f70-8e93-60a80b019453}" startIndex="183" length="21"/>
    </x18tc:mentions>
    <x18tc:extLst>
      <ext uri="{F7C98A9C-CBB3-438F-8F68-D28B6AF4A901}">
        <xltc2:checksum/>
        <xltc2:hyperlink startIndex="54" length="66" url="https://guidewire.slack.com/archives/C0657SL7YNQ/p1784830812758849"/>
      </ext>
    </x18tc:extLst>
  </x18tc:threadedComment>
  <x18tc:threadedComment ref="BG2" dT="2026-07-27T06:16:18.00" personId="{bc56bac3-b681-4b44-b2e3-7e5386a68645}" id="{5713118f-fab4-4d81-9e83-4b487f1c0832}" parentId="{ab65d65b-76be-4056-bddf-e8c667b045ad}">
    <x18tc:text xml:space="preserve">@cpetluri@guidewire.com looks like I don't have access to the conversation you mentioned, but ACK 👍🏻</x18tc:text>
    <x18tc:mentions>
      <x18tc:mention mentionpersonId="{8406af2e-9a76-40b2-a7a0-2c6afa310f9d}" mentionId="{43a2a3d3-bb30-4767-bc80-99e0317af311}" startIndex="0" length="23"/>
    </x18tc:mentions>
  </x18tc:threadedComment>
  <x18tc:threadedComment ref="P11" dT="2026-07-03T23:40:27.00" personId="{b8c5c968-34dc-4851-bdeb-1b4e1462cb2b}" id="{f0bb74e2-ed02-442f-b411-fa6a469de5d9}" done="0">
    <x18tc:text xml:space="preserve">Needed for TenantOption-compatible status check</x18tc:text>
  </x18tc:threadedComment>
  <x18tc:threadedComment ref="BM21" dT="2026-06-30T20:57:32.00" personId="{d2c41af9-dcab-4077-9f50-4ed638d50c9f}" id="{be35527f-bf2d-48e3-82dd-1b1b2908a129}" done="0">
    <x18tc:text xml:space="preserve">Depends on implementation. Estimate is based on the assumption that Warrior will be provided with a reliable source of information which we only need to retrieve and then push into AWS tags (removing need for user input).</x18tc:text>
  </x18tc:threadedComment>
  <x18tc:threadedComment ref="BP7" dT="2026-07-24T22:14:54.00" personId="{fd59b3ae-1428-41b2-8457-2cfb0f5b7546}" id="{3d9ebe7b-5e25-468a-8a6e-1c13386ab844}" done="0">
    <x18tc:text xml:space="preserve">Unknown, pending design of constraint mechanism and reliable source of truth.</x18tc:text>
  </x18tc:threadedComment>
  <x18tc:threadedComment ref="BQ2" dT="2026-07-24T16:24:03.00" personId="{e28f70c1-ef12-4c89-8349-6cb27991439b}" id="{1daa958c-8874-46d9-8db4-f0b5f1b5e0da}" done="0">
    <x18tc:text xml:space="preserve">@apers@guidewire.com Based on the conversation here - https://guidewire.slack.com/archives/C0657SL7YNQ/p1784830812758849 - I am adding the effort mentioned in MSK CR-DR row here
CC: @atomar@guidewire.com
Assigned to apers@guidewire.com</x18tc:text>
    <x18tc:mentions>
      <x18tc:mention mentionpersonId="{9e53b3d0-d239-47a2-ba08-3df186c9f734}" mentionId="{62919d75-4b51-47d7-8772-be2d9dae7e1b}" startIndex="0" length="20"/>
      <x18tc:mention mentionpersonId="{b1e856c7-db14-4a0e-b4a6-b642dfdfb6ed}" mentionId="{f736b693-0922-4ca0-a3f8-e0b59f7009a5}" startIndex="183" length="21"/>
    </x18tc:mentions>
    <x18tc:extLst>
      <ext uri="{F7C98A9C-CBB3-438F-8F68-D28B6AF4A901}">
        <xltc2:checksum/>
        <xltc2:hyperlink startIndex="54" length="66" url="https://guidewire.slack.com/archives/C0657SL7YNQ/p1784830812758849"/>
      </ext>
    </x18tc:extLst>
  </x18tc:threadedComment>
  <x18tc:threadedComment ref="BQ2" dT="2026-07-27T06:16:29.00" personId="{bc56bac3-b681-4b44-b2e3-7e5386a68645}" id="{f01c6956-5f81-4a7c-9875-e5f1bc23b4e1}" parentId="{1daa958c-8874-46d9-8db4-f0b5f1b5e0da}">
    <x18tc:text xml:space="preserve">@cpetluri@guidewire.com  looks like I don't have access to the conversation you mentioned, but ACK 👍🏻</x18tc:text>
    <x18tc:mentions>
      <x18tc:mention mentionpersonId="{8406af2e-9a76-40b2-a7a0-2c6afa310f9d}" mentionId="{cdababf8-54fd-4c20-b977-2f989457dbda}" startIndex="0" length="23"/>
    </x18tc:mentions>
  </x18tc:threadedComment>
  <x18tc:threadedComment ref="AQ2" dT="2026-07-28T13:30:57.00" personId="{204883d9-ce2c-4ba0-815c-503d69b6b19e}" id="{aeda7e8c-dd84-4379-bccb-6e09b888e9b3}" done="0">
    <x18tc:text xml:space="preserve">IS:
-&gt; Voyager (provisioning/deprovisioning Star/Tenant; Tier support; Primary vs Failover infra drift detection; GA readiness)
-&gt; Atlas (DR resilience; Q-release+migrated to Helios canFailover rules; Tier support; Failover changes lock; observability; GA readiness; OAM adoption)
-&gt; Cassini (Universal URL (registration validation; mTLS); LHS Failover Orchestrator support)
IS NOT:
-&gt; Supporting DR on NPE /PPE
DR-related access model extension
-&gt; Supporting Private-Link</x18tc:text>
  </x18tc:threadedComment>
  <x18tc:threadedComment ref="BM26" dT="2026-06-30T19:39:24.00" personId="{286bd2de-8ccd-4afa-8208-966c0aa309b9}" id="{d540cb08-f56f-4680-a5a1-60d255ab6513}" done="0">
    <x18tc:text xml:space="preserve">Warrior scope (MVP + Day 2 features) for CNPG support in Postgres OAM</x18tc:text>
  </x18tc:threadedComment>
  <x18tc:threadedComment ref="BM26" dT="2026-07-02T15:49:03.00" personId="{d2c41af9-dcab-4077-9f50-4ed638d50c9f}" id="{27d012f7-4d9d-4cff-8c9a-044a79e7bebb}" parentId="{d540cb08-f56f-4680-a5a1-60d255ab6513}">
    <x18tc:text xml:space="preserve">Estimate excludes dynamic volume resizing and IS feature parity (proposal states LHS MVP)</x18tc:text>
  </x18tc:threadedComment>
  <x18tc:threadedComment ref="BM26" dT="2026-07-06T21:22:18.00" personId="{286bd2de-8ccd-4afa-8208-966c0aa309b9}" id="{14cdd5f4-23a7-4cf2-b544-8cc5b6ff8bce}" parentId="{d540cb08-f56f-4680-a5a1-60d255ab6513}">
    <x18tc:text xml:space="preserve">@liking@guidewire.com, I assume the 4 weeks estimation includes backup &amp; restore too.</x18tc:text>
    <x18tc:mentions>
      <x18tc:mention mentionpersonId="{6ce91589-522a-46d9-9a79-2b07f2182569}" mentionId="{b872ada6-1842-4137-84ae-7e0efbfac30c}" startIndex="0" length="21"/>
    </x18tc:mentions>
  </x18tc:threadedComment>
  <x18tc:threadedComment ref="BM26" dT="2026-07-07T00:02:12.00" personId="{d2c41af9-dcab-4077-9f50-4ed638d50c9f}" id="{376f8e25-7861-4225-a622-4b9b910b1f2e}" parentId="{d540cb08-f56f-4680-a5a1-60d255ab6513}">
    <x18tc:text xml:space="preserve">@rasubramanian@guidewire.com Yes, assuming basic Bash scripts are acceptable for the MVP, same as what we currently offer for Aurora via OAM Postgres.</x18tc:text>
    <x18tc:mentions>
      <x18tc:mention mentionpersonId="{e24471b3-06fb-4838-ab9a-5a17bd74c488}" mentionId="{afec6fab-c8d2-4353-89cf-fdd33f4f4c41}" startIndex="0" length="28"/>
    </x18tc:mentions>
  </x18tc:threadedComment>
  <x18tc:threadedComment ref="BM26" dT="2026-07-14T22:13:28.00" personId="{d2c41af9-dcab-4077-9f50-4ed638d50c9f}" id="{28da9c57-fcdd-4a59-91c3-de2ce1a1cf18}" parentId="{d540cb08-f56f-4680-a5a1-60d255ab6513}">
    <x18tc:text xml:space="preserve">1. MVP - support for Nova services in dev environments + basic backup/restore: 4 weeks
2. Remaining features to support production use (including dynamic resizing, dedicated node groups, and observability): 10 weeks
3. Remaining features to support InsuranceSuite (not including Dobra's work): 8 weeks
Note: estimates assume each of these are done in sequence, i.e. supporting IS would be 4 + 10 + 8 = 22.</x18tc:text>
  </x18tc:threadedComment>
  <x18tc:threadedComment ref="BA24" dT="2026-07-16T22:56:57.00" personId="{4829e030-29ff-4d9e-9e93-390c2a54ea65}" id="{ecf79049-5378-43d0-978c-06754d6a7912}" done="0">
    <x18tc:text xml:space="preserve">Validation of this estimate is pending, we need a one-pager to understand the idea and implications in Keti. @atomar@guidewire.com
Assigned to atomar@guidewire.com</x18tc:text>
    <x18tc:mentions>
      <x18tc:mention mentionpersonId="{b1e856c7-db14-4a0e-b4a6-b642dfdfb6ed}" mentionId="{f7cefd4b-5e00-40d5-ba79-e16a4ad85cd4}" startIndex="109" length="21"/>
    </x18tc:mentions>
  </x18tc:threadedComment>
  <x18tc:threadedComment ref="BA24" dT="2026-07-22T15:39:30.00" personId="{7fd15008-94ee-4f23-a195-6d4dedd4ea7e}" id="{e8fa8b09-280d-4e12-99b9-0df976dcd955}" parentId="{ecf79049-5378-43d0-978c-06754d6a7912}">
    <x18tc:text xml:space="preserve">@gsolinski@guidewire.com , there is one pager linked to the initiative under column B, please review and update the estimates
Reassigned to gsolinski@guidewire.com</x18tc:text>
    <x18tc:mentions>
      <x18tc:mention mentionpersonId="{4642e6ac-8553-4b76-99a1-9750c6af1edc}" mentionId="{9042acf5-a776-46a3-9a5e-638a4aa9ac54}" startIndex="0" length="24"/>
    </x18tc:mentions>
  </x18tc:threadedComment>
  <x18tc:threadedComment ref="P4" dT="2026-07-10T21:58:19.00" personId="{c9dd6b42-40f6-4055-84f6-44364668c572}" id="{982ae26f-6635-48bf-99a7-6259b8eb0b6f}" done="0">
    <x18tc:text xml:space="preserve">Customer usage will likely require egress controls -- we successfully prototyped with Cilium L7 egress proxy for DevSummit 2026 but we would need this productized for EA, see also https://guidewireconfluence.atlassian.net/wiki/spaces/~712020bcc00498e48f40e48348bb73f9d77442/pages/2857763108/Managing+VAMOS+network+traffic+with+Cilium+network+policies
cc: @lowen@guidewire.com @rasubramanian@guidewire.com @mzawadzka@guidewire.com @gbouzeid@guidewire.com</x18tc:text>
    <x18tc:mentions>
      <x18tc:mention mentionpersonId="{fa9f48d9-40b2-47a2-8290-f0ceb6420e38}" mentionId="{00f57768-86e1-48d3-83f0-7a21ec91538c}" startIndex="356" length="20"/>
      <x18tc:mention mentionpersonId="{e24471b3-06fb-4838-ab9a-5a17bd74c488}" mentionId="{c45c8ef8-034f-4968-9bcd-587fe091cf5f}" startIndex="377" length="28"/>
      <x18tc:mention mentionpersonId="{02efe0e5-fe76-4e6d-9da2-4e8a023aff8e}" mentionId="{a4a4987d-6049-4b54-a3bc-a330993bfedd}" startIndex="406" length="24"/>
      <x18tc:mention mentionpersonId="{745d7f76-f965-499b-8df6-91dbc43b9fb3}" mentionId="{762bedd2-08fb-4e36-9b6b-033928160061}" startIndex="431" length="23"/>
    </x18tc:mentions>
    <x18tc:extLst>
      <ext uri="{F7C98A9C-CBB3-438F-8F68-D28B6AF4A901}">
        <xltc2:checksum/>
        <xltc2:hyperlink startIndex="180" length="170" url="https://guidewireconfluence.atlassian.net/wiki/spaces/~712020bcc00498e48f40e48348bb73f9d77442/pages/2857763108/Managing+VAMOS+network+traffic+with+Cilium+network+policies"/>
      </ext>
    </x18tc:extLst>
  </x18tc:threadedComment>
  <x18tc:threadedComment ref="P4" dT="2026-07-27T13:48:05.00" personId="{9a4dd64a-64e5-4cec-902d-a9c164a918af}" id="{eb584449-f905-4b15-909f-f1a587bda248}" parentId="{982ae26f-6635-48bf-99a7-6259b8eb0b6f}">
    <x18tc:text xml:space="preserve">@rasubramanian@guidewire.com could you please take a look on the @beloy@guidewire.com comment and let us know what is the estimation</x18tc:text>
    <x18tc:mentions>
      <x18tc:mention mentionpersonId="{e24471b3-06fb-4838-ab9a-5a17bd74c488}" mentionId="{694c97f4-984f-4fc6-a191-b3c4916b3a06}" startIndex="0" length="28"/>
      <x18tc:mention mentionpersonId="{2a75f47e-94ab-4e0f-88b5-7d5c15aedead}" mentionId="{2fbb1d84-28c9-4b44-8d90-52bb2947545f}" startIndex="65" length="20"/>
    </x18tc:mentions>
  </x18tc:threadedComment>
  <x18tc:threadedComment ref="P4" dT="2026-07-28T13:40:14.00" personId="{b8c5c968-34dc-4851-bdeb-1b4e1462cb2b}" id="{a36e0dca-b27e-433c-9320-19ef8e962928}" parentId="{982ae26f-6635-48bf-99a7-6259b8eb0b6f}">
    <x18tc:text xml:space="preserve">We agree that this will require work from Avondale.
I can't update this sheet now, but I want to set the estimate to TBD for now, then update with an estimate once we have one.</x18tc:text>
  </x18tc:threadedComment>
  <x18tc:threadedComment ref="BM10" dT="2026-06-30T19:33:47.00" personId="{286bd2de-8ccd-4afa-8208-966c0aa309b9}" id="{3a51914d-17d8-448a-a89f-1cc90717ca06}" done="0">
    <x18tc:text xml:space="preserve">Warrior scope (MVP + DR features) - Postgres OAM, DynamoDB
1 total reaction
Gowtham S reacted with 👍 at 07/01/2026, 7:01 PM UTC</x18tc:text>
  </x18tc:threadedComment>
  <x18tc:threadedComment ref="BM10" dT="2026-07-02T17:39:02.00" personId="{d2c41af9-dcab-4077-9f50-4ed638d50c9f}" id="{23073615-23d1-473f-9af7-373a4734d482}" parentId="{3a51914d-17d8-448a-a89f-1cc90717ca06}">
    <x18tc:text xml:space="preserve">Estimate includes the remaining work for Aurora Global DB and work to wire DB components to the Nova webservice component.
There may be additional work required now that microservices are deployed via hub cluster - will need more info from Sunnyvale on that to be able to estimate.</x18tc:text>
  </x18tc:threadedComment>
  <x18tc:threadedComment ref="AO7" dT="2026-07-15T16:11:30.00" personId="{5ec39123-4a15-47f2-87a8-13dfe758f6e2}" id="{d1f0de43-0b7b-4240-9138-29468fcf364c}" done="1">
    <x18tc:text xml:space="preserve">Assuming Sagara implements the sharded Crossplane Terraform Provider, to speed up tenant applies, Kanata will have to do some work to thoroughly test it, and potentially some work to properly adopt it. @bsekar@guidewire.com if you agree this should be included, I have put an estimate of 2 here.
Assigned to bsekar@guidewire.com</x18tc:text>
    <x18tc:mentions>
      <x18tc:mention mentionpersonId="{72d6c93c-3592-4ad8-bf9d-420c1e2be403}" mentionId="{b0768843-7101-414f-8455-92b0d1e54ee0}" startIndex="202" length="21"/>
    </x18tc:mentions>
  </x18tc:threadedComment>
  <x18tc:threadedComment ref="BM6" dT="2026-06-30T19:34:39.00" personId="{286bd2de-8ccd-4afa-8208-966c0aa309b9}" id="{ed08e0d2-bf73-4a1f-a34e-5e2f3cb88d73}" done="0">
    <x18tc:text xml:space="preserve">Warrior scope (MVP + Day 2 features) for BYOA - Postgres OAM, DynamoDB</x18tc:text>
  </x18tc:threadedComment>
  <x18tc:threadedComment ref="BM6" dT="2026-07-07T00:14:21.00" personId="{d2c41af9-dcab-4077-9f50-4ed638d50c9f}" id="{1f9a5436-7127-4716-a6e0-6dfa99a72637}" parentId="{ed08e0d2-bf73-4a1f-a34e-5e2f3cb88d73}">
    <x18tc:text xml:space="preserve">Included in estimate:
- Implementing tenant isolation and other security guardrails in the Postgres and Dynamo components: roughly 10 weeks, highly dependent on permission model design from Vulcan
- Securing and exposing backup/restore scripts for Postgres and Dynamo components: roughly 5 weeks, also dependent on permission model design from Vulcan as well as the decision on how customers will trigger such operations
- New Redis component + securing + wiring with Postgres component: roughly 8 weeks</x18tc:text>
  </x18tc:threadedComment>
  <x18tc:threadedComment ref="BE2" dT="2026-07-02T20:18:49.00" personId="{5ec39123-4a15-47f2-87a8-13dfe758f6e2}" id="{70f8aa08-f1d1-453f-9549-721d3cee90af}" done="0">
    <x18tc:text xml:space="preserve">@msmriti@guidewire.com for LHS Services DR orchestration, Vulcan's workflows will depend on the Nova team to populate configmaps or labels with information about each of the µS's AWS components. I think this is still under discussion with the Nova team, but can you supply a rough estimate here?</x18tc:text>
    <x18tc:mentions>
      <x18tc:mention mentionpersonId="{4fa32788-b19d-42ec-b2db-713f60a44711}" mentionId="{53602dc0-1560-4549-a493-742331bd6877}" startIndex="0" length="22"/>
    </x18tc:mentions>
  </x18tc:threadedComment>
  <x18tc:threadedComment ref="BO12" dT="2026-07-03T15:12:42.00" personId="{f6366c9e-cebb-4b9b-a866-08c7b4ba8334}" id="{de87e472-fd7f-47b0-a4f9-7bafcff275fb}" done="0">
    <x18tc:text xml:space="preserve">1. Add pgAudit postgres extension for logging to Aurora setup.</x18tc:text>
  </x18tc:threadedComment>
  <x18tc:threadedComment ref="BO12" dT="2026-07-03T15:13:36.00" personId="{f6366c9e-cebb-4b9b-a866-08c7b4ba8334}" id="{279b5b75-4dd4-482d-a9f1-e52feb362be3}" parentId="{de87e472-fd7f-47b0-a4f9-7bafcff275fb}">
    <x18tc:text xml:space="preserve">2. Audit/event logs for DB backup/restore (with assumption that we just connect to existing logger)</x18tc:text>
  </x18tc:threadedComment>
  <x18tc:threadedComment ref="BO7" dT="2026-07-01T13:32:34.00" personId="{f6366c9e-cebb-4b9b-a866-08c7b4ba8334}" id="{0d0d9621-a0e3-48a2-9848-ec86c046528a}" done="0">
    <x18tc:text xml:space="preserve">Measure DB &amp; storage contribution, optimize and parallelize maintenance flow.</x18tc:text>
  </x18tc:threadedComment>
  <x18tc:threadedComment ref="AG14" dT="2026-07-09T16:43:22.00" personId="{204883d9-ce2c-4ba0-815c-503d69b6b19e}" id="{6656b5d5-0f2d-4d54-8dcc-bf8380bf052c}" done="0">
    <x18tc:text xml:space="preserve">@gbouzeid@guidewire.com I don't think Danville will be impacted by the Fulfillment Service, so I've set it to "No Dependency." If you see it differently, feel free to add an estimate instead. You can check the One Pager for more details - thanks.
Assigned to gbouzeid@guidewire.com</x18tc:text>
    <x18tc:mentions>
      <x18tc:mention mentionpersonId="{745d7f76-f965-499b-8df6-91dbc43b9fb3}" mentionId="{d0a2a15d-ca8d-4dfa-b67f-a8068984fd14}" startIndex="0" length="23"/>
    </x18tc:mentions>
  </x18tc:threadedComment>
  <x18tc:threadedComment ref="AG14" dT="2026-07-14T20:13:32.00" personId="{54eae484-93a2-444b-bad4-b9c1b9b87098}" id="{1512476d-eb6b-4b6d-a353-1a8ee4a3cba6}" parentId="{6656b5d5-0f2d-4d54-8dcc-bf8380bf052c}">
    <x18tc:text xml:space="preserve">based on the ask i see no dependency either - though i will let @beloy@guidewire.com comment as needed thx
Reassigned to beloy@guidewire.com</x18tc:text>
    <x18tc:mentions>
      <x18tc:mention mentionpersonId="{2a75f47e-94ab-4e0f-88b5-7d5c15aedead}" mentionId="{81889141-35db-44f9-a008-964d1c69f626}" startIndex="64" length="20"/>
    </x18tc:mentions>
  </x18tc:threadedComment>
  <x18tc:threadedComment ref="BA8" dT="2026-07-01T23:07:10.00" personId="{589022af-f09c-4505-b48f-db8f7a94e760}" id="{3f2a09a4-6e22-4ec8-b31e-14ab09663005}" done="0">
    <x18tc:text xml:space="preserve">Idp tenant_id changes</x18tc:text>
  </x18tc:threadedComment>
  <x18tc:threadedComment ref="BA8" dT="2026-07-09T17:07:45.00" personId="{204883d9-ce2c-4ba0-815c-503d69b6b19e}" id="{5afefb34-427c-4290-b2ba-d12d6d5afb3b}" parentId="{3f2a09a4-6e22-4ec8-b31e-14ab09663005}">
    <x18tc:text xml:space="preserve">@dhsharma@guidewire.com could you check the One Pager to assess the impact on Sausalito - thanks.</x18tc:text>
    <x18tc:mentions>
      <x18tc:mention mentionpersonId="{8caf03f4-4a5e-4075-a37e-b0df4b86d6b2}" mentionId="{8a10466e-d96e-4081-afb7-5cd72b820952}" startIndex="0" length="23"/>
    </x18tc:mentions>
  </x18tc:threadedComment>
  <x18tc:threadedComment ref="BA8" dT="2026-07-13T08:47:13.00" personId="{204883d9-ce2c-4ba0-815c-503d69b6b19e}" id="{8b283562-b3a5-4111-b4f3-6023c16e8865}" parentId="{3f2a09a4-6e22-4ec8-b31e-14ab09663005}">
    <x18tc:text xml:space="preserve">@gsolinski@guidewire.com please check the One Pager and provide an estimate, or set it to "No Dependency", thx.</x18tc:text>
    <x18tc:mentions>
      <x18tc:mention mentionpersonId="{4642e6ac-8553-4b76-99a1-9750c6af1edc}" mentionId="{cb2ad28f-326a-473c-9711-3f323206c9e6}" startIndex="0" length="24"/>
    </x18tc:mentions>
  </x18tc:threadedComment>
  <x18tc:threadedComment ref="BA8" dT="2026-07-15T17:14:44.00" personId="{61cac862-3159-478e-bfc8-f7bb69b5daa8}" id="{26da30cc-5b5b-4ac2-a13f-f1cbe4e97f6d}" parentId="{3f2a09a4-6e22-4ec8-b31e-14ab09663005}">
    <x18tc:text xml:space="preserve">@gsolinski@guidewire.com</x18tc:text>
    <x18tc:mentions>
      <x18tc:mention mentionpersonId="{4642e6ac-8553-4b76-99a1-9750c6af1edc}" mentionId="{765b22be-7d2b-4713-be0e-1d4eefea9775}" startIndex="0" length="24"/>
    </x18tc:mentions>
  </x18tc:threadedComment>
  <x18tc:threadedComment ref="BA8" dT="2026-07-16T02:01:22.00" personId="{4829e030-29ff-4d9e-9e93-390c2a54ea65}" id="{5ed131da-8c25-4ec5-a547-9a68fe4bcb95}" parentId="{3f2a09a4-6e22-4ec8-b31e-14ab09663005}">
    <x18tc:text xml:space="preserve">Still confirming, but so far, if I understand the scope of the initiative - there is no work required in Keti (we use tenant ID purely as a tenant identifier, not for display purposes)</x18tc:text>
  </x18tc:threadedComment>
  <x18tc:threadedComment ref="BA8" dT="2026-07-16T02:01:25.00" personId="{4829e030-29ff-4d9e-9e93-390c2a54ea65}" id="{e1ad7779-14a5-4f10-a387-f6a3a86362d3}" parentId="{3f2a09a4-6e22-4ec8-b31e-14ab09663005}">
    <x18tc:text xml:space="preserve">Confirmed, Keti is not materially impacted by this phase, no code changes required.
Everywhere Keti uses tenantId live, it's a pure opaque identifier (a claim value, a query param, a lookup key), not a display label. Opaque generated IDs work unchanged in those roles.
As for stars, Keti has no star concept at all.</x18tc:text>
  </x18tc:threadedComment>
  <x18tc:threadedComment ref="BA8" dT="2026-07-16T10:04:30.00" personId="{204883d9-ce2c-4ba0-815c-503d69b6b19e}" id="{bc1bc48f-3ea7-438c-8f88-ec0a14f98a92}" parentId="{3f2a09a4-6e22-4ec8-b31e-14ab09663005}">
    <x18tc:text xml:space="preserve">Thx @dhsharma@guidewire.com @gsolinski@guidewire.com for the feedback. Based on that I set "No Dependency".</x18tc:text>
    <x18tc:mentions>
      <x18tc:mention mentionpersonId="{8caf03f4-4a5e-4075-a37e-b0df4b86d6b2}" mentionId="{b53599e7-57df-4bbe-bb04-8965d21fe14a}" startIndex="4" length="23"/>
      <x18tc:mention mentionpersonId="{4642e6ac-8553-4b76-99a1-9750c6af1edc}" mentionId="{58caf34e-b142-4da9-a5b5-d8e4e5c334db}" startIndex="28" length="24"/>
    </x18tc:mentions>
  </x18tc:threadedComment>
  <x18tc:threadedComment ref="BO24" dT="2026-07-01T13:34:38.00" personId="{f6366c9e-cebb-4b9b-a866-08c7b4ba8334}" id="{5892d086-c051-46da-bae7-2ca5ed3dcf5c}" done="0">
    <x18tc:text xml:space="preserve">DB workflows (argo) would be affected (backup/restore and PITR)</x18tc:text>
  </x18tc:threadedComment>
  <x18tc:threadedComment ref="BA3" dT="2026-07-16T23:59:35.00" personId="{4829e030-29ff-4d9e-9e93-390c2a54ea65}" id="{22dd4a6a-27c7-4307-8a6d-e7dd0a250f4a}" done="0">
    <x18tc:text xml:space="preserve">Some clarification is needed with regards to the scope of changes required in Keti @amkhanna@guidewire.com (I reached out offline)
Assigned to amkhanna@guidewire.com</x18tc:text>
    <x18tc:mentions>
      <x18tc:mention mentionpersonId="{0a8aed59-9de1-4881-b9af-625628e8f795}" mentionId="{f523ecc5-afa0-4831-bacc-577ebbdb11ea}" startIndex="83" length="23"/>
    </x18tc:mentions>
  </x18tc:threadedComment>
  <x18tc:threadedComment ref="BA3" dT="2026-07-27T06:49:14.00" personId="{3b7324a1-9d25-4e69-9ad3-2beb0ba3f18b}" id="{675ea3e9-7cec-4d64-bb70-169a7f3daaf4}" parentId="{22dd4a6a-27c7-4307-8a6d-e7dd0a250f4a}">
    <x18tc:text xml:space="preserve">Estimates are revised for accounting scaling SCIM to enterprise customers, optimizing the tenant users (GUARD), virtual group for OKta</x18tc:text>
  </x18tc:threadedComment>
  <x18tc:threadedComment ref="AA12" dT="2026-07-07T16:58:52.00" personId="{e28f70c1-ef12-4c89-8349-6cb27991439b}" id="{a36f1065-e053-4d9f-ae84-5103ef8e4a3d}" done="1">
    <x18tc:text xml:space="preserve">@bsekar@guidewire.com I don't see any changes required from MSK perspective in the doc. Please confirm the effort you gave here (as per edit history)
CC: @ssandebiksham@guidewire.com
Assigned to bsekar@guidewire.com</x18tc:text>
    <x18tc:mentions>
      <x18tc:mention mentionpersonId="{72d6c93c-3592-4ad8-bf9d-420c1e2be403}" mentionId="{cd40d061-5e8f-473e-84de-b07987ae755b}" startIndex="0" length="21"/>
      <x18tc:mention mentionpersonId="{82a8f867-3c05-49c1-986a-2b1d429f7733}" mentionId="{d241a51c-e277-4d12-bd2c-145b1b06b33d}" startIndex="154" length="28"/>
    </x18tc:mentions>
  </x18tc:threadedComment>
  <x18tc:threadedComment ref="O8" dT="2026-07-01T23:07:53.00" personId="{589022af-f09c-4505-b48f-db8f7a94e760}" id="{7707a322-5c80-4620-9a6d-b9103b6bcb1a}" done="1">
    <x18tc:text xml:space="preserve">Keti tenant_id changes</x18tc:text>
  </x18tc:threadedComment>
  <x18tc:threadedComment ref="O8" dT="2026-07-06T21:28:06.00" personId="{7d6d157a-310c-4a7e-b624-fd05cd31f5f1}" id="{180ead31-542a-4940-b7db-78e2a1bcb6ec}" parentId="{7707a322-5c80-4620-9a6d-b9103b6bcb1a}">
    <x18tc:text xml:space="preserve">@smalladi@guidewire.com @amkhanna@guidewire.com is this really that big a change?
Also are there any dependencies to other teams?
Marked as resolved</x18tc:text>
    <x18tc:mentions>
      <x18tc:mention mentionpersonId="{afb4716a-a070-4d76-8d21-f9809f3d3492}" mentionId="{4ba0191c-e412-4677-bb45-6009ee5393ad}" startIndex="0" length="23"/>
      <x18tc:mention mentionpersonId="{0a8aed59-9de1-4881-b9af-625628e8f795}" mentionId="{a7971c9a-450a-4eab-93d1-9f7cc02230ca}" startIndex="24" length="23"/>
    </x18tc:mentions>
  </x18tc:threadedComment>
  <x18tc:threadedComment ref="AU2" dT="2026-07-24T16:18:56.00" personId="{e28f70c1-ef12-4c89-8349-6cb27991439b}" id="{256ceb0c-5c6e-4b8e-bfe7-9fc8008070bb}" done="0">
    <x18tc:text xml:space="preserve">@mzawadzka@guidewire.com Based on the conversation here - https://guidewire.slack.com/archives/C0657SL7YNQ/p1784830812758849 - I am adding the effort mentioned in MSK CR-DR row here
CC: @atomar@guidewire.com
Assigned to mzawadzka@guidewire.com</x18tc:text>
    <x18tc:mentions>
      <x18tc:mention mentionpersonId="{02efe0e5-fe76-4e6d-9da2-4e8a023aff8e}" mentionId="{9b8356d4-480b-4632-a8cf-5f49302a0f19}" startIndex="0" length="24"/>
      <x18tc:mention mentionpersonId="{b1e856c7-db14-4a0e-b4a6-b642dfdfb6ed}" mentionId="{79b79afe-cc85-47fa-ab42-9008bfd84ae3}" startIndex="187" length="21"/>
    </x18tc:mentions>
    <x18tc:extLst>
      <ext uri="{F7C98A9C-CBB3-438F-8F68-D28B6AF4A901}">
        <xltc2:checksum/>
        <xltc2:hyperlink startIndex="58" length="66" url="https://guidewire.slack.com/archives/C0657SL7YNQ/p1784830812758849"/>
      </ext>
    </x18tc:extLst>
  </x18tc:threadedComment>
  <x18tc:threadedComment ref="S2" dT="2026-07-24T16:14:12.00" personId="{e28f70c1-ef12-4c89-8349-6cb27991439b}" id="{ccfc27c4-29f6-4d16-9c31-68ac241a1b72}" done="0">
    <x18tc:text xml:space="preserve">@amkhanna@guidewire.com Based on the conversation here - https://guidewire.slack.com/archives/C0657SL7YNQ/p1784830812758849 - I am shifting the effort mentioned in MSK CR-DR row here
Assigned to amkhanna@guidewire.com</x18tc:text>
    <x18tc:mentions>
      <x18tc:mention mentionpersonId="{0a8aed59-9de1-4881-b9af-625628e8f795}" mentionId="{4478a9b8-1afc-47b8-a437-5b12bd162314}" startIndex="0" length="23"/>
    </x18tc:mentions>
    <x18tc:extLst>
      <ext uri="{F7C98A9C-CBB3-438F-8F68-D28B6AF4A901}">
        <xltc2:checksum/>
        <xltc2:hyperlink startIndex="57" length="66" url="https://guidewire.slack.com/archives/C0657SL7YNQ/p1784830812758849"/>
      </ext>
    </x18tc:extLst>
  </x18tc:threadedComment>
  <x18tc:threadedComment ref="W14" dT="2026-07-09T16:41:10.00" personId="{204883d9-ce2c-4ba0-815c-503d69b6b19e}" id="{c5c39f25-57fe-4336-9658-ccd85204ea50}" done="1">
    <x18tc:text xml:space="preserve">@gbouzeid@guidewire.com I don't think Bolinas will be impacted by the Fulfillment Service, so I've set it to "No Dependency." If you see it differently, feel free to add an estimate instead. You can check the One Pager for more details - thanks.
Assigned to gbouzeid@guidewire.com</x18tc:text>
    <x18tc:mentions>
      <x18tc:mention mentionpersonId="{745d7f76-f965-499b-8df6-91dbc43b9fb3}" mentionId="{bcb7803c-0953-4eea-866a-c3e4ba2db3fc}" startIndex="0" length="23"/>
    </x18tc:mentions>
  </x18tc:threadedComment>
  <x18tc:threadedComment ref="W14" dT="2026-07-14T20:14:00.00" personId="{54eae484-93a2-444b-bad4-b9c1b9b87098}" id="{17588598-3574-407e-af1e-005ef8ca4863}" parentId="{c5c39f25-57fe-4336-9658-ccd85204ea50}">
    <x18tc:text xml:space="preserve">Based on the ask i see no dependency though i will let @bsekar@guidewire.com comment as needed thx
Reassigned to bsekar@guidewire.com</x18tc:text>
    <x18tc:mentions>
      <x18tc:mention mentionpersonId="{72d6c93c-3592-4ad8-bf9d-420c1e2be403}" mentionId="{21482ff7-6030-4be3-90fd-e166d485da96}" startIndex="55" length="21"/>
    </x18tc:mentions>
  </x18tc:threadedComment>
  <x18tc:threadedComment ref="BI17" dT="2026-07-24T16:35:58.00" personId="{e28f70c1-ef12-4c89-8349-6cb27991439b}" id="{427d1402-0b7f-4f82-a546-8e0ed561705e}" done="0">
    <x18tc:text xml:space="preserve">@kwcislo@guidewire.com Based on the conversation here - https://guidewire.slack.com/archives/C0657SL7YNQ/p1784831007527559- I am adding the effort mentioned in SPIRE here
Assigned to kwcislo@guidewire.com</x18tc:text>
    <x18tc:mentions>
      <x18tc:mention mentionpersonId="{8ec8fb78-e716-416a-8d49-5396e860cdda}" mentionId="{3c8bf548-f700-4c4d-8539-1f8af063b74e}" startIndex="0" length="22"/>
    </x18tc:mentions>
    <x18tc:extLst>
      <ext uri="{F7C98A9C-CBB3-438F-8F68-D28B6AF4A901}">
        <xltc2:checksum/>
        <xltc2:hyperlink startIndex="56" length="67" url="https://guidewire.slack.com/archives/C0657SL7YNQ/p1784831007527559-"/>
      </ext>
    </x18tc:extLst>
  </x18tc:threadedComment>
  <x18tc:threadedComment ref="BO16" dT="2026-07-01T13:26:17.00" personId="{f6366c9e-cebb-4b9b-a866-08c7b4ba8334}" id="{9512421e-3b1c-4cce-86c5-4eed360c9e50}" done="0">
    <x18tc:text xml:space="preserve">1. Solution for orphaned IS DBs and S3 buckets</x18tc:text>
  </x18tc:threadedComment>
  <x18tc:threadedComment ref="BC12" dT="2026-07-01T22:48:01.00" personId="{589022af-f09c-4505-b48f-db8f7a94e760}" id="{7c4a5715-3e4c-4629-840d-6dbf8ef5d3ea}" done="0">
    <x18tc:text xml:space="preserve">IP allowlisting</x18tc:text>
  </x18tc:threadedComment>
  <x18tc:threadedComment ref="V28" dT="2026-07-23T13:07:18.00" personId="{f6366c9e-cebb-4b9b-a866-08c7b4ba8334}" id="{e4bb87dd-ade2-49b2-ae20-d7562a7912c3}" done="0">
    <x18tc:text xml:space="preserve">@gbouzeid@guidewire.com double-checking, what do you need from Wola here? We can help to reuse tagging &amp; dbobsuser approach from DBM approach and continue star-isolation work for RDS (which would be needed to enable/charge monitoring on star level). Also PostgreSQL plugin enablement that we talked about can be included as well. But is there anything more than that? Especially the point of 'Integration with Guidewire Home' this would be done by Bolinas, right?
Assigned to gbouzeid@guidewire.com</x18tc:text>
    <x18tc:mentions>
      <x18tc:mention mentionpersonId="{745d7f76-f965-499b-8df6-91dbc43b9fb3}" mentionId="{152b258c-5e79-49cd-9fd6-99adec096345}" startIndex="0" length="23"/>
    </x18tc:mentions>
  </x18tc:threadedComment>
  <x18tc:threadedComment ref="V28" dT="2026-07-23T17:52:10.00" personId="{54eae484-93a2-444b-bad4-b9c1b9b87098}" id="{7875ebe5-dc21-44e8-bca2-3e0a4364711d}" parentId="{e4bb87dd-ade2-49b2-ae20-d7562a7912c3}">
    <x18tc:text xml:space="preserve">hi @pdomider@guidewire.com yep thinking along the same lines - in more details the dependency on POD Wola as far as i know them are:
- tenant and start tagging
- db user enablement
- PostgreSQL plugins enablement
- I was hoping that the self service flag in GH would be driven by POD Wola too
let me know 
Adding on this thread @ppaul@guidewire.com in case he would like to comment further thx
Reassigned to pdomider@guidewire.com</x18tc:text>
    <x18tc:mentions>
      <x18tc:mention mentionpersonId="{9bf17f32-22f2-482c-9e47-de425774ad20}" mentionId="{1a168b97-b97e-4a7d-bf1e-741c63ab5dac}" startIndex="3" length="23"/>
      <x18tc:mention mentionpersonId="{b9e5cf21-d7ea-4fe5-a729-64b89cb59d40}" mentionId="{2f822129-13bf-4a5b-81f8-7522ea95cd6d}" startIndex="329" length="20"/>
    </x18tc:mentions>
  </x18tc:threadedComment>
  <x18tc:threadedComment ref="V28" dT="2026-07-24T19:16:28.00" personId="{f6366c9e-cebb-4b9b-a866-08c7b4ba8334}" id="{f77ae254-abed-4c07-8984-4485547d5858}" parentId="{e4bb87dd-ade2-49b2-ae20-d7562a7912c3}">
    <x18tc:text xml:space="preserve">Hi @gbouzeid@guidewire.com Agreed on the first three (we still have to iron out the details, but they make sense). Unfortunately I cannot agree with putting UI on Wola (nor Dobra). Rationale is this - the only UI that we have (related to DBs) is DB Backup/restore, which is not good fit for purpose for this flag. In my opinion it would ideally need to be added to Cepheid UI (but this is beyond FY27) or (looking at options for FY27) either by the dedicated UI (new tile) or maybe ISDO UI (similar to APM, but this would need to be agreed with @kwcislo@guidewire.com ). Happy to help conceptually, but for the time being please DO NOT assume that Wola would deliver this. UI piece is also not included in our estimates.
Reassigned to gbouzeid@guidewire.com</x18tc:text>
    <x18tc:mentions>
      <x18tc:mention mentionpersonId="{745d7f76-f965-499b-8df6-91dbc43b9fb3}" mentionId="{c3ddb5d6-912d-4c4a-b1f0-cba1c8b20dec}" startIndex="3" length="23"/>
      <x18tc:mention mentionpersonId="{8ec8fb78-e716-416a-8d49-5396e860cdda}" mentionId="{f4f78589-4cdc-41ea-8dc2-7e8f1fd2f96f}" startIndex="545" length="22"/>
    </x18tc:mentions>
  </x18tc:threadedComment>
  <x18tc:threadedComment ref="V28" dT="2026-07-24T21:17:32.00" personId="{54eae484-93a2-444b-bad4-b9c1b9b87098}" id="{202e9f08-1811-405a-922d-740412233667}" parentId="{e4bb87dd-ade2-49b2-ae20-d7562a7912c3}">
    <x18tc:text xml:space="preserve">thanks @pdomider@guidewire.com for the update!
about ISDO UI (similar to APM)" that should work too - Adding    @kwcislo@guidewire.com (from your message) to comment further - also wondering if i should setup a quick call between the 3 of us / finalizing the details!
Reassigned to kwcislo@guidewire.com</x18tc:text>
    <x18tc:mentions>
      <x18tc:mention mentionpersonId="{9bf17f32-22f2-482c-9e47-de425774ad20}" mentionId="{754197b8-6f34-4218-b1f8-aeaa3f3f34d9}" startIndex="7" length="23"/>
      <x18tc:mention mentionpersonId="{8ec8fb78-e716-416a-8d49-5396e860cdda}" mentionId="{9f55b3a6-f71d-4eed-b912-58e6508a9d1e}" startIndex="113" length="22"/>
    </x18tc:mentions>
  </x18tc:threadedComment>
  <x18tc:threadedComment ref="V28" dT="2026-07-27T11:53:36.00" personId="{a54b1372-8648-4c98-a592-ef9a12c7eb12}" id="{c9f8331f-d943-43bf-ae75-a6ccb6cc8b8d}" parentId="{e4bb87dd-ade2-49b2-ae20-d7562a7912c3}">
    <x18tc:text xml:space="preserve">Hi @gbouzeid@guidewire.com, We are reluctant to add dedicated database related stuff to ISDO UI (alternatively it can always be Helios?)
Reassigned to gbouzeid@guidewire.com</x18tc:text>
    <x18tc:mentions>
      <x18tc:mention mentionpersonId="{745d7f76-f965-499b-8df6-91dbc43b9fb3}" mentionId="{506378c2-4f89-4890-9471-745e3fe80f95}" startIndex="3" length="23"/>
    </x18tc:mentions>
  </x18tc:threadedComment>
  <x18tc:threadedComment ref="V28" dT="2026-07-27T13:57:36.00" personId="{924f2a14-453f-443a-b46a-ffe32a106350}" id="{bf42ba8c-d0fc-41bf-8643-0ef07eca4bec}" parentId="{e4bb87dd-ade2-49b2-ae20-d7562a7912c3}">
    <x18tc:text xml:space="preserve">hey folks, has this been discussed with the UX? I don't think KDC owns today any UI for that kind of feature. @krosner@guidewire.com @jcwik@guidewire.com have you guys estimated building a new UI service to manage RDS-related settings as a self-service for customers? I doubt it</x18tc:text>
    <x18tc:mentions>
      <x18tc:mention mentionpersonId="{d88de86d-278d-4794-9436-96071479b281}" mentionId="{53207042-6103-4316-a4f6-5e3811687233}" startIndex="110" length="22"/>
      <x18tc:mention mentionpersonId="{4e15e0ef-7205-4b6b-9e13-3843d789db2a}" mentionId="{89f0e6a1-a974-4a5d-bfbb-30072aaaddc2}" startIndex="133" length="20"/>
    </x18tc:mentions>
  </x18tc:threadedComment>
  <x18tc:threadedComment ref="BA15" dT="2026-07-16T23:57:36.00" personId="{4829e030-29ff-4d9e-9e93-390c2a54ea65}" id="{8db4b7e9-19bd-4e21-b5e1-924af704ed7c}" done="0">
    <x18tc:text xml:space="preserve">This estimate in weeks (proposed by Claude) is for the implementation of the change laid out in this RFC: https://guidewireconfluence.atlassian.net/wiki/spaces/CCS/pages/3131801858/rfc-147+User+Lifecycle+Events+Routing+for+all+Isolation+Zones
which is required to enable IZ-local access to the User Lifecycle Events and allow phasing out the cross-IZ MSK connections.
I think the estimate might be a bit exaggerated - I would welcome your input @smalladi@guidewire.com @amkhanna@guidewire.com
Assigned to smalladi@guidewire.com</x18tc:text>
    <x18tc:mentions>
      <x18tc:mention mentionpersonId="{afb4716a-a070-4d76-8d21-f9809f3d3492}" mentionId="{273480f6-c426-4e62-8523-63d792da3dce}" startIndex="445" length="23"/>
      <x18tc:mention mentionpersonId="{0a8aed59-9de1-4881-b9af-625628e8f795}" mentionId="{0b2834fb-da31-48d2-ba94-264f84160896}" startIndex="469" length="23"/>
    </x18tc:mentions>
    <x18tc:extLst>
      <ext uri="{F7C98A9C-CBB3-438F-8F68-D28B6AF4A901}">
        <xltc2:checksum/>
        <xltc2:hyperlink startIndex="106" length="136" url="https://guidewireconfluence.atlassian.net/wiki/spaces/CCS/pages/3131801858/rfc-147+User+Lifecycle+Events+Routing+for+all+Isolation+Zones"/>
      </ext>
    </x18tc:extLst>
  </x18tc:threadedComment>
  <x18tc:threadedComment ref="BA15" dT="2026-07-17T03:28:55.00" personId="{ae832a63-a301-45ea-93ea-93de8308c03a}" id="{b52fbb14-73cd-41be-b2d4-5e7c84b8ed08}" parentId="{8db4b7e9-19bd-4e21-b5e1-924af704ed7c}">
    <x18tc:text xml:space="preserve">hi @gsolinski@guidewire.com, we estimated it to be 4 sols/8 weeks. There are few pre reqs that needed to be done.
adding Pavan and Satish @pmandayambheeman@guidewire.com @sapatil@guidewire.com</x18tc:text>
    <x18tc:mentions>
      <x18tc:mention mentionpersonId="{4642e6ac-8553-4b76-99a1-9750c6af1edc}" mentionId="{ea96b700-439b-4860-a9ba-bf7d3a0636aa}" startIndex="3" length="24"/>
      <x18tc:mention mentionpersonId="{616ee950-1b34-4f9f-ab64-3e51cf3e373c}" mentionId="{08a0e970-7079-41ba-a70c-c9c3c4bd94f9}" startIndex="139" length="31"/>
      <x18tc:mention mentionpersonId="{f311167c-0f82-4f20-b48a-86240309ee08}" mentionId="{aeb405c7-9d18-4531-b2d7-32769942116a}" startIndex="171" length="22"/>
    </x18tc:mentions>
  </x18tc:threadedComment>
  <x18tc:threadedComment ref="BA15" dT="2026-07-17T05:33:39.00" personId="{4829e030-29ff-4d9e-9e93-390c2a54ea65}" id="{b058353c-c124-4977-b39d-630e85dc94cd}" parentId="{8db4b7e9-19bd-4e21-b5e1-924af704ed7c}">
    <x18tc:text xml:space="preserve">Thanks Sai. I'm assuming you're referring to the prerequisites as listed in the RFC: https://guidewireconfluence.atlassian.net/wiki/spaces/CCS/pages/3131801858/rfc-147+User+Lifecycle+Events+Routing+for+all+Isolation+Zones#Pre-Requisites
If so, I believe the first one is already in progress (PR from your team) and the rest is on the SCIM side, so you can capture it in your teams's column.
We can leave the 10-week estimate, to account for the work left in Keti (the pending PR) and the IdP tags audit, on top your original estimate.
1 total reaction
Sai Praveen Malladi reacted with 👍 at 07/17/2026, 5:49 AM UTC</x18tc:text>
    <x18tc:extLst>
      <ext uri="{F7C98A9C-CBB3-438F-8F68-D28B6AF4A901}">
        <xltc2:checksum/>
        <xltc2:hyperlink startIndex="85" length="151" url="https://guidewireconfluence.atlassian.net/wiki/spaces/CCS/pages/3131801858/rfc-147+User+Lifecycle+Events+Routing+for+all+Isolation+Zones#Pre-Requisites"/>
      </ext>
    </x18tc:extLst>
  </x18tc:threadedComment>
  <x18tc:threadedComment ref="BA15" dT="2026-07-17T05:49:26.00" personId="{ae832a63-a301-45ea-93ea-93de8308c03a}" id="{43784ad2-5c53-4ced-a555-68c19996095a}" parentId="{8db4b7e9-19bd-4e21-b5e1-924af704ed7c}">
    <x18tc:text xml:space="preserve">Yes Grzegorz, the prerequisites are the same as mentioned in the RFC.
1. supporting v2 groups with Okta groups. 
2. IdP tags back filling. 
Apart from the above, there needs to be some more changes that needs to be done for removing the cross IZ msk dependency and smooth cutover for the consumers.</x18tc:text>
  </x18tc:threadedComment>
  <x18tc:threadedComment ref="BA15" dT="2026-07-17T06:33:23.00" personId="{4829e030-29ff-4d9e-9e93-390c2a54ea65}" id="{0499ddb1-2671-4181-a2e1-ae82bcc38bc1}" parentId="{8db4b7e9-19bd-4e21-b5e1-924af704ed7c}">
    <x18tc:text xml:space="preserve">Thanks for confirming. As for those additional changes, some of that was already included in the 10 week estimate proposed by Claude. As for the switchover of the consumers - the effort / dependency should probably be rather noted on their side (e.g. GUARD / Bandipur column), as this sheet tracks the initiative dependencies across all the teams. FYI @pikumar@guidewire.com
Reassigned to pikumar@guidewire.com</x18tc:text>
    <x18tc:mentions>
      <x18tc:mention mentionpersonId="{46d15241-4c81-4146-94fb-3a2dc3e5cc58}" mentionId="{1fc65213-e64c-4e65-b2f0-b2f0d616f6a8}" startIndex="352" length="22"/>
    </x18tc:mentions>
  </x18tc:threadedComment>
  <x18tc:threadedComment ref="BA15" dT="2026-07-17T06:35:17.00" personId="{4829e030-29ff-4d9e-9e93-390c2a54ea65}" id="{ba792bdc-0f8f-4565-ac9a-9c3b89a6a74d}" parentId="{8db4b7e9-19bd-4e21-b5e1-924af704ed7c}">
    <x18tc:text xml:space="preserve">The 10 week estimate I entered 
here only includes the work necessary to deploy the Keti MSK infrastructure the proper way / allow consumers connect to IZ-local topics.</x18tc:text>
  </x18tc:threadedComment>
  <x18tc:threadedComment ref="Q24" dT="2026-07-01T22:38:43.00" personId="{b8c5c968-34dc-4851-bdeb-1b4e1462cb2b}" id="{7ee13d37-f7f8-4f8f-9fc0-ec89e70a45bc}" done="0">
    <x18tc:text xml:space="preserve">Surely this will have some networking impact. I see this scope is design-only.</x18tc:text>
  </x18tc:threadedComment>
  <x18tc:threadedComment ref="V12" dT="2026-07-03T15:21:32.00" personId="{f6366c9e-cebb-4b9b-a866-08c7b4ba8334}" id="{9f0791d1-c44d-45f7-93c1-8148ba649bca}" done="0">
    <x18tc:text xml:space="preserve">@gbouzeid@guidewire.com I took the liberty to add ourselves as the dependency. The docs says you would need Postgres extension (pgAudit), which is done on the database level, which is on Wola. We can sync on details later/offline, but don't forget about us.</x18tc:text>
    <x18tc:mentions>
      <x18tc:mention mentionpersonId="{745d7f76-f965-499b-8df6-91dbc43b9fb3}" mentionId="{104ad174-1181-4946-b23d-45beb0c3a738}" startIndex="0" length="23"/>
    </x18tc:mentions>
  </x18tc:threadedComment>
  <x18tc:threadedComment ref="V12" dT="2026-07-05T17:43:43.00" personId="{54eae484-93a2-444b-bad4-b9c1b9b87098}" id="{470cdc46-eb8b-46a9-9f6b-508bcacb1b9b}" parentId="{9f0791d1-c44d-45f7-93c1-8148ba649bca}">
    <x18tc:text xml:space="preserve">oh great! yep thx @pdomider@guidewire.com have you already in the dependencies list. thx</x18tc:text>
    <x18tc:mentions>
      <x18tc:mention mentionpersonId="{9bf17f32-22f2-482c-9e47-de425774ad20}" mentionId="{59b34b5e-4f7e-4815-99c3-b8075565ed95}" startIndex="18" length="23"/>
    </x18tc:mentions>
  </x18tc:threadedComment>
  <x18tc:threadedComment ref="BD17" dT="2026-07-24T16:35:15.00" personId="{e28f70c1-ef12-4c89-8349-6cb27991439b}" id="{cc75ecf2-eb65-41b4-844e-dc7fd2c6104b}" done="0">
    <x18tc:text xml:space="preserve">@msmriti@guidewire.com Based on the conversation here - https://guidewire.slack.com/archives/C0657SL7YNQ/p1784831007527559- I am including the dependency mentioned in SPIRE here
CC: @bsekar@guidewire.com @amkhanna@guidewire.com
1 total reaction
Medha Smriti reacted with 👍 at 07/24/2026, 5:23 PM UTC
Assigned to msmriti@guidewire.com</x18tc:text>
    <x18tc:mentions>
      <x18tc:mention mentionpersonId="{4fa32788-b19d-42ec-b2db-713f60a44711}" mentionId="{8b134bd0-4ff5-435f-a484-85af12de8f57}" startIndex="0" length="22"/>
      <x18tc:mention mentionpersonId="{72d6c93c-3592-4ad8-bf9d-420c1e2be403}" mentionId="{27437bce-d9d6-4562-9d1b-5f89211dce82}" startIndex="183" length="21"/>
      <x18tc:mention mentionpersonId="{0a8aed59-9de1-4881-b9af-625628e8f795}" mentionId="{ebad4ae0-6e92-4fe5-b410-08eaa264b930}" startIndex="205" length="23"/>
    </x18tc:mentions>
    <x18tc:extLst>
      <ext uri="{F7C98A9C-CBB3-438F-8F68-D28B6AF4A901}">
        <xltc2:checksum/>
        <xltc2:hyperlink startIndex="56" length="67" url="https://guidewire.slack.com/archives/C0657SL7YNQ/p1784831007527559-"/>
      </ext>
    </x18tc:extLst>
  </x18tc:threadedComment>
  <x18tc:threadedComment ref="B22" dT="2026-07-01T22:47:30.00" personId="{589022af-f09c-4505-b48f-db8f7a94e760}" id="{d3c7bed6-d89c-4207-a7b3-b9150519e1a3}" done="1">
    <x18tc:text xml:space="preserve">To be merged with 22 "Kubernetes Quotas" ? @ujain@guidewire.com
Assigned to ujain@guidewire.com</x18tc:text>
    <x18tc:mentions>
      <x18tc:mention mentionpersonId="{879de53f-a744-4b67-987f-1006b3ceb550}" mentionId="{b97f185c-22b4-4d4c-aaf2-fdc4ac2e61a7}" startIndex="43" length="20"/>
    </x18tc:mentions>
  </x18tc:threadedComment>
  <x18tc:threadedComment ref="B22" dT="2026-07-07T16:57:26.00" personId="{7d6d157a-310c-4a7e-b624-fd05cd31f5f1}" id="{74b0e3d5-7abd-4194-a211-0f4e57d2ca1e}" parentId="{d3c7bed6-d89c-4207-a7b3-b9150519e1a3}">
    <x18tc:text xml:space="preserve">@jguionnet@guidewire.com : is this the same as item 22? can we merge? Would you be able to put a 1 pager on this?
Reassigned to jguionnet@guidewire.com</x18tc:text>
    <x18tc:mentions>
      <x18tc:mention mentionpersonId="{15899f7f-e862-4c2e-86b4-7ca98f25b9f4}" mentionId="{6134eab4-aaf4-495b-84f5-027d9131cdb8}" startIndex="0" length="24"/>
    </x18tc:mentions>
  </x18tc:threadedComment>
  <x18tc:threadedComment ref="B22" dT="2026-07-07T17:01:21.00" personId="{fdd9deb0-0752-4724-9af1-ea031bd01e48}" id="{c9c47108-eedf-4acf-8fbd-d5d2fca3b19f}" parentId="{d3c7bed6-d89c-4207-a7b3-b9150519e1a3}">
    <x18tc:text xml:space="preserve">@agopalakrishnan@guidewire.com @bsekar@guidewire.com I think it is the same. I created this full kit doc that I posted on the channel as I wanted team to validate my dependencies: https://guidewireconfluence.atlassian.net/wiki/spaces/CCS/pages/3383855607/Full+Kit+Pod+Allocation+Limits+Tracking+and+Growth+Mechanism+for+Platform+Scalability#Pod-reference-(subset)
Reassigned to agopalakrishnan@guidewire.com</x18tc:text>
    <x18tc:mentions>
      <x18tc:mention mentionpersonId="{55349863-6a08-451e-90d8-f6ad025db8f5}" mentionId="{e3afd452-d191-47cc-bfd1-c7f0354bae31}" startIndex="0" length="30"/>
      <x18tc:mention mentionpersonId="{72d6c93c-3592-4ad8-bf9d-420c1e2be403}" mentionId="{b1f2fcbb-3685-40a9-ae92-deb0a3334b97}" startIndex="31" length="21"/>
    </x18tc:mentions>
    <x18tc:extLst>
      <ext uri="{F7C98A9C-CBB3-438F-8F68-D28B6AF4A901}">
        <xltc2:checksum/>
        <xltc2:hyperlink startIndex="180" length="183" url="https://guidewireconfluence.atlassian.net/wiki/spaces/CCS/pages/3383855607/Full+Kit+Pod+Allocation+Limits+Tracking+and+Growth+Mechanism+for+Platform+Scalability#Pod-reference-(subset)"/>
      </ext>
    </x18tc:extLst>
  </x18tc:threadedComment>
  <x18tc:threadedComment ref="B22" dT="2026-07-07T17:09:05.00" personId="{7d6d157a-310c-4a7e-b624-fd05cd31f5f1}" id="{57043527-7021-43a0-a37c-bde5f4719bd0}" parentId="{d3c7bed6-d89c-4207-a7b3-b9150519e1a3}">
    <x18tc:text xml:space="preserve">@jguionnet@guidewire.com : should we delete this row and ask folks to move their estimates?
Reassigned to jguionnet@guidewire.com</x18tc:text>
    <x18tc:mentions>
      <x18tc:mention mentionpersonId="{15899f7f-e862-4c2e-86b4-7ca98f25b9f4}" mentionId="{0b3e0c30-9890-42ad-ae58-92236b901292}" startIndex="0" length="24"/>
    </x18tc:mentions>
  </x18tc:threadedComment>
  <x18tc:threadedComment ref="B22" dT="2026-07-10T16:26:44.00" personId="{fdd9deb0-0752-4724-9af1-ea031bd01e48}" id="{b91be93e-c7af-43f7-91f9-6e6ee0667722}" parentId="{d3c7bed6-d89c-4207-a7b3-b9150519e1a3}">
    <x18tc:text xml:space="preserve">Deleted row 22</x18tc:text>
  </x18tc:threadedComment>
  <x18tc:threadedComment ref="AP8" dT="2026-07-03T15:19:05.00" personId="{204883d9-ce2c-4ba0-815c-503d69b6b19e}" id="{b72ebed4-84db-41be-9af6-cea46426af82}" done="0">
    <x18tc:text xml:space="preserve">Depends on:
-&gt; @mzawadzka@guidewire.com Okocim (accept unique ID in provisioning/deprovisioning via ProjectService/PlanetService)
-&gt; @kwcislo@guidewire.com Tymbark (accept unique ID in deployment/un-deployment via ISDO)
-&gt; @apers@guidewire.com Zakopane (handle unique ID/short name in TeamCity, Bitbucket URLs)
-&gt; @cpetluri@guidewire.com Brilliant (handle unique IDs in Helios)
-&gt; @amkhanna@guidewire.com Bandipur (handle unique IDs in Guard)
-&gt; @dhsharma@guidewire.com Sausalito (handle unique IDs in Okta Groups)
-&gt; @lmakowski@guidewire.com Solina (handle unique ID/short name in URLs created via AGCS)
- Dependencies outside CCS exist</x18tc:text>
    <x18tc:mentions>
      <x18tc:mention mentionpersonId="{02efe0e5-fe76-4e6d-9da2-4e8a023aff8e}" mentionId="{7966e3b2-8c7a-4bb8-8a94-2a5cf4f2aa11}" startIndex="15" length="24"/>
      <x18tc:mention mentionpersonId="{8ec8fb78-e716-416a-8d49-5396e860cdda}" mentionId="{47c065f9-9f83-4447-a3c1-38c3a592119c}" startIndex="133" length="22"/>
      <x18tc:mention mentionpersonId="{9e53b3d0-d239-47a2-ba08-3df186c9f734}" mentionId="{6b25bb1a-ea5b-4038-b76c-fffca1f478cd}" startIndex="223" length="20"/>
      <x18tc:mention mentionpersonId="{8406af2e-9a76-40b2-a7a0-2c6afa310f9d}" mentionId="{362db751-460e-4c2b-8f56-8e0348d58a50}" startIndex="314" length="23"/>
      <x18tc:mention mentionpersonId="{0a8aed59-9de1-4881-b9af-625628e8f795}" mentionId="{5b7fe07a-f6e3-48c1-8a08-adf3a2e90c9a}" startIndex="381" length="23"/>
      <x18tc:mention mentionpersonId="{8caf03f4-4a5e-4075-a37e-b0df4b86d6b2}" mentionId="{822a2dd7-7bde-4cb5-99ec-500626378143}" startIndex="446" length="23"/>
      <x18tc:mention mentionpersonId="{40b025f4-2e12-4c24-b8c7-59ba67cfd388}" mentionId="{6c7a7ef4-2552-4da5-a846-0bd50e015d13}" startIndex="518" length="24"/>
    </x18tc:mentions>
  </x18tc:threadedComment>
  <x18tc:threadedComment ref="AP8" dT="2026-07-06T13:28:42.00" personId="{e28f70c1-ef12-4c89-8349-6cb27991439b}" id="{05ad356a-df7e-435a-8e7b-eba9df1100a2}" parentId="{b72ebed4-84db-41be-9af6-cea46426af82}">
    <x18tc:text xml:space="preserve">@mzajac@guidewire.com please confirm what you mean by handle unique IDs in Helios context.</x18tc:text>
    <x18tc:mentions>
      <x18tc:mention mentionpersonId="{7290d324-2e37-4c44-bab7-310330e7fcf9}" mentionId="{5172f0b4-08aa-4f48-904b-490d0093f971}" startIndex="0" length="21"/>
    </x18tc:mentions>
  </x18tc:threadedComment>
  <x18tc:threadedComment ref="AP8" dT="2026-07-07T12:55:52.00" personId="{204883d9-ce2c-4ba0-815c-503d69b6b19e}" id="{405bb7d6-46b7-4da1-9f57-368a5870863a}" parentId="{b72ebed4-84db-41be-9af6-cea46426af82}">
    <x18tc:text xml:space="preserve">@cpetluri@guidewire.com please validate against this https://guidewireconfluence.atlassian.net/wiki/spaces/KDC/pages/3402468441/Immutable+ID+Initiative+One+Pager#What-this-means-for-your-service, thx</x18tc:text>
    <x18tc:mentions>
      <x18tc:mention mentionpersonId="{8406af2e-9a76-40b2-a7a0-2c6afa310f9d}" mentionId="{aba0b1f4-6590-4cbd-88cd-494f5cd205b6}" startIndex="0" length="23"/>
    </x18tc:mentions>
    <x18tc:extLst>
      <ext uri="{F7C98A9C-CBB3-438F-8F68-D28B6AF4A901}">
        <xltc2:checksum/>
        <xltc2:hyperlink startIndex="53" length="141" url="https://guidewireconfluence.atlassian.net/wiki/spaces/KDC/pages/3402468441/Immutable+ID+Initiative+One+Pager#What-this-means-for-your-service"/>
      </ext>
    </x18tc:extLst>
  </x18tc:threadedComment>
  <x18tc:threadedComment ref="AP8" dT="2026-07-15T17:22:42.00" personId="{e28f70c1-ef12-4c89-8349-6cb27991439b}" id="{7ed692b8-7dc0-41ac-a0b9-74b3206520bf}" parentId="{b72ebed4-84db-41be-9af6-cea46426af82}">
    <x18tc:text xml:space="preserve">@mzajac@guidewire.com I already talked to @llinville@guidewire.com and we updated the estimates. Thank you</x18tc:text>
    <x18tc:mentions>
      <x18tc:mention mentionpersonId="{7290d324-2e37-4c44-bab7-310330e7fcf9}" mentionId="{09854ea4-a87b-4c6b-9419-6aaf3e022e9f}" startIndex="0" length="21"/>
      <x18tc:mention mentionpersonId="{b3198054-86d9-46da-8d87-3b38363ad7c6}" mentionId="{58dfa59d-0339-4370-8ab4-a5483c7c8975}" startIndex="42" length="24"/>
    </x18tc:mentions>
  </x18tc:threadedComment>
  <x18tc:threadedComment ref="AS2" dT="2026-07-24T16:17:10.00" personId="{e28f70c1-ef12-4c89-8349-6cb27991439b}" id="{68913f1e-819d-42c9-b405-846d247926ae}" done="0">
    <x18tc:text xml:space="preserve">@suramasamy@guidewire.com Based on the conversation here - https://guidewire.slack.com/archives/C0657SL7YNQ/p1784830812758849 - I am shifting the effort mentioned in MSK CR-DR row here
CC: @dhsharma@guidewire.com @atomar@guidewire.com
Assigned to suramasamy@guidewire.com</x18tc:text>
    <x18tc:mentions>
      <x18tc:mention mentionpersonId="{703efb3d-5bb5-4040-a4ec-8bcba53659af}" mentionId="{ca915bdf-d083-42b6-a531-3419f26d5dfb}" startIndex="0" length="25"/>
      <x18tc:mention mentionpersonId="{8caf03f4-4a5e-4075-a37e-b0df4b86d6b2}" mentionId="{4a2703c0-a5e6-43ca-8809-a995a9ebfeb4}" startIndex="190" length="23"/>
      <x18tc:mention mentionpersonId="{b1e856c7-db14-4a0e-b4a6-b642dfdfb6ed}" mentionId="{cc4def26-dd67-42ed-814a-151edb34221d}" startIndex="214" length="21"/>
    </x18tc:mentions>
    <x18tc:extLst>
      <ext uri="{F7C98A9C-CBB3-438F-8F68-D28B6AF4A901}">
        <xltc2:checksum/>
        <xltc2:hyperlink startIndex="59" length="66" url="https://guidewire.slack.com/archives/C0657SL7YNQ/p1784830812758849"/>
      </ext>
    </x18tc:extLst>
  </x18tc:threadedComment>
  <x18tc:threadedComment ref="S8" dT="2026-07-09T16:20:33.00" personId="{204883d9-ce2c-4ba0-815c-503d69b6b19e}" id="{1a95edef-6f30-4ddb-b2e1-5d93c9d06588}" done="0">
    <x18tc:text xml:space="preserve">@amkhanna@guidewire.com I think the Guard UI should present the display name rather than the unique ID. Could you also assess whether the unique ID will be handled correctly for access management in Guard? Check the One Pager for more details if needed/ping me. Please provide an estimate, or set it to "No Dependency" if you see it differently — thanks.
Assigned to amkhanna@guidewire.com</x18tc:text>
    <x18tc:mentions>
      <x18tc:mention mentionpersonId="{0a8aed59-9de1-4881-b9af-625628e8f795}" mentionId="{6a50f4ce-06d5-414a-bccc-fe2579746f99}" startIndex="0" length="23"/>
    </x18tc:mentions>
  </x18tc:threadedComment>
  <x18tc:threadedComment ref="S8" dT="2026-07-13T08:44:33.00" personId="{204883d9-ce2c-4ba0-815c-503d69b6b19e}" id="{ff966d88-10a2-4bd5-8dab-dbfc41e8b7a5}" parentId="{1a95edef-6f30-4ddb-b2e1-5d93c9d06588}">
    <x18tc:text xml:space="preserve">@pikumar@guidewire.com please check the One Pager and provide an estimate, or set it to "No Dependency", thx.
Reassigned to pikumar@guidewire.com</x18tc:text>
    <x18tc:mentions>
      <x18tc:mention mentionpersonId="{46d15241-4c81-4146-94fb-3a2dc3e5cc58}" mentionId="{843dfb0d-6907-4de3-904f-414a149312fd}" startIndex="0" length="22"/>
    </x18tc:mentions>
  </x18tc:threadedComment>
  <x18tc:threadedComment ref="S8" dT="2026-07-20T08:57:44.00" personId="{204883d9-ce2c-4ba0-815c-503d69b6b19e}" id="{2d4fb217-cc00-41d8-b3f6-768d0393f8c0}" parentId="{1a95edef-6f30-4ddb-b2e1-5d93c9d06588}">
    <x18tc:text xml:space="preserve">Hi @amkhanna@guidewire.com @pikumar@guidewire.com, yours is the only feedback still outstanding for this initiative - could you please share it when you get a chance? If you need any additional information beyond what's in the One Pager, just let me know.
Reassigned to amkhanna@guidewire.com</x18tc:text>
    <x18tc:mentions>
      <x18tc:mention mentionpersonId="{0a8aed59-9de1-4881-b9af-625628e8f795}" mentionId="{2273d0c2-2dc3-4642-968b-db032ce55366}" startIndex="3" length="23"/>
      <x18tc:mention mentionpersonId="{46d15241-4c81-4146-94fb-3a2dc3e5cc58}" mentionId="{8a838298-8eda-4325-9aa3-67735584e9e2}" startIndex="27" length="22"/>
    </x18tc:mentions>
  </x18tc:threadedComment>
  <x18tc:threadedComment ref="BO9" dT="2026-07-01T13:51:38.00" personId="{f6366c9e-cebb-4b9b-a866-08c7b4ba8334}" id="{43e8f524-c512-4f3e-b62f-e98c322db881}" done="0">
    <x18tc:text xml:space="preserve">Assess impact on DB encryption (Aurora RDS), KMS key for snapshot export and S3 buckets</x18tc:text>
  </x18tc:threadedComment>
  <x18tc:threadedComment ref="AK22" dT="2026-07-17T14:13:48.00" personId="{fdd9deb0-0752-4724-9af1-ea031bd01e48}" id="{8584ea0c-6c87-415d-84aa-e55cbbf67b95}" done="0">
    <x18tc:text xml:space="preserve">@srajashekaran@guidewire.com Review estimate, it is for Cluster KEP work
Assigned to srajashekaran@guidewire.com</x18tc:text>
    <x18tc:mentions>
      <x18tc:mention mentionpersonId="{9188f49e-8929-499c-8bc1-7ada386d3397}" mentionId="{62b8ff99-9c5a-485b-b8ad-a1e9c925b33a}" startIndex="0" length="28"/>
    </x18tc:mentions>
  </x18tc:threadedComment>
  <x18tc:threadedComment ref="AK22" dT="2026-07-21T04:39:15.00" personId="{bd50c6ca-3225-4178-9115-62cd4eafdb60}" id="{fa3b4e1d-fbb5-49c4-b3df-3b7666afbaab}" parentId="{8584ea0c-6c87-415d-84aa-e55cbbf67b95}">
    <x18tc:text xml:space="preserve">Sounds good.</x18tc:text>
  </x18tc:threadedComment>
  <x18tc:threadedComment ref="AK22" dT="2026-07-21T04:42:25.00" personId="{bd50c6ca-3225-4178-9115-62cd4eafdb60}" id="{36679f61-1bec-4a02-b291-0d50363e56c0}" parentId="{8584ea0c-6c87-415d-84aa-e55cbbf67b95}">
    <x18tc:text xml:space="preserve">Can we add Cluster KEP to the description as well? It would become transparent why Gokarna has a stake here.</x18tc:text>
  </x18tc:threadedComment>
  <x18tc:threadedComment ref="S14" dT="2026-07-09T16:13:05.00" personId="{204883d9-ce2c-4ba0-815c-503d69b6b19e}" id="{ffb3e0be-0ba9-4487-ad68-d221d8a5bf6c}" done="0">
    <x18tc:text xml:space="preserve">@amkhanna@guidewire.com I think Guard would only be consuming entitlements here, which makes this more of a benefit than a dependency — so it's really "No dependency" rather than "TBD." Could you update it accordingly? If you see it differently, feel free to add an estimate instead.
Assigned to amkhanna@guidewire.com</x18tc:text>
    <x18tc:mentions>
      <x18tc:mention mentionpersonId="{0a8aed59-9de1-4881-b9af-625628e8f795}" mentionId="{6261af6e-2268-4997-ae55-78f7b782e62e}" startIndex="0" length="23"/>
    </x18tc:mentions>
  </x18tc:threadedComment>
  <x18tc:threadedComment ref="S14" dT="2026-07-20T08:58:19.00" personId="{204883d9-ce2c-4ba0-815c-503d69b6b19e}" id="{1d90742c-f8b8-47f8-8be4-fb1b98cd0546}" parentId="{ffb3e0be-0ba9-4487-ad68-d221d8a5bf6c}">
    <x18tc:text xml:space="preserve">Hi @amkhanna@guidewire.com @pikumar@guidewire.com, yours is the only feedback still outstanding for this initiative - could you please share it when you get a chance? If you need any additional information beyond what's in the One Pager, just let me know.
Reassigned to pikumar@guidewire.com</x18tc:text>
    <x18tc:mentions>
      <x18tc:mention mentionpersonId="{0a8aed59-9de1-4881-b9af-625628e8f795}" mentionId="{ea404c7d-632f-4635-8a41-70f9bafbb358}" startIndex="3" length="23"/>
      <x18tc:mention mentionpersonId="{46d15241-4c81-4146-94fb-3a2dc3e5cc58}" mentionId="{5e4fb9f6-1fd9-40c5-8477-0692528ea55d}" startIndex="27" length="22"/>
    </x18tc:mentions>
  </x18tc:threadedComment>
  <x18tc:threadedComment ref="S14" dT="2026-07-29T04:58:32.00" personId="{21736235-477c-461c-84dc-a8b9be3bd74c}" id="{6df0d692-9411-4692-abd3-6e6ea6d060ca}" parentId="{ffb3e0be-0ba9-4487-ad68-d221d8a5bf6c}">
    <x18tc:text xml:space="preserve">@ujain@guidewire.com please help mark no dependency</x18tc:text>
    <x18tc:mentions>
      <x18tc:mention mentionpersonId="{879de53f-a744-4b67-987f-1006b3ceb550}" mentionId="{f1fcd398-55bf-442c-8484-e58992d86097}" startIndex="0" length="20"/>
    </x18tc:mentions>
  </x18tc:threadedComment>
  <x18tc:threadedComment ref="BK14" dT="2026-07-09T17:11:17.00" personId="{204883d9-ce2c-4ba0-815c-503d69b6b19e}" id="{b45088e1-3475-41fd-b2c9-c34453dfbb22}" done="0">
    <x18tc:text xml:space="preserve">@atomar@guidewire.com I don't think Vulcan will be impacted by the Fulfillment Service, so I've set it to "No Dependency." If you see it differently, feel free to add an estimate instead. You can check the One Pager for more details - thanks.
Assigned to atomar@guidewire.com</x18tc:text>
    <x18tc:mentions>
      <x18tc:mention mentionpersonId="{b1e856c7-db14-4a0e-b4a6-b642dfdfb6ed}" mentionId="{97e4c389-00da-4c96-992b-38073569a195}" startIndex="0" length="21"/>
    </x18tc:mentions>
  </x18tc:threadedComment>
  <x18tc:threadedComment ref="BI19" dT="2026-07-01T09:49:10.00" personId="{a54b1372-8648-4c98-a592-ef9a12c7eb12}" id="{5fa25367-bddc-4e72-8f94-ba47d14689b5}" done="0">
    <x18tc:text xml:space="preserve">Based on https://guidewireinternal.ideas.aha.io/ideas/IPI-I-1129</x18tc:text>
    <x18tc:extLst>
      <ext uri="{F7C98A9C-CBB3-438F-8F68-D28B6AF4A901}">
        <xltc2:checksum/>
        <xltc2:hyperlink startIndex="9" length="55" url="https://guidewireinternal.ideas.aha.io/ideas/IPI-I-1129"/>
      </ext>
    </x18tc:extLst>
  </x18tc:threadedComment>
  <x18tc:threadedComment ref="BK8" dT="2026-07-09T17:10:25.00" personId="{204883d9-ce2c-4ba0-815c-503d69b6b19e}" id="{f946d7d0-6658-4529-869a-3e0d9091ac28}" done="0">
    <x18tc:text xml:space="preserve">@atomar@guidewire.com I don't think Vulcan will be impacted by the Unique ID, so I've set it to "No Dependency." If you see it differently, feel free to add an estimate instead. You can check the One Pager for more details - thanks.
Assigned to atomar@guidewire.com</x18tc:text>
    <x18tc:mentions>
      <x18tc:mention mentionpersonId="{b1e856c7-db14-4a0e-b4a6-b642dfdfb6ed}" mentionId="{dd73223d-1401-415b-826a-7c215e9787c1}" startIndex="0" length="21"/>
    </x18tc:mentions>
  </x18tc:threadedComment>
  <x18tc:threadedComment ref="BA2" dT="2026-07-24T16:21:01.00" personId="{e28f70c1-ef12-4c89-8349-6cb27991439b}" id="{c2f11987-cd2f-47f7-92b5-a76deb75f6e8}" done="0">
    <x18tc:text xml:space="preserve">@dhsharma@guidewire.com Based on the conversation here - https://guidewire.slack.com/archives/C0657SL7YNQ/p1784830812758849 - I am adding the effort mentioned in MSK CR-DR row here
CC: @atomar@guidewire.com
Assigned to dhsharma@guidewire.com</x18tc:text>
    <x18tc:mentions>
      <x18tc:mention mentionpersonId="{8caf03f4-4a5e-4075-a37e-b0df4b86d6b2}" mentionId="{8c6fe5a3-bc4e-4908-9197-5c8a16dfa4c2}" startIndex="0" length="23"/>
      <x18tc:mention mentionpersonId="{b1e856c7-db14-4a0e-b4a6-b642dfdfb6ed}" mentionId="{ad02035b-83d5-4166-a035-9623fb8516c6}" startIndex="186" length="21"/>
    </x18tc:mentions>
    <x18tc:extLst>
      <ext uri="{F7C98A9C-CBB3-438F-8F68-D28B6AF4A901}">
        <xltc2:checksum/>
        <xltc2:hyperlink startIndex="57" length="66" url="https://guidewire.slack.com/archives/C0657SL7YNQ/p1784830812758849"/>
      </ext>
    </x18tc:extLst>
  </x18tc:threadedComment>
  <x18tc:threadedComment ref="BQ19" dT="2026-07-23T13:48:43.00" personId="{bc56bac3-b681-4b44-b2e3-7e5386a68645}" id="{46905329-08c0-462b-8612-4ebe9b7cfe84}" done="0">
    <x18tc:text xml:space="preserve">Based on https://guidewireinternal.ideas.aha.io/ideas/IPI-I-1129</x18tc:text>
    <x18tc:extLst>
      <ext uri="{F7C98A9C-CBB3-438F-8F68-D28B6AF4A901}">
        <xltc2:checksum/>
        <xltc2:hyperlink startIndex="9" length="55" url="https://guidewireinternal.ideas.aha.io/ideas/IPI-I-1129"/>
      </ext>
    </x18tc:extLst>
  </x18tc:threadedComment>
  <x18tc:threadedComment ref="BO28" dT="2026-07-01T13:15:02.00" personId="{f6366c9e-cebb-4b9b-a866-08c7b4ba8334}" id="{11988397-403a-4529-b87d-2d2308bed6df}" done="0">
    <x18tc:text xml:space="preserve">1. Reuse dbopsuser/tags, more req. to come from Gilbert</x18tc:text>
  </x18tc:threadedComment>
  <x18tc:threadedComment ref="BO28" dT="2026-07-23T13:02:17.00" personId="{f6366c9e-cebb-4b9b-a866-08c7b4ba8334}" id="{03dd4018-03c6-4248-902c-ca28a7d16753}" parentId="{11988397-403a-4529-b87d-2d2308bed6df}">
    <x18tc:text xml:space="preserve">We DO NOT include any UI work in this capacity</x18tc:text>
  </x18tc:threadedComment>
  <x18tc:threadedComment ref="AK14" dT="2026-07-09T16:47:03.00" personId="{204883d9-ce2c-4ba0-815c-503d69b6b19e}" id="{8c5fa8b8-a307-4db5-b21d-d869940cd381}" done="0">
    <x18tc:text xml:space="preserve">@gs@guidewire.com I don't think Gokarna will be impacted by the Fulfillment Service, so I've set it to "No Dependency." If you see it differently, feel free to add an estimate instead. You can check the One Pager for more details - thanks.
Assigned to gs@guidewire.com</x18tc:text>
    <x18tc:mentions>
      <x18tc:mention mentionpersonId="{266944f1-17de-482c-a280-997a68ef1dcb}" mentionId="{4ce96ace-8dfa-4b39-826f-8b771d50110a}" startIndex="0" length="17"/>
    </x18tc:mentions>
  </x18tc:threadedComment>
  <x18tc:threadedComment ref="AK14" dT="2026-07-10T05:21:31.00" personId="{9b7c6d63-494a-4fe4-a4ff-6214c3fedfaa}" id="{1e87b9ff-873d-4715-a71d-6483de351540}" parentId="{8c5fa8b8-a307-4db5-b21d-d869940cd381}">
    <x18tc:text xml:space="preserve">@mzajac@guidewire.com Yes, there is no dependency or impact to Gokarna, we are good here.</x18tc:text>
    <x18tc:mentions>
      <x18tc:mention mentionpersonId="{7290d324-2e37-4c44-bab7-310330e7fcf9}" mentionId="{cf35455c-0738-45f2-8af7-5c1b79f958bf}" startIndex="0" length="21"/>
    </x18tc:mentions>
  </x18tc:threadedComment>
  <x18tc:threadedComment ref="AU16" dT="2026-07-01T23:27:32.00" personId="{589022af-f09c-4505-b48f-db8f7a94e760}" id="{42bd47e1-2300-4f0f-88df-b2be2913ff6c}" done="1">
    <x18tc:text xml:space="preserve">Suspect some work needed from Planet service</x18tc:text>
  </x18tc:threadedComment>
  <x18tc:threadedComment ref="BG19" dT="2026-07-23T13:48:35.00" personId="{bc56bac3-b681-4b44-b2e3-7e5386a68645}" id="{72df15e4-cf7c-4e1e-9d29-a570fb60a0ec}" done="0">
    <x18tc:text xml:space="preserve">Based on https://guidewireinternal.ideas.aha.io/ideas/IPI-I-1129</x18tc:text>
    <x18tc:extLst>
      <ext uri="{F7C98A9C-CBB3-438F-8F68-D28B6AF4A901}">
        <xltc2:checksum/>
        <xltc2:hyperlink startIndex="9" length="55" url="https://guidewireinternal.ideas.aha.io/ideas/IPI-I-1129"/>
      </ext>
    </x18tc:extLst>
  </x18tc:threadedComment>
  <x18tc:threadedComment ref="AI2" dT="2026-07-27T12:27:33.00" personId="{f6366c9e-cebb-4b9b-a866-08c7b4ba8334}" id="{423a6e99-501a-42dd-b14b-5917143ec781}" done="0">
    <x18tc:text xml:space="preserve">RDS LSS isolation (star/quadrant tagging and separation)</x18tc:text>
  </x18tc:threadedComment>
  <x18tc:threadedComment ref="Y17" dT="2026-07-24T16:28:59.00" personId="{e28f70c1-ef12-4c89-8349-6cb27991439b}" id="{49c8f8b5-8a85-4d3d-8e82-7d7eef3dfd44}" done="0">
    <x18tc:text xml:space="preserve">@llinville@guidewire.com Based on the conversation here, I am coupling the SPIRE work estimate here. Please note that we are still talking to @agopalakrishnan@guidewire.com on SPIRE ownership
CC: @mdykes@guidewire.com
Assigned to llinville@guidewire.com</x18tc:text>
    <x18tc:mentions>
      <x18tc:mention mentionpersonId="{b3198054-86d9-46da-8d87-3b38363ad7c6}" mentionId="{d8362e57-3b25-4e99-bfbe-55c72a5c25b8}" startIndex="0" length="24"/>
      <x18tc:mention mentionpersonId="{55349863-6a08-451e-90d8-f6ad025db8f5}" mentionId="{992cfc8c-3cf7-4bca-8253-7b3f72f565e1}" startIndex="142" length="30"/>
      <x18tc:mention mentionpersonId="{5156ce53-8531-4acb-8049-5e6065240f6c}" mentionId="{e0ea72bb-ceaf-4baa-a318-4e5895faf8c6}" startIndex="197" length="21"/>
    </x18tc:mentions>
  </x18tc:threadedComment>
  <x18tc:threadedComment ref="AK8" dT="2026-07-09T16:46:05.00" personId="{204883d9-ce2c-4ba0-815c-503d69b6b19e}" id="{5cac3f44-cdad-4238-b70a-bd310bcfd1c0}" done="0">
    <x18tc:text xml:space="preserve">@gs@guidewire.com I don't think Gokarna will be impacted by the Unique ID, so I've set it to "No Dependency." If you see it differently, feel free to add an estimate instead. You can check the One Pager for more details - thanks.
Assigned to gs@guidewire.com</x18tc:text>
    <x18tc:mentions>
      <x18tc:mention mentionpersonId="{266944f1-17de-482c-a280-997a68ef1dcb}" mentionId="{1b0a2ff0-22a8-4719-ae78-0aee9c24189b}" startIndex="0" length="17"/>
    </x18tc:mentions>
  </x18tc:threadedComment>
  <x18tc:threadedComment ref="AS2" dT="2026-07-17T16:27:47.00" personId="{7fd15008-94ee-4f23-a195-6d4dedd4ea7e}" id="{6c97d8c2-b6ac-4648-8121-f58aad88f8f0}" done="1">
    <x18tc:text xml:space="preserve">@dhsharma@guidewire.com @suramasamy@guidewire.com , can you please clarify what is the effort for, is it Mithril to be DR ready?
Assigned to suramasamy@guidewire.com</x18tc:text>
    <x18tc:mentions>
      <x18tc:mention mentionpersonId="{8caf03f4-4a5e-4075-a37e-b0df4b86d6b2}" mentionId="{b55504cb-fd3a-4d44-87a5-d6cce8a08360}" startIndex="0" length="23"/>
      <x18tc:mention mentionpersonId="{703efb3d-5bb5-4040-a4ec-8bcba53659af}" mentionId="{c1cadeb3-8adb-4465-8009-4b069d96ed7b}" startIndex="24" length="25"/>
    </x18tc:mentions>
  </x18tc:threadedComment>
  <x18tc:threadedComment ref="AS2" dT="2026-07-17T17:05:41.00" personId="{61cac862-3159-478e-bfc8-f7bb69b5daa8}" id="{2ee39cd0-d324-4604-baf6-ca3666a5d608}" parentId="{6c97d8c2-b6ac-4648-8121-f58aad88f8f0}">
    <x18tc:text xml:space="preserve">Yes.</x18tc:text>
  </x18tc:threadedComment>
  <x18tc:threadedComment ref="BO26" dT="2026-07-01T13:38:05.00" personId="{f6366c9e-cebb-4b9b-a866-08c7b4ba8334}" id="{b1ef8eda-e357-4f40-aa8c-f74cd7bc1193}" done="0">
    <x18tc:text xml:space="preserve">Complete redesign of DB Service</x18tc:text>
  </x18tc:threadedComment>
  <x18tc:threadedComment ref="AG21" dT="2026-07-01T23:11:03.00" personId="{589022af-f09c-4505-b48f-db8f7a94e760}" id="{bd1aa074-2d2c-41f3-80ff-c167c1738098}" done="0">
    <x18tc:text xml:space="preserve">Tag enforcements through Kyverno</x18tc:text>
  </x18tc:threadedComment>
  <x18tc:threadedComment ref="BO17" dT="2026-07-01T13:45:24.00" personId="{f6366c9e-cebb-4b9b-a866-08c7b4ba8334}" id="{32c7eb3a-94d8-405e-9207-58a855a788e8}" done="0">
    <x18tc:text xml:space="preserve">Enforcing rotation of S3 access storage key for GWCP customers</x18tc:text>
  </x18tc:threadedComment>
  <x18tc:threadedComment ref="W16" dT="2026-07-01T23:26:14.00" personId="{589022af-f09c-4505-b48f-db8f7a94e760}" id="{4fec5330-65f0-4613-bbe5-a0d2f4345f71}" done="0">
    <x18tc:text xml:space="preserve">Let's build dashboard for highlighting orphaned resources</x18tc:text>
  </x18tc:threadedComment>
  <x18tc:threadedComment ref="AO14" dT="2026-07-09T16:59:18.00" personId="{204883d9-ce2c-4ba0-815c-503d69b6b19e}" id="{24851f65-b50c-4642-b020-a8fdcd433935}" done="0">
    <x18tc:text xml:space="preserve">@atomar@guidewire.com could you check the One Pager to assess the impact on Kanata - thanks.
Assigned to atomar@guidewire.com</x18tc:text>
    <x18tc:mentions>
      <x18tc:mention mentionpersonId="{b1e856c7-db14-4a0e-b4a6-b642dfdfb6ed}" mentionId="{d4f5c57d-ed8f-47b6-bdb6-c03e22aa9b77}" startIndex="0" length="21"/>
    </x18tc:mentions>
  </x18tc:threadedComment>
  <x18tc:threadedComment ref="AO14" dT="2026-07-14T13:42:50.00" personId="{204883d9-ce2c-4ba0-815c-503d69b6b19e}" id="{7f14a840-c82a-4e2f-87d9-c6d48ffdb45b}" parentId="{24851f65-b50c-4642-b020-a8fdcd433935}">
    <x18tc:text xml:space="preserve">@jdobson@guidewire.com could you check the One Pager to assess the impact on Kanata - thanks.
1 total reaction
James Dobson reacted with 👀 at 07/15/2026, 4:18 PM UTC
Reassigned to jdobson@guidewire.com</x18tc:text>
    <x18tc:mentions>
      <x18tc:mention mentionpersonId="{fb559fcf-211f-4073-84f5-555b4ff178df}" mentionId="{7dd567d8-274d-4572-bfd8-3d6e219a35af}" startIndex="0" length="22"/>
    </x18tc:mentions>
  </x18tc:threadedComment>
  <x18tc:threadedComment ref="AO14" dT="2026-07-15T16:29:25.00" personId="{5ec39123-4a15-47f2-87a8-13dfe758f6e2}" id="{e031bad1-7d28-41e7-b5e6-1b0085dda44c}" parentId="{24851f65-b50c-4642-b020-a8fdcd433935}">
    <x18tc:text xml:space="preserve">We believe there is no work for Kanata, since it will all be abstracted within Voyager. Let me know if you have any concerns.</x18tc:text>
  </x18tc:threadedComment>
  <x18tc:threadedComment ref="O14" dT="2026-07-09T16:35:01.00" personId="{204883d9-ce2c-4ba0-815c-503d69b6b19e}" id="{9bab65fb-2112-4315-98c1-738ddc7bef59}" done="0">
    <x18tc:text xml:space="preserve">@amkhanna@guidewire.com I don't think Allepay will be impacted by the Fulfillment Service, so I've set it to "No Dependency." If you see it differently, feel free to add an estimate instead. You can check the One Pager/ping me for more details - thanks.
Assigned to amkhanna@guidewire.com</x18tc:text>
    <x18tc:mentions>
      <x18tc:mention mentionpersonId="{0a8aed59-9de1-4881-b9af-625628e8f795}" mentionId="{4537ed91-fac0-4e1e-bfc6-c6adaa604cb4}" startIndex="0" length="23"/>
    </x18tc:mentions>
  </x18tc:threadedComment>
  <x18tc:threadedComment ref="O14" dT="2026-07-10T11:40:39.00" personId="{21736235-477c-461c-84dc-a8b9be3bd74c}" id="{892b719c-c0fa-450d-902b-ffe853d2acf9}" parentId="{9bab65fb-2112-4315-98c1-738ddc7bef59}">
    <x18tc:text xml:space="preserve">Hi @mzajac@guidewire.com Alleppey is working on SCIM IS integration and may need to check fulfilment service as to which xcenter the customer is entitled to. The exact solution is yet to</x18tc:text>
    <x18tc:mentions>
      <x18tc:mention mentionpersonId="{7290d324-2e37-4c44-bab7-310330e7fcf9}" mentionId="{8a1c332a-9ee7-4fab-9a54-15972c75cebd}" startIndex="3" length="21"/>
    </x18tc:mentions>
  </x18tc:threadedComment>
  <x18tc:threadedComment ref="AO8" dT="2026-07-09T16:54:55.00" personId="{204883d9-ce2c-4ba0-815c-503d69b6b19e}" id="{bbf005cc-3403-4495-a422-b15018bf1f5f}" done="0">
    <x18tc:text xml:space="preserve">@atomar@guidewire.com I don't think Kanata will be impacted by the Unique ID, so I've set it to "No Dependency." If you see it differently, feel free to add an estimate instead. You can check the One Pager for more details - thanks.
Assigned to atomar@guidewire.com</x18tc:text>
    <x18tc:mentions>
      <x18tc:mention mentionpersonId="{b1e856c7-db14-4a0e-b4a6-b642dfdfb6ed}" mentionId="{1cccc62f-85af-41b5-8701-8647bc1abe19}" startIndex="0" length="21"/>
    </x18tc:mentions>
  </x18tc:threadedComment>
  <x18tc:threadedComment ref="AO8" dT="2026-07-14T13:41:58.00" personId="{204883d9-ce2c-4ba0-815c-503d69b6b19e}" id="{54a99076-2566-4ae0-9b2c-016ec088b82d}" parentId="{bbf005cc-3403-4495-a422-b15018bf1f5f}">
    <x18tc:text xml:space="preserve">@jdobson@guidewire.com could you check if my "No Dependency" assumption is correct? thx
1 total reaction
James Dobson reacted with 👀 at 07/15/2026, 4:07 PM UTC
Reassigned to jdobson@guidewire.com</x18tc:text>
    <x18tc:mentions>
      <x18tc:mention mentionpersonId="{fb559fcf-211f-4073-84f5-555b4ff178df}" mentionId="{28728840-53d3-4df3-9521-5bc1674f26a8}" startIndex="0" length="22"/>
    </x18tc:mentions>
  </x18tc:threadedComment>
  <x18tc:threadedComment ref="AO8" dT="2026-07-15T16:31:45.00" personId="{5ec39123-4a15-47f2-87a8-13dfe758f6e2}" id="{912aece7-e658-4ebc-a237-32d8e91c9e3e}" parentId="{bbf005cc-3403-4495-a422-b15018bf1f5f}">
    <x18tc:text xml:space="preserve">Apart from ensuring the immutable ID gets passed down through the tenant module to all submodules, there isn't anything in existing code. However, we think we will have to do something for Asteroids so that the immutable ID is adopted by everything deployed in there: given that we don't control what customers will deploy, we have to ensure that the abstractions we give them set up the immutable ID appropriately.</x18tc:text>
  </x18tc:threadedComment>
  <x18tc:threadedComment ref="BP2" dT="2026-07-24T16:39:37.00" personId="{e28f70c1-ef12-4c89-8349-6cb27991439b}" id="{f28da837-91ad-431f-8ed8-30cc3d3e3a42}" done="0">
    <x18tc:text xml:space="preserve">@apers@guidewire.com Based on the conversation here - https://guidewire.slack.com/archives/C0657SL7YNQ/p1784830812758849 - I am including the dependency mentioned in MSK CR-DR row here
CC: @atomar@guidewire.com @kwcislo@guidewire.com
Assigned to apers@guidewire.com</x18tc:text>
    <x18tc:mentions>
      <x18tc:mention mentionpersonId="{9e53b3d0-d239-47a2-ba08-3df186c9f734}" mentionId="{ccd1e267-37a4-46ea-82ee-79742d6f1ed6}" startIndex="0" length="20"/>
      <x18tc:mention mentionpersonId="{b1e856c7-db14-4a0e-b4a6-b642dfdfb6ed}" mentionId="{5b09ec6d-b08b-41ac-b188-21b2907712f0}" startIndex="190" length="21"/>
      <x18tc:mention mentionpersonId="{8ec8fb78-e716-416a-8d49-5396e860cdda}" mentionId="{76a9b9a7-a41f-48d6-a2aa-4e2081705b64}" startIndex="212" length="22"/>
    </x18tc:mentions>
    <x18tc:extLst>
      <ext uri="{F7C98A9C-CBB3-438F-8F68-D28B6AF4A901}">
        <xltc2:checksum/>
        <xltc2:hyperlink startIndex="54" length="66" url="https://guidewire.slack.com/archives/C0657SL7YNQ/p1784830812758849"/>
      </ext>
    </x18tc:extLst>
  </x18tc:threadedComment>
  <x18tc:threadedComment ref="BP2" dT="2026-07-24T20:02:52.00" personId="{fd59b3ae-1428-41b2-8457-2cfb0f5b7546}" id="{1381b599-7707-4f03-afcd-363898ad63e5}" parentId="{f28da837-91ad-431f-8ed8-30cc3d3e3a42}">
    <x18tc:text xml:space="preserve">Depends on the DR demo scope for each stage</x18tc:text>
  </x18tc:threadedComment>
  <x18tc:threadedComment ref="BP2" dT="2026-07-27T06:14:45.00" personId="{bc56bac3-b681-4b44-b2e3-7e5386a68645}" id="{b1ad0ebc-6148-4814-b46d-a5861e602072}" parentId="{f28da837-91ad-431f-8ed8-30cc3d3e3a42}">
    <x18tc:text xml:space="preserve">@cpetluri@guidewire.com looks like I don't have access to the conversation you mentioned, but ACK 👍🏻</x18tc:text>
    <x18tc:mentions>
      <x18tc:mention mentionpersonId="{8406af2e-9a76-40b2-a7a0-2c6afa310f9d}" mentionId="{d1ffd574-5f15-4b19-8988-b78a9352e57d}" startIndex="0" length="23"/>
    </x18tc:mentions>
  </x18tc:threadedComment>
  <x18tc:threadedComment ref="M14" dT="2026-07-09T16:28:44.00" personId="{204883d9-ce2c-4ba0-815c-503d69b6b19e}" id="{630cbd6f-d969-425c-bf78-ebddd2cd65bf}" done="0">
    <x18tc:text xml:space="preserve">@gs@guidewire.com I don't think Ajanta will be impacted by the Fulfillment Service, so I've set it to "No Dependency." If you see it differently, feel free to add an estimate instead. You can check the One Pager for more details - thanks.
Assigned to gs@guidewire.com</x18tc:text>
    <x18tc:mentions>
      <x18tc:mention mentionpersonId="{266944f1-17de-482c-a280-997a68ef1dcb}" mentionId="{147e40d7-8ab4-402f-867a-5565807473d8}" startIndex="0" length="17"/>
    </x18tc:mentions>
  </x18tc:threadedComment>
  <x18tc:threadedComment ref="M14" dT="2026-07-10T05:20:51.00" personId="{9b7c6d63-494a-4fe4-a4ff-6214c3fedfaa}" id="{849832dc-56c4-4c63-a26b-3c1a17193969}" parentId="{630cbd6f-d969-425c-bf78-ebddd2cd65bf}">
    <x18tc:text xml:space="preserve">@mzajac@guidewire.com Yes, there is no dependency or impact to Ajanta, we are good here.</x18tc:text>
    <x18tc:mentions>
      <x18tc:mention mentionpersonId="{7290d324-2e37-4c44-bab7-310330e7fcf9}" mentionId="{57bded53-193f-4e56-b4fd-22e61ecbe296}" startIndex="0" length="21"/>
    </x18tc:mentions>
  </x18tc:threadedComment>
  <x18tc:threadedComment ref="AM14" dT="2026-07-09T16:51:44.00" personId="{204883d9-ce2c-4ba0-815c-503d69b6b19e}" id="{c3f913b7-e973-4359-8bc7-183d299bd022}" done="0">
    <x18tc:text xml:space="preserve">@kjayachandran@guidewire.com I don't think Kabini will be impacted by the Fulfillment Service, so I've set it to "No Dependency." If you see it differently, feel free to add an estimate instead. You can check the One Pager for more details - thanks.
Assigned to kjayachandran@guidewire.com</x18tc:text>
    <x18tc:mentions>
      <x18tc:mention mentionpersonId="{0a13f472-83e1-4ed7-b5f7-f3e6fab0b303}" mentionId="{dbb05869-d1b9-4589-b44d-1a618ba785ac}" startIndex="0" length="28"/>
    </x18tc:mentions>
  </x18tc:threadedComment>
  <x18tc:threadedComment ref="BE17" dT="2026-07-24T16:33:54.00" personId="{e28f70c1-ef12-4c89-8349-6cb27991439b}" id="{b7d4ccff-9950-45cb-9c5d-635af4f717fc}" done="0">
    <x18tc:text xml:space="preserve">@msmriti@guidewire.com Based on the conversation here - https://guidewire.slack.com/archives/C0657SL7YNQ/p1784831007527559- I am adding the effort mentioned in SPIRE here
CC: @bsekar@guidewire.com
Assigned to msmriti@guidewire.com</x18tc:text>
    <x18tc:mentions>
      <x18tc:mention mentionpersonId="{4fa32788-b19d-42ec-b2db-713f60a44711}" mentionId="{06906021-fe56-4590-9ff6-f984ff51303f}" startIndex="0" length="22"/>
      <x18tc:mention mentionpersonId="{72d6c93c-3592-4ad8-bf9d-420c1e2be403}" mentionId="{8b59cc16-c567-4d0f-a844-2bb8aaa6d3a9}" startIndex="176" length="21"/>
    </x18tc:mentions>
    <x18tc:extLst>
      <ext uri="{F7C98A9C-CBB3-438F-8F68-D28B6AF4A901}">
        <xltc2:checksum/>
        <xltc2:hyperlink startIndex="56" length="67" url="https://guidewire.slack.com/archives/C0657SL7YNQ/p1784831007527559-"/>
      </ext>
    </x18tc:extLst>
  </x18tc:threadedComment>
  <x18tc:threadedComment ref="BC2" dT="2026-07-17T16:39:05.00" personId="{7fd15008-94ee-4f23-a195-6d4dedd4ea7e}" id="{d194f3ad-eca1-47dc-88c4-43fa2cb9cd16}" done="0">
    <x18tc:text xml:space="preserve">@lmakowski@guidewire.com @kmarcinkaczor@guidewire.com , can you please clarify what is the effort for?
Assigned to lmakowski@guidewire.com</x18tc:text>
    <x18tc:mentions>
      <x18tc:mention mentionpersonId="{40b025f4-2e12-4c24-b8c7-59ba67cfd388}" mentionId="{7d3d2482-46d5-45f9-818b-5c4e97e2ff3e}" startIndex="0" length="24"/>
      <x18tc:mention mentionpersonId="{56150199-b956-4f44-a9ad-0bf050302bc9}" mentionId="{2bc4c5d9-2479-463c-ad6f-bc57a850c03a}" startIndex="25" length="28"/>
    </x18tc:mentions>
  </x18tc:threadedComment>
  <x18tc:threadedComment ref="BC2" dT="2026-07-20T14:05:48.00" personId="{682da16d-5c98-41f2-abe5-082371878093}" id="{1a6fd600-b470-4526-a776-4fa57e93ce3a}" parentId="{d194f3ad-eca1-47dc-88c4-43fa2cb9cd16}">
    <x18tc:text xml:space="preserve">@atomar@guidewire.com we have to implement full scope for Universal URL
Reassigned to atomar@guidewire.com</x18tc:text>
    <x18tc:mentions>
      <x18tc:mention mentionpersonId="{b1e856c7-db14-4a0e-b4a6-b642dfdfb6ed}" mentionId="{65ffc29a-86c7-4c45-ae63-a77649fbe193}" startIndex="0" length="21"/>
    </x18tc:mentions>
  </x18tc:threadedComment>
  <x18tc:threadedComment ref="BC2" dT="2026-07-22T13:42:00.00" personId="{7fd15008-94ee-4f23-a195-6d4dedd4ea7e}" id="{b487f809-3810-4146-9993-ae92cd5458d2}" parentId="{d194f3ad-eca1-47dc-88c4-43fa2cb9cd16}">
    <x18tc:text xml:space="preserve">@lmakowski@guidewire.com could  you please add details on this page https://guidewireconfluence.atlassian.net/wiki/spaces/CCS/pages/3451945323/CR-DR+Scope+for+FY-27
Reassigned to lmakowski@guidewire.com</x18tc:text>
    <x18tc:mentions>
      <x18tc:mention mentionpersonId="{40b025f4-2e12-4c24-b8c7-59ba67cfd388}" mentionId="{3745e565-b4c8-440f-98ca-11c5b5fa915d}" startIndex="0" length="24"/>
    </x18tc:mentions>
    <x18tc:extLst>
      <ext uri="{F7C98A9C-CBB3-438F-8F68-D28B6AF4A901}">
        <xltc2:checksum/>
        <xltc2:hyperlink startIndex="68" length="96" url="https://guidewireconfluence.atlassian.net/wiki/spaces/CCS/pages/3451945323/CR-DR+Scope+for+FY-27"/>
      </ext>
    </x18tc:extLst>
  </x18tc:threadedComment>
  <x18tc:threadedComment ref="BC2" dT="2026-07-24T16:21:51.00" personId="{e28f70c1-ef12-4c89-8349-6cb27991439b}" id="{4880644c-a5cc-4976-81cd-8f7cd618cbbb}" parentId="{d194f3ad-eca1-47dc-88c4-43fa2cb9cd16}">
    <x18tc:text xml:space="preserve">@lmakowski@guidewire.com Based on the conversation here - https://guidewire.slack.com/archives/C0657SL7YNQ/p1784830812758849 - I am adding the effort mentioned in MSK CR-DR row here
CC: @atomar@guidewire.com</x18tc:text>
    <x18tc:mentions>
      <x18tc:mention mentionpersonId="{40b025f4-2e12-4c24-b8c7-59ba67cfd388}" mentionId="{f56018fc-f69a-4faa-aea6-3af663dbf6f0}" startIndex="0" length="24"/>
      <x18tc:mention mentionpersonId="{b1e856c7-db14-4a0e-b4a6-b642dfdfb6ed}" mentionId="{1302b11b-bc95-483a-9ee0-da800be250e6}" startIndex="187" length="21"/>
    </x18tc:mentions>
    <x18tc:extLst>
      <ext uri="{F7C98A9C-CBB3-438F-8F68-D28B6AF4A901}">
        <xltc2:checksum/>
        <xltc2:hyperlink startIndex="58" length="66" url="https://guidewire.slack.com/archives/C0657SL7YNQ/p1784830812758849"/>
      </ext>
    </x18tc:extLst>
  </x18tc:threadedComment>
  <x18tc:threadedComment ref="BQ8" dT="2026-07-14T08:43:37.00" personId="{bc56bac3-b681-4b44-b2e3-7e5386a68645}" id="{dfba2b59-9d95-4eb1-8e2d-a7888209b042}" done="0">
    <x18tc:text xml:space="preserve">We're considering here not only changes to Bitbucket and TeamCity URLs, but also the potential introduction of v2 for all our public APIs (Build Management APIs and the Build Promotion API) to comply with the tenantID/ short name/ display name convention.</x18tc:text>
  </x18tc:threadedComment>
  <x18tc:threadedComment ref="M8" dT="2026-07-09T16:25:59.00" personId="{204883d9-ce2c-4ba0-815c-503d69b6b19e}" id="{51230f0b-cff4-41f4-a860-01cecdf2f9b3}" done="0">
    <x18tc:text xml:space="preserve">@gs@guidewire.com could you check the One Pager to assess whether the Ajanta pod would be impacted? If not, please set it to "No Dependency" - thanks.
Assigned to gs@guidewire.com</x18tc:text>
    <x18tc:mentions>
      <x18tc:mention mentionpersonId="{266944f1-17de-482c-a280-997a68ef1dcb}" mentionId="{8b8cb7fd-b007-4d25-aee5-accd2c977aa3}" startIndex="0" length="17"/>
    </x18tc:mentions>
  </x18tc:threadedComment>
  <x18tc:threadedComment ref="M22" dT="2026-07-17T14:04:54.00" personId="{fdd9deb0-0752-4724-9af1-ea031bd01e48}" id="{607afb98-a8e6-4005-9440-602cdcfed8cb}" done="0">
    <x18tc:text xml:space="preserve">@srajashekaran@guidewire.com 
Updated estimate based on the linked Confluence doc.
Section A (Tracking file persistence limits): x weeks
Section B (data migration across accounts/regions): y weeks
Assigned to srajashekaran@guidewire.com</x18tc:text>
    <x18tc:mentions>
      <x18tc:mention mentionpersonId="{9188f49e-8929-499c-8bc1-7ada386d3397}" mentionId="{79e4a279-b3ac-4a3a-864c-079e3cada66c}" startIndex="0" length="28"/>
    </x18tc:mentions>
  </x18tc:threadedComment>
  <x18tc:threadedComment ref="AM8" dT="2026-07-09T16:50:59.00" personId="{204883d9-ce2c-4ba0-815c-503d69b6b19e}" id="{df072ebb-1976-457d-ab0d-9fa102d744ee}" done="1">
    <x18tc:text xml:space="preserve">@kjayachandran@guidewire.com I don't think Kabini will be impacted by the Unique ID, so I've set it to "No Dependency." If you see it differently, feel free to add an estimate instead. You can check the One Pager for more details - thanks.
Assigned to kjayachandran@guidewire.com</x18tc:text>
    <x18tc:mentions>
      <x18tc:mention mentionpersonId="{0a13f472-83e1-4ed7-b5f7-f3e6fab0b303}" mentionId="{7b42ace6-9fa5-46fd-8769-f9a376fda136}" startIndex="0" length="28"/>
    </x18tc:mentions>
  </x18tc:threadedComment>
  <x18tc:threadedComment ref="AY8" dT="2026-07-09T17:04:50.00" personId="{204883d9-ce2c-4ba0-815c-503d69b6b19e}" id="{096f6ed9-c09e-4290-a7f7-99499de4f232}" done="0">
    <x18tc:text xml:space="preserve">@kjayachandran@guidewire.com I don't think Sagara will be impacted by the Unique ID, so I've set it to "No Dependency." If you see it differently, feel free to add an estimate instead. You can check the One Pager for more details - thanks.
Assigned to kjayachandran@guidewire.com</x18tc:text>
    <x18tc:mentions>
      <x18tc:mention mentionpersonId="{0a13f472-83e1-4ed7-b5f7-f3e6fab0b303}" mentionId="{850c0586-c15c-4fd8-8a86-b63255eb5b60}" startIndex="0" length="28"/>
    </x18tc:mentions>
  </x18tc:threadedComment>
  <x18tc:threadedComment ref="BF2" dT="2026-07-24T16:38:50.00" personId="{e28f70c1-ef12-4c89-8349-6cb27991439b}" id="{6b9cd006-be98-4754-8930-e8ce6557e83f}" done="0">
    <x18tc:text xml:space="preserve">@apers@guidewire.com Based on the conversation here - https://guidewire.slack.com/archives/C0657SL7YNQ/p1784830812758849 - I am including the dependency mentioned in MSK CR-DR row here
CC: @atomar@guidewire.com @kwcislo@guidewire.com
Assigned to apers@guidewire.com</x18tc:text>
    <x18tc:mentions>
      <x18tc:mention mentionpersonId="{9e53b3d0-d239-47a2-ba08-3df186c9f734}" mentionId="{4371c1cb-1e44-4f58-ae2f-fdf2f79b1bc8}" startIndex="0" length="20"/>
      <x18tc:mention mentionpersonId="{b1e856c7-db14-4a0e-b4a6-b642dfdfb6ed}" mentionId="{f4f4d455-6d19-47ca-8827-13fd8ea59c52}" startIndex="190" length="21"/>
      <x18tc:mention mentionpersonId="{8ec8fb78-e716-416a-8d49-5396e860cdda}" mentionId="{47c8f961-a0d9-4066-893d-45bf8b2808b9}" startIndex="212" length="22"/>
    </x18tc:mentions>
    <x18tc:extLst>
      <ext uri="{F7C98A9C-CBB3-438F-8F68-D28B6AF4A901}">
        <xltc2:checksum/>
        <xltc2:hyperlink startIndex="54" length="66" url="https://guidewire.slack.com/archives/C0657SL7YNQ/p1784830812758849"/>
      </ext>
    </x18tc:extLst>
  </x18tc:threadedComment>
  <x18tc:threadedComment ref="BF2" dT="2026-07-27T06:15:22.00" personId="{bc56bac3-b681-4b44-b2e3-7e5386a68645}" id="{44c3ceb1-7a5e-48b8-ac06-2ed2a25b42d8}" parentId="{6b9cd006-be98-4754-8930-e8ce6557e83f}">
    <x18tc:text xml:space="preserve">@cpetluri@guidewire.com  looks like I don't have access to the conversation you mentioned, but ACK 👍🏻</x18tc:text>
    <x18tc:mentions>
      <x18tc:mention mentionpersonId="{8406af2e-9a76-40b2-a7a0-2c6afa310f9d}" mentionId="{53e82149-8dbc-4937-a9a5-48940f061c5a}" startIndex="0" length="23"/>
    </x18tc:mentions>
  </x18tc:threadedComment>
  <x18tc:threadedComment ref="AT2" dT="2026-07-17T16:31:20.00" personId="{7fd15008-94ee-4f23-a195-6d4dedd4ea7e}" id="{468e2cfb-820f-4b7c-9295-fde636c08b57}" done="1">
    <x18tc:text xml:space="preserve">@mzawadzka@guidewire.com , could you please clarify the dependency on Vulcan here? @mkasprzyk@guidewire.com
Assigned to mkasprzyk@guidewire.com</x18tc:text>
    <x18tc:mentions>
      <x18tc:mention mentionpersonId="{02efe0e5-fe76-4e6d-9da2-4e8a023aff8e}" mentionId="{b431a710-5335-47a0-828b-510ef9466b8e}" startIndex="0" length="24"/>
      <x18tc:mention mentionpersonId="{5e424c13-ecad-444a-bf13-ba0bafc0a458}" mentionId="{36b35772-c85e-44c8-bbf8-a6ec398c37a0}" startIndex="83" length="24"/>
    </x18tc:mentions>
  </x18tc:threadedComment>
  <x18tc:threadedComment ref="AS14" dT="2026-07-09T17:02:34.00" personId="{204883d9-ce2c-4ba0-815c-503d69b6b19e}" id="{d23eb0f8-94ad-4239-a4f4-b8c78b611934}" done="1">
    <x18tc:text xml:space="preserve">@dhsharma@guidewire.com I don't think Moose Factory will be impacted by the Fulfillment Service, so I've set it to "No Dependency." If you see it differently, feel free to add an estimate instead. You can check the One Pager for more details - thanks.
1 total reaction
Dhruv Sharma reacted with 👍 at 07/13/2026, 2:01 PM UTC
Assigned to dhsharma@guidewire.com</x18tc:text>
    <x18tc:mentions>
      <x18tc:mention mentionpersonId="{8caf03f4-4a5e-4075-a37e-b0df4b86d6b2}" mentionId="{635bc7ed-0ca3-40ef-9f5f-86946a41e704}" startIndex="0" length="23"/>
    </x18tc:mentions>
  </x18tc:threadedComment>
  <x18tc:threadedComment ref="BI8" dT="2026-07-01T09:32:54.00" personId="{a54b1372-8648-4c98-a592-ef9a12c7eb12}" id="{9fae879b-72d8-48e5-ac60-248e934a516c}" done="0">
    <x18tc:text xml:space="preserve">Based on rfc-31: Globally unique keys to identify tenant/star/planet</x18tc:text>
  </x18tc:threadedComment>
  <x18tc:threadedComment ref="BI8" dT="2026-07-06T09:17:17.00" personId="{a54b1372-8648-4c98-a592-ef9a12c7eb12}" id="{12bc296f-99c2-4d29-88ec-cb994dd2770d}" parentId="{9fae879b-72d8-48e5-ac60-248e934a516c}">
    <x18tc:text xml:space="preserve">Tymbark (accept unique ID in deployment/un-deployment via ISDO) (Not sure (?))</x18tc:text>
  </x18tc:threadedComment>
  <x18tc:threadedComment ref="O17" dT="2026-07-24T16:37:18.00" personId="{e28f70c1-ef12-4c89-8349-6cb27991439b}" id="{764a6a07-4fc4-4cc3-9e6f-61d5cf7de5f0}" done="0">
    <x18tc:text xml:space="preserve">@amkhanna@guidewire.com Please help us close out here
Assigned to amkhanna@guidewire.com</x18tc:text>
    <x18tc:mentions>
      <x18tc:mention mentionpersonId="{0a8aed59-9de1-4881-b9af-625628e8f795}" mentionId="{d0b85fb9-db3d-48ff-9ee2-59f28c0dffbb}" startIndex="0" length="23"/>
    </x18tc:mentions>
  </x18tc:threadedComment>
  <x18tc:threadedComment ref="R15" dT="2026-07-17T16:32:13.00" personId="{e28f70c1-ef12-4c89-8349-6cb27991439b}" id="{8e49d17b-e8d4-4896-bf3f-1fde2a32f0bd}" done="0">
    <x18tc:text xml:space="preserve">@amkhanna@guidewire.com A gentle reminder to mark this. It can be None</x18tc:text>
    <x18tc:mentions>
      <x18tc:mention mentionpersonId="{0a8aed59-9de1-4881-b9af-625628e8f795}" mentionId="{80b30fd3-f510-4ce6-b2e8-459fb20e5417}" startIndex="0" length="23"/>
    </x18tc:mentions>
  </x18tc:threadedComment>
  <x18tc:threadedComment ref="R15" dT="2026-07-20T05:10:00.00" personId="{21736235-477c-461c-84dc-a8b9be3bd74c}" id="{defe4904-e93a-42c3-a48b-7c8c42fbdd20}" parentId="{8e49d17b-e8d4-4896-bf3f-1fde2a32f0bd}">
    <x18tc:text xml:space="preserve">Marked as resolved</x18tc:text>
  </x18tc:threadedComment>
  <x18tc:threadedComment ref="R15" dT="2026-07-20T15:17:00.00" personId="{e28f70c1-ef12-4c89-8349-6cb27991439b}" id="{2e0f2239-f856-47a3-922c-a0ce020f92f3}" parentId="{8e49d17b-e8d4-4896-bf3f-1fde2a32f0bd}">
    <x18tc:text xml:space="preserve">Since the comment is resolved, I am assuming no dependencies. Please feel free to override if required
Re-opened</x18tc:text>
  </x18tc:threadedComment>
  <x18tc:threadedComment ref="AQ17" dT="2026-07-24T16:31:51.00" personId="{e28f70c1-ef12-4c89-8349-6cb27991439b}" id="{1973c981-018e-4cd5-9270-612ee7d87797}" done="0">
    <x18tc:text xml:space="preserve">@krosner@guidewire.com Based on the conversation here - https://guidewire.slack.com/archives/C0657SL7YNQ/p1784831007527559- I am adding the effort mentioned in SPIRE here
Assigned to krosner@guidewire.com</x18tc:text>
    <x18tc:mentions>
      <x18tc:mention mentionpersonId="{d88de86d-278d-4794-9436-96071479b281}" mentionId="{de7510f2-0bb3-4e33-9378-0601ae24f3a6}" startIndex="0" length="22"/>
    </x18tc:mentions>
    <x18tc:extLst>
      <ext uri="{F7C98A9C-CBB3-438F-8F68-D28B6AF4A901}">
        <xltc2:checksum/>
        <xltc2:hyperlink startIndex="56" length="67" url="https://guidewire.slack.com/archives/C0657SL7YNQ/p1784831007527559-"/>
      </ext>
    </x18tc:extLst>
  </x18tc:threadedComment>
  <x18tc:threadedComment ref="AS8" dT="2026-07-09T17:01:21.00" personId="{204883d9-ce2c-4ba0-815c-503d69b6b19e}" id="{f0f056f2-3bcc-44c6-9036-772606ca35f0}" done="1">
    <x18tc:text xml:space="preserve">@dhsharma@guidewire.com could you check the One Pager to assess the impact on Moose Factory - thanks.
Assigned to dhsharma@guidewire.com</x18tc:text>
    <x18tc:mentions>
      <x18tc:mention mentionpersonId="{8caf03f4-4a5e-4075-a37e-b0df4b86d6b2}" mentionId="{6162fcea-4ec6-46af-8a81-28176a1cb9bb}" startIndex="0" length="23"/>
    </x18tc:mentions>
  </x18tc:threadedComment>
  <x18tc:threadedComment ref="AS8" dT="2026-07-13T14:01:54.00" personId="{61cac862-3159-478e-bfc8-f7bb69b5daa8}" id="{586b8c68-c3f2-4bd9-b90c-122e2025d71e}" parentId="{f0f056f2-3bcc-44c6-9036-772606ca35f0}">
    <x18tc:text xml:space="preserve">Added</x18tc:text>
  </x18tc:threadedComment>
  <x18tc:threadedComment ref="B13" dT="2026-07-07T17:08:11.00" personId="{7d6d157a-310c-4a7e-b624-fd05cd31f5f1}" id="{509f6549-ebb3-41cb-ac50-bf16cbb895d4}" done="1">
    <x18tc:text xml:space="preserve">@amkhanna@guidewire.com: Please add a 1 pager in confluence on this feature and then link it here
Assigned to amkhanna@guidewire.com</x18tc:text>
    <x18tc:mentions>
      <x18tc:mention mentionpersonId="{0a8aed59-9de1-4881-b9af-625628e8f795}" mentionId="{f70d6464-daee-4025-99c6-3e3af39e8a5f}" startIndex="0" length="23"/>
    </x18tc:mentions>
  </x18tc:threadedComment>
  <x18tc:threadedComment ref="M6" dT="2026-07-01T16:54:02.00" personId="{9b7c6d63-494a-4fe4-a4ff-6214c3fedfaa}" id="{d8e2b422-97b5-41d4-be3c-cbf4dc68ace5}" done="0">
    <x18tc:text xml:space="preserve">Ajanta scope (MVP + Day 2 features) for BYOA - S3 OAM, EFS OAM and OAM Library Modularization RFC109b</x18tc:text>
  </x18tc:threadedComment>
  <x18tc:threadedComment ref="M6" dT="2026-07-03T18:09:05.00" personId="{5ec39123-4a15-47f2-87a8-13dfe758f6e2}" id="{17ec6cf0-2e56-4817-ae99-1cee4bb28a99}" parentId="{d8e2b422-97b5-41d4-be3c-cbf4dc68ace5}">
    <x18tc:text xml:space="preserve">I'm curious, what is the dependency on Kanata?</x18tc:text>
  </x18tc:threadedComment>
  <x18tc:threadedComment ref="M6" dT="2026-07-03T18:10:00.00" personId="{5ec39123-4a15-47f2-87a8-13dfe758f6e2}" id="{146e3fbf-ac2d-44db-bc67-5630238f34ee}" parentId="{d8e2b422-97b5-41d4-be3c-cbf4dc68ace5}">
    <x18tc:text xml:space="preserve">Also, I'm going to adjust this to 6 since the RFC-109b item is targeted for "NA" in https://guidewireconfluence.atlassian.net/wiki/spaces/CCS/pages/2430402590/BYOA+-+EA+GA+Deliverables</x18tc:text>
    <x18tc:extLst>
      <ext uri="{F7C98A9C-CBB3-438F-8F68-D28B6AF4A901}">
        <xltc2:checksum/>
        <xltc2:hyperlink startIndex="84" length="100" url="https://guidewireconfluence.atlassian.net/wiki/spaces/CCS/pages/2430402590/BYOA+-+EA+GA+Deliverables"/>
      </ext>
    </x18tc:extLst>
  </x18tc:threadedComment>
  <x18tc:threadedComment ref="M6" dT="2026-07-03T18:16:08.00" personId="{9b7c6d63-494a-4fe4-a4ff-6214c3fedfaa}" id="{88f6b165-1868-4308-9fdf-b81d67b3644c}" parentId="{d8e2b422-97b5-41d4-be3c-cbf4dc68ace5}">
    <x18tc:text xml:space="preserve">There would be some soft dependency but we can work independently. 
Example, KubeVela features that Gokarna would ship like add-on KEP and Model API versioning would be pushed to Atmos cluster or Host cluster KubeVela. 
We would need those features or flags or latest version updated on vClusters. Hence, added Kanata as soft dependency.</x18tc:text>
  </x18tc:threadedComment>
  <x18tc:threadedComment ref="M6" dT="2026-07-03T18:22:45.00" personId="{5ec39123-4a15-47f2-87a8-13dfe758f6e2}" id="{a93d1f11-28e2-41cc-8c54-ca36fd86f57d}" parentId="{d8e2b422-97b5-41d4-be3c-cbf4dc68ace5}">
    <x18tc:text xml:space="preserve">As long as there is no hard dependency for which Kanata must plan to do work otherwise Ajanta will be blocked, we can put None here.</x18tc:text>
  </x18tc:threadedComment>
  <x18tc:threadedComment ref="M6" dT="2026-07-17T20:23:48.00" personId="{7fd15008-94ee-4f23-a195-6d4dedd4ea7e}" id="{697071e9-3861-4c69-b346-6b77346f02cb}" parentId="{d8e2b422-97b5-41d4-be3c-cbf4dc68ace5}">
    <x18tc:text xml:space="preserve">@gs@guidewire.com @jdobson@guidewire.com is this 12 or 6 weeks?</x18tc:text>
    <x18tc:mentions>
      <x18tc:mention mentionpersonId="{266944f1-17de-482c-a280-997a68ef1dcb}" mentionId="{5a6c2038-488f-48b4-9cc1-a9553f1edc94}" startIndex="0" length="17"/>
      <x18tc:mention mentionpersonId="{fb559fcf-211f-4073-84f5-555b4ff178df}" mentionId="{9f00a00a-9f72-40da-a26e-ed22bead93ca}" startIndex="18" length="22"/>
    </x18tc:mentions>
  </x18tc:threadedComment>
  <x18tc:threadedComment ref="M6" dT="2026-07-20T02:52:34.00" personId="{9b7c6d63-494a-4fe4-a4ff-6214c3fedfaa}" id="{f498e6d4-6657-40c9-bf2a-a473a307d504}" parentId="{d8e2b422-97b5-41d4-be3c-cbf4dc68ace5}">
    <x18tc:text xml:space="preserve">@atomar@guidewire.com It is 12 weeks, I have updated both this sheet and also the BYOA confluence. Based on this input https://guidewire.slack.com/archives/C0B1QQ65ASC/p1783713950876809 , had to change it to 12 weeks from 6 weeks</x18tc:text>
    <x18tc:mentions>
      <x18tc:mention mentionpersonId="{b1e856c7-db14-4a0e-b4a6-b642dfdfb6ed}" mentionId="{83acab47-9772-4f75-8eb1-cef99bd3f009}" startIndex="0" length="21"/>
    </x18tc:mentions>
    <x18tc:extLst>
      <ext uri="{F7C98A9C-CBB3-438F-8F68-D28B6AF4A901}">
        <xltc2:checksum/>
        <xltc2:hyperlink startIndex="119" length="66" url="https://guidewire.slack.com/archives/C0B1QQ65ASC/p1783713950876809"/>
      </ext>
    </x18tc:extLst>
  </x18tc:threadedComment>
  <x18tc:threadedComment ref="AU14" dT="2026-07-14T13:46:18.00" personId="{204883d9-ce2c-4ba0-815c-503d69b6b19e}" id="{4f57e44f-35e4-4f7e-878b-074de31e6fda}" done="1">
    <x18tc:text xml:space="preserve">@mkasprzyk@guidewire.com please drop a line about what changes are needed, thanks.
Assigned to mkasprzyk@guidewire.com</x18tc:text>
    <x18tc:mentions>
      <x18tc:mention mentionpersonId="{5e424c13-ecad-444a-bf13-ba0bafc0a458}" mentionId="{bc299088-80ae-44a4-a6b4-2fa563a5b090}" startIndex="0" length="24"/>
    </x18tc:mentions>
  </x18tc:threadedComment>
  <x18tc:threadedComment ref="BA14" dT="2026-07-09T17:08:46.00" personId="{204883d9-ce2c-4ba0-815c-503d69b6b19e}" id="{42802fef-c0b2-4f6e-b845-c51082914658}" done="1">
    <x18tc:text xml:space="preserve">@dhsharma@guidewire.com I don't think Sausalito will be impacted by the Fulfillment Service, so I've set it to "No Dependency." If you see it differently, feel free to add an estimate instead. You can check the One Pager for more details - thanks.
1 total reaction
Dhruv Sharma reacted with 👍 at 07/13/2026, 1:59 PM UTC
Assigned to dhsharma@guidewire.com</x18tc:text>
    <x18tc:mentions>
      <x18tc:mention mentionpersonId="{8caf03f4-4a5e-4075-a37e-b0df4b86d6b2}" mentionId="{2c149dce-b7e6-4d3b-99e7-abd0a321b8d9}" startIndex="0" length="23"/>
    </x18tc:mentions>
  </x18tc:threadedComment>
  <x18tc:threadedComment ref="AI25" dT="2026-07-02T08:46:31.00" personId="{f6366c9e-cebb-4b9b-a866-08c7b4ba8334}" id="{631cb523-3345-4758-b98b-4347a3c122c8}" done="1">
    <x18tc:text xml:space="preserve">LSS isolation (star/quadrant tagging)</x18tc:text>
  </x18tc:threadedComment>
  <x18tc:threadedComment ref="AY14" dT="2026-07-09T17:05:44.00" personId="{204883d9-ce2c-4ba0-815c-503d69b6b19e}" id="{c1907e11-56b7-4548-a6f1-34e53c128a74}" done="0">
    <x18tc:text xml:space="preserve">@kjayachandran@guidewire.com I don't think Sagara will be impacted by the Fulfillment Service, so I've set it to "No Dependency." If you see it differently, feel free to add an estimate instead. You can check the One Pager for more details - thanks.
Assigned to kjayachandran@guidewire.com</x18tc:text>
    <x18tc:mentions>
      <x18tc:mention mentionpersonId="{0a13f472-83e1-4ed7-b5f7-f3e6fab0b303}" mentionId="{c95e8d3c-949e-4670-9b09-af4b26bf86f5}" startIndex="0" length="28"/>
    </x18tc:mentions>
  </x18tc:threadedComment>
  <x18tc:threadedComment ref="AI20" dT="2026-07-02T08:48:00.00" personId="{f6366c9e-cebb-4b9b-a866-08c7b4ba8334}" id="{1e0d146f-0fe0-436d-9c19-97c53b8713f6}" done="0">
    <x18tc:text xml:space="preserve">AtmosNG for argo - finalize</x18tc:text>
  </x18tc:threadedComment>
  <x18tc:threadedComment ref="B27" dT="2026-07-07T17:08:04.00" personId="{7d6d157a-310c-4a7e-b624-fd05cd31f5f1}" id="{6218e846-345b-4d1f-a389-86b82d3fa5bc}" done="0">
    <x18tc:text xml:space="preserve">@amkhanna@guidewire.com: Please add a 1 pager in confluence on this feature and then link it here
Assigned to amkhanna@guidewire.com</x18tc:text>
    <x18tc:mentions>
      <x18tc:mention mentionpersonId="{0a8aed59-9de1-4881-b9af-625628e8f795}" mentionId="{c258cfd0-de69-49a5-9768-dc98e790315a}" startIndex="0" length="23"/>
    </x18tc:mentions>
  </x18tc:threadedComment>
  <x18tc:threadedComment ref="B27" dT="2026-08-03T17:27:43.00" personId="{7d6d157a-310c-4a7e-b624-fd05cd31f5f1}" id="{5c6156e5-8555-44e2-8780-74d5a6991272}" parentId="{6218e846-345b-4d1f-a389-86b82d3fa5bc}">
    <x18tc:text xml:space="preserve">@amkhanna@guidewire.com , the one pager please?</x18tc:text>
    <x18tc:mentions>
      <x18tc:mention mentionpersonId="{0a8aed59-9de1-4881-b9af-625628e8f795}" mentionId="{c8bc111e-0f43-44ad-83f9-0c3b9bab8837}" startIndex="0" length="23"/>
    </x18tc:mentions>
  </x18tc:threadedComment>
  <x18tc:threadedComment ref="B27" dT="2026-08-04T02:33:52.00" personId="{21736235-477c-461c-84dc-a8b9be3bd74c}" id="{24761149-2062-4bd2-9fed-d6a571cae843}" parentId="{6218e846-345b-4d1f-a389-86b82d3fa5bc}">
    <x18tc:text xml:space="preserve">added</x18tc:text>
  </x18tc:threadedComment>
  <x18tc:threadedComment ref="N27" dT="2026-07-07T09:55:23.00" personId="{21736235-477c-461c-84dc-a8b9be3bd74c}" id="{5c3ab2e9-676e-4eaf-af09-305fe0ea0e01}" done="0">
    <x18tc:text xml:space="preserve">Allepey can work independently. But, there are dependency with User Store maintained by Sausalito, User Store has dependency on Cloud APIs integration. This estimate is based on the approach user store maintains the mapping of group to role and evokes IS cloud API through an orchestrator. This approach might change based on ongoing discussion</x18tc:text>
  </x18tc:threadedComment>
  <x18tc:threadedComment ref="B14" dT="2026-07-07T17:01:50.00" personId="{7d6d157a-310c-4a7e-b624-fd05cd31f5f1}" id="{9b406bfa-13d6-46db-8246-86459b1cfce8}" done="1">
    <x18tc:text xml:space="preserve">@mzajac@guidewire.com : Please add a one pager in confluence and link it here
Assigned to mzajac@guidewire.com</x18tc:text>
    <x18tc:mentions>
      <x18tc:mention mentionpersonId="{7290d324-2e37-4c44-bab7-310330e7fcf9}" mentionId="{28ceff05-266b-4e48-bb5b-14b5f0ec5a81}" startIndex="0" length="21"/>
    </x18tc:mentions>
  </x18tc:threadedComment>
  <x18tc:threadedComment ref="BD6" dT="2026-07-03T17:44:35.00" personId="{5ec39123-4a15-47f2-87a8-13dfe758f6e2}" id="{1efe5b4c-bcc2-41ba-a988-4c4878b666b5}" done="1">
    <x18tc:text xml:space="preserve">@bsekar@guidewire.com If Sunnyvale has no dependencies, please put None here.
Assigned to bsekar@guidewire.com</x18tc:text>
    <x18tc:mentions>
      <x18tc:mention mentionpersonId="{72d6c93c-3592-4ad8-bf9d-420c1e2be403}" mentionId="{4a333381-5769-4fda-84d9-1f21e9419120}" startIndex="0" length="21"/>
    </x18tc:mentions>
  </x18tc:threadedComment>
  <x18tc:threadedComment ref="N13" dT="2026-07-07T09:56:39.00" personId="{21736235-477c-461c-84dc-a8b9be3bd74c}" id="{3ccc4074-20cb-4dec-9a60-a83776a49d2c}" done="0">
    <x18tc:text xml:space="preserve">Allepey can work independently and have some soft dependency with Sausilito.</x18tc:text>
  </x18tc:threadedComment>
  <x18tc:threadedComment ref="B29" dT="2026-07-07T17:02:17.00" personId="{7d6d157a-310c-4a7e-b624-fd05cd31f5f1}" id="{d33a66a8-333a-4ab4-8646-3d4332643f0a}" done="1">
    <x18tc:text xml:space="preserve">@lmakowski@guidewire.com : Please add a one pager in confluence and link it here
Assigned to lmakowski@guidewire.com</x18tc:text>
    <x18tc:mentions>
      <x18tc:mention mentionpersonId="{40b025f4-2e12-4c24-b8c7-59ba67cfd388}" mentionId="{c29a0657-b069-4e53-8b8e-c6553012a162}" startIndex="0" length="24"/>
    </x18tc:mentions>
  </x18tc:threadedComment>
  <x18tc:threadedComment ref="AP13" dT="2026-07-03T15:34:22.00" personId="{204883d9-ce2c-4ba0-815c-503d69b6b19e}" id="{6cf99ba7-1835-4b07-a4b5-d463e9b405d2}" done="0">
    <x18tc:text xml:space="preserve">Depends on:
-&gt; @amkhanna@guidewire.com Bandipur (provide Okta Group to be assigned to the UAA users)</x18tc:text>
    <x18tc:mentions>
      <x18tc:mention mentionpersonId="{0a8aed59-9de1-4881-b9af-625628e8f795}" mentionId="{ace9e292-dd42-480c-8b32-1ac5d931a4cf}" startIndex="15" length="23"/>
    </x18tc:mentions>
  </x18tc:threadedComment>
  <x18tc:threadedComment ref="BA2" dT="2026-07-17T16:43:35.00" personId="{7fd15008-94ee-4f23-a195-6d4dedd4ea7e}" id="{c12cbe8a-4830-411d-bf4f-f420f7e8272a}" done="1">
    <x18tc:text xml:space="preserve">@bsekar@guidewire.com @dhsharma@guidewire.com I am assuming this is for Keti to be DR ready?
Assigned to bsekar@guidewire.com</x18tc:text>
    <x18tc:mentions>
      <x18tc:mention mentionpersonId="{72d6c93c-3592-4ad8-bf9d-420c1e2be403}" mentionId="{08cba268-79f8-4d78-bf74-23a890337d2f}" startIndex="0" length="21"/>
      <x18tc:mention mentionpersonId="{8caf03f4-4a5e-4075-a37e-b0df4b86d6b2}" mentionId="{8fc7fc52-f59b-47bf-aaa6-572eff126fde}" startIndex="22" length="23"/>
    </x18tc:mentions>
  </x18tc:threadedComment>
  <x18tc:threadedComment ref="BA2" dT="2026-07-17T17:05:25.00" personId="{61cac862-3159-478e-bfc8-f7bb69b5daa8}" id="{2d6ecb83-9a0f-48e5-b6a6-bc4e6b8946c9}" parentId="{c12cbe8a-4830-411d-bf4f-f420f7e8272a}">
    <x18tc:text xml:space="preserve">Yes.</x18tc:text>
  </x18tc:threadedComment>
  <x18tc:threadedComment ref="BL6" dT="2026-07-03T17:44:07.00" personId="{5ec39123-4a15-47f2-87a8-13dfe758f6e2}" id="{597431a9-4032-462c-9e69-8c2584aa041d}" done="0">
    <x18tc:text xml:space="preserve">@rasubramanian@guidewire.com If Warrior has no dependencies, please put None here.
Assigned to rasubramanian@guidewire.com</x18tc:text>
    <x18tc:mentions>
      <x18tc:mention mentionpersonId="{e24471b3-06fb-4838-ab9a-5a17bd74c488}" mentionId="{86570e0a-3e5f-44bd-a02c-348dae1eabd5}" startIndex="0" length="28"/>
    </x18tc:mentions>
  </x18tc:threadedComment>
  <x18tc:threadedComment ref="BL6" dT="2026-07-06T13:52:04.00" personId="{286bd2de-8ccd-4afa-8208-966c0aa309b9}" id="{c954f5b1-61d6-46de-b5a5-4e835ec1317e}" parentId="{597431a9-4032-462c-9e69-8c2584aa041d}">
    <x18tc:text xml:space="preserve">Updated it
1 total reaction
James Dobson reacted with 🙏 at 07/06/2026, 2:45 PM UTC</x18tc:text>
  </x18tc:threadedComment>
  <x18tc:threadedComment ref="BL6" dT="2026-07-06T23:57:57.00" personId="{d2c41af9-dcab-4077-9f50-4ed638d50c9f}" id="{0b7600ee-87ca-4cd8-bb2b-107b546612a1}" parentId="{597431a9-4032-462c-9e69-8c2584aa041d}">
    <x18tc:text xml:space="preserve">We do have a dependency on Vulcan, at least. I gave a more detailed comment in another line item, but I guess it was deleted.
1. We need to know what level of access customers will have to AWS and K8s and through what mechanism. If the answer is zero AWS access, we need a source of truth available that OAM components can consume to determine what resources (via tenant prefix, tag, etc) an Application in a given namespace should be allowed to access. Without this information, I can't even give a reasonable estimate of work, because it may or may not require a total rewrite of components and/or restore scripts.
2. We need to know (from a product perspective) what the customers' entry point should be for performing operational tasks, like backup and restore, on the components in their Application. KubeVela Workflow was thrown around a lot in conversation but that still doesn't answer the question - what is the customer going to actually do: run a custom CLI command, a vela CLI command, define and apply a Workflow yaml, apply a Workflow yaml from a template, click something in GCH, something else? This can't be decided by each team, it should be a consistent experience for the customers.</x18tc:text>
  </x18tc:threadedComment>
  <x18tc:threadedComment ref="BL6" dT="2026-07-07T13:28:05.00" personId="{5ec39123-4a15-47f2-87a8-13dfe758f6e2}" id="{5c8bac60-a50f-4103-bb8b-109d075f7523}" parentId="{597431a9-4032-462c-9e69-8c2584aa041d}">
    <x18tc:text xml:space="preserve">Kanata is the BYOA team, Vulcan is OAM/CRDR, updated.</x18tc:text>
  </x18tc:threadedComment>
  <x18tc:threadedComment ref="BL6" dT="2026-07-07T13:29:19.00" personId="{5ec39123-4a15-47f2-87a8-13dfe758f6e2}" id="{1faa849c-2794-4d00-88ea-c6f12c37de57}" parentId="{597431a9-4032-462c-9e69-8c2584aa041d}">
    <x18tc:text xml:space="preserve">I'm not sure if these decisions are actually a hard dependency on Kanata, but I will keep the dependency there.</x18tc:text>
  </x18tc:threadedComment>
  <x18tc:threadedComment ref="BL6" dT="2026-07-07T13:58:05.00" personId="{5ec39123-4a15-47f2-87a8-13dfe758f6e2}" id="{e9df5a5f-ac6a-4255-8a96-819861cc02ef}" parentId="{597431a9-4032-462c-9e69-8c2584aa041d}">
    <x18tc:text xml:space="preserve">For the technical discussion, I'm moving it here: https://guidewire.slack.com/archives/CUF0RR2H1/p1783431015055229</x18tc:text>
    <x18tc:extLst>
      <ext uri="{F7C98A9C-CBB3-438F-8F68-D28B6AF4A901}">
        <xltc2:checksum/>
        <xltc2:hyperlink startIndex="50" length="64" url="https://guidewire.slack.com/archives/CUF0RR2H1/p1783431015055229"/>
      </ext>
    </x18tc:extLst>
  </x18tc:threadedComment>
  <x18tc:threadedComment ref="B3" dT="2026-07-07T17:00:40.00" personId="{7d6d157a-310c-4a7e-b624-fd05cd31f5f1}" id="{bdaf521c-26cc-4777-8fb8-b55c29c3629f}" done="1">
    <x18tc:text xml:space="preserve">@amkhanna@guidewire.com: Please add a 1 pager in confluence on this feature and then link it here
Assigned to amkhanna@guidewire.com</x18tc:text>
    <x18tc:mentions>
      <x18tc:mention mentionpersonId="{0a8aed59-9de1-4881-b9af-625628e8f795}" mentionId="{5f463686-3fb7-45e1-a03b-9de54e850b63}" startIndex="0" length="23"/>
    </x18tc:mentions>
  </x18tc:threadedComment>
  <x18tc:threadedComment ref="BI14" dT="2026-07-03T16:01:18.00" personId="{204883d9-ce2c-4ba0-815c-503d69b6b19e}" id="{dd13a7b8-70b8-433c-b9d6-9b7747418350}" done="0">
    <x18tc:text xml:space="preserve">@kwcislo@guidewire.com please drop a line about what changes you meant, thanks.</x18tc:text>
    <x18tc:mentions>
      <x18tc:mention mentionpersonId="{8ec8fb78-e716-416a-8d49-5396e860cdda}" mentionId="{391bf5e7-ee10-4c8c-9e78-38aa1ca0e89e}" startIndex="0" length="22"/>
    </x18tc:mentions>
  </x18tc:threadedComment>
  <x18tc:threadedComment ref="BI14" dT="2026-07-06T09:13:27.00" personId="{a54b1372-8648-4c98-a592-ef9a12c7eb12}" id="{33419de0-c903-4d1a-a619-7c78e89a5cc7}" parentId="{dd13a7b8-70b8-433c-b9d6-9b7747418350}">
    <x18tc:text xml:space="preserve">Hi @mzajac@guidewire.com team can’t really say yet what exactly needs to be done here, but we know there will definitely be “something”, so we put 4 as a safe buffer</x18tc:text>
    <x18tc:mentions>
      <x18tc:mention mentionpersonId="{7290d324-2e37-4c44-bab7-310330e7fcf9}" mentionId="{ceb22da9-9246-4a78-a9e2-0084f6e8af50}" startIndex="3" length="21"/>
    </x18tc:mentions>
  </x18tc:threadedComment>
  <x18tc:threadedComment ref="BI14" dT="2026-07-06T11:22:24.00" personId="{204883d9-ce2c-4ba0-815c-503d69b6b19e}" id="{54de1b48-a3ae-498f-a67f-b4e55b8e066a}" parentId="{dd13a7b8-70b8-433c-b9d6-9b7747418350}">
    <x18tc:text xml:space="preserve">@kwcislo@guidewire.com Understood. Since this is just a rough estimate for now, let's leave it as is. Please let me know if you need any additional context on what the FulfillmentService entails. Thanks!</x18tc:text>
    <x18tc:mentions>
      <x18tc:mention mentionpersonId="{8ec8fb78-e716-416a-8d49-5396e860cdda}" mentionId="{5a44b07f-f10e-4d48-bae9-676dea05d469}" startIndex="0" length="22"/>
    </x18tc:mentions>
  </x18tc:threadedComment>
  <x18tc:threadedComment ref="AR8" dT="2026-07-14T13:35:18.00" personId="{204883d9-ce2c-4ba0-815c-503d69b6b19e}" id="{c961714a-866f-4a05-97e9-2a2f2e231aeb}" done="1">
    <x18tc:text xml:space="preserve">@dhsharma@guidewire.com We noticed Avondale has "No Dependency" selected. Should that be reviewed and updated, or is that still accurate?</x18tc:text>
    <x18tc:mentions>
      <x18tc:mention mentionpersonId="{8caf03f4-4a5e-4075-a37e-b0df4b86d6b2}" mentionId="{dad6e02f-89a6-47df-b984-487f6d1d23c0}" startIndex="0" length="23"/>
    </x18tc:mentions>
  </x18tc:threadedComment>
  <x18tc:threadedComment ref="AR8" dT="2026-07-14T14:34:44.00" personId="{e5d3dd1d-cf3f-4447-9596-54dc3fd5ef0c}" id="{e921bd51-d812-4f5f-be5d-77849c5e74a8}" parentId="{c961714a-866f-4a05-97e9-2a2f2e231aeb}">
    <x18tc:text xml:space="preserve">We have removed the Avondale dependency</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8" dT="2026-08-05T21:45:13.00" personId="{fd59b3ae-1428-41b2-8457-2cfb0f5b7546}" id="{9a9b6c38-cffb-4d72-8353-97a7d8869850}" done="0">
    <x18tc:text xml:space="preserve">Check with Medha on estimate</x18tc:text>
  </x18tc:threadedComment>
  <x18tc:threadedComment ref="L4" dT="2026-08-25T22:21:16.00" personId="{fd59b3ae-1428-41b2-8457-2cfb0f5b7546}" id="{a9ee83fa-8f38-4c17-a8ec-9d8ee4b36a60}" done="0">
    <x18tc:text xml:space="preserve">@asridhar@guidewire.com
Assigned to asridhar@guidewire.com</x18tc:text>
    <x18tc:mentions>
      <x18tc:mention mentionpersonId="{9d4ed8d9-7fd6-4b80-a95a-846581247432}" mentionId="{d96b6272-c8c0-4d08-968e-669b63803688}" startIndex="0" length="23"/>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mailto:gbouzeid@guidewire.com" TargetMode="External"/><Relationship Id="rId190" Type="http://schemas.openxmlformats.org/officeDocument/2006/relationships/hyperlink" Target="mailto:agopalakrishnan@guidewire.com" TargetMode="External"/><Relationship Id="rId42" Type="http://schemas.openxmlformats.org/officeDocument/2006/relationships/hyperlink" Target="mailto:gbouzeid@guidewire.com" TargetMode="External"/><Relationship Id="rId41" Type="http://schemas.openxmlformats.org/officeDocument/2006/relationships/hyperlink" Target="mailto:mzawadzka@guidewire.com" TargetMode="External"/><Relationship Id="rId44" Type="http://schemas.openxmlformats.org/officeDocument/2006/relationships/hyperlink" Target="mailto:gbouzeid@guidewire.com" TargetMode="External"/><Relationship Id="rId194" Type="http://schemas.openxmlformats.org/officeDocument/2006/relationships/hyperlink" Target="mailto:atomar@guidewire.com" TargetMode="External"/><Relationship Id="rId43" Type="http://schemas.openxmlformats.org/officeDocument/2006/relationships/hyperlink" Target="https://guidewirejira.atlassian.net/browse/GWCP-71718" TargetMode="External"/><Relationship Id="rId193" Type="http://schemas.openxmlformats.org/officeDocument/2006/relationships/hyperlink" Target="mailto:sapatil@guidewire.com" TargetMode="External"/><Relationship Id="rId46" Type="http://schemas.openxmlformats.org/officeDocument/2006/relationships/hyperlink" Target="mailto:mdykes@guidewire.com" TargetMode="External"/><Relationship Id="rId192" Type="http://schemas.openxmlformats.org/officeDocument/2006/relationships/hyperlink" Target="mailto:kjayachandran@guidewire.com" TargetMode="External"/><Relationship Id="rId45" Type="http://schemas.openxmlformats.org/officeDocument/2006/relationships/hyperlink" Target="https://guidewireconfluence.atlassian.net/wiki/spaces/ORANGE/pages/2392523671/The+Future+of+GWCP+Platform" TargetMode="External"/><Relationship Id="rId191" Type="http://schemas.openxmlformats.org/officeDocument/2006/relationships/hyperlink" Target="mailto:ddevalle@guidewire.com" TargetMode="External"/><Relationship Id="rId48" Type="http://schemas.openxmlformats.org/officeDocument/2006/relationships/hyperlink" Target="https://guidewire.aha.io/ideas/IPI-I-732" TargetMode="External"/><Relationship Id="rId187" Type="http://schemas.openxmlformats.org/officeDocument/2006/relationships/hyperlink" Target="https://guidewireconfluence.atlassian.net/wiki/spaces/~qmccombs/pages/929432457/Tenant+renaming+Immutable+tenant+id" TargetMode="External"/><Relationship Id="rId47" Type="http://schemas.openxmlformats.org/officeDocument/2006/relationships/hyperlink" Target="mailto:bsekar@guidewire.com" TargetMode="External"/><Relationship Id="rId186" Type="http://schemas.openxmlformats.org/officeDocument/2006/relationships/hyperlink" Target="mailto:qmccombs@guidewire.com" TargetMode="External"/><Relationship Id="rId185" Type="http://schemas.openxmlformats.org/officeDocument/2006/relationships/hyperlink" Target="mailto:atomar@guidewire.com" TargetMode="External"/><Relationship Id="rId49" Type="http://schemas.openxmlformats.org/officeDocument/2006/relationships/hyperlink" Target="mailto:gbouzeid@guidewire.com" TargetMode="External"/><Relationship Id="rId184" Type="http://schemas.openxmlformats.org/officeDocument/2006/relationships/hyperlink" Target="mailto:rasubramanian@guidewire.com" TargetMode="External"/><Relationship Id="rId189" Type="http://schemas.openxmlformats.org/officeDocument/2006/relationships/hyperlink" Target="https://guidewireconfluence.atlassian.net/wiki/spaces/ORANGE/pages/2046230805/Isolation+Zones+Implementation+rfc-19" TargetMode="External"/><Relationship Id="rId188" Type="http://schemas.openxmlformats.org/officeDocument/2006/relationships/hyperlink" Target="mailto:qmccombs@guidewire.com" TargetMode="External"/><Relationship Id="rId31" Type="http://schemas.openxmlformats.org/officeDocument/2006/relationships/hyperlink" Target="https://guidewire.slack.com/archives/C0657SL7YNQ/p1777316569060159" TargetMode="External"/><Relationship Id="rId30" Type="http://schemas.openxmlformats.org/officeDocument/2006/relationships/hyperlink" Target="mailto:ujain@guidewire.com" TargetMode="External"/><Relationship Id="rId33" Type="http://schemas.openxmlformats.org/officeDocument/2006/relationships/hyperlink" Target="mailto:ddenton@guidewire.com" TargetMode="External"/><Relationship Id="rId183" Type="http://schemas.openxmlformats.org/officeDocument/2006/relationships/hyperlink" Target="mailto:rasubramanian@guidewire.com" TargetMode="External"/><Relationship Id="rId32" Type="http://schemas.openxmlformats.org/officeDocument/2006/relationships/hyperlink" Target="mailto:jcooper@guidewire.com" TargetMode="External"/><Relationship Id="rId182" Type="http://schemas.openxmlformats.org/officeDocument/2006/relationships/hyperlink" Target="mailto:rasubramanian@guidewire.com" TargetMode="External"/><Relationship Id="rId35" Type="http://schemas.openxmlformats.org/officeDocument/2006/relationships/hyperlink" Target="mailto:gbouzeid@guidewire.com" TargetMode="External"/><Relationship Id="rId181" Type="http://schemas.openxmlformats.org/officeDocument/2006/relationships/hyperlink" Target="mailto:rasubramanian@guidewire.com" TargetMode="External"/><Relationship Id="rId34" Type="http://schemas.openxmlformats.org/officeDocument/2006/relationships/hyperlink" Target="https://guidewireconfluence.atlassian.net/wiki/spaces/~qmccombs/pages/1170341911/Tenant+v3" TargetMode="External"/><Relationship Id="rId180" Type="http://schemas.openxmlformats.org/officeDocument/2006/relationships/hyperlink" Target="mailto:lowen@guidewire.com" TargetMode="External"/><Relationship Id="rId37" Type="http://schemas.openxmlformats.org/officeDocument/2006/relationships/hyperlink" Target="mailto:gbouzeid@guidewire.com" TargetMode="External"/><Relationship Id="rId176" Type="http://schemas.openxmlformats.org/officeDocument/2006/relationships/hyperlink" Target="mailto:mdykes@guidewire.com" TargetMode="External"/><Relationship Id="rId36" Type="http://schemas.openxmlformats.org/officeDocument/2006/relationships/hyperlink" Target="https://guidewireinternal.ideas.aha.io/ideas/IPI-I-933" TargetMode="External"/><Relationship Id="rId175" Type="http://schemas.openxmlformats.org/officeDocument/2006/relationships/hyperlink" Target="mailto:rasubramanian@guidewire.com" TargetMode="External"/><Relationship Id="rId39" Type="http://schemas.openxmlformats.org/officeDocument/2006/relationships/hyperlink" Target="mailto:gbouzeid@guidewire.com" TargetMode="External"/><Relationship Id="rId174" Type="http://schemas.openxmlformats.org/officeDocument/2006/relationships/hyperlink" Target="mailto:lowen@guidewire.com" TargetMode="External"/><Relationship Id="rId38" Type="http://schemas.openxmlformats.org/officeDocument/2006/relationships/hyperlink" Target="mailto:gbouzeid@guidewire.com" TargetMode="External"/><Relationship Id="rId173" Type="http://schemas.openxmlformats.org/officeDocument/2006/relationships/hyperlink" Target="mailto:rasubramanian@guidewire.com" TargetMode="External"/><Relationship Id="rId179" Type="http://schemas.openxmlformats.org/officeDocument/2006/relationships/hyperlink" Target="mailto:rasubramanian@guidewire.com" TargetMode="External"/><Relationship Id="rId178" Type="http://schemas.openxmlformats.org/officeDocument/2006/relationships/hyperlink" Target="mailto:lowen@guidewire.com" TargetMode="External"/><Relationship Id="rId177" Type="http://schemas.openxmlformats.org/officeDocument/2006/relationships/hyperlink" Target="mailto:rasubramanian@guidewire.com" TargetMode="External"/><Relationship Id="rId20" Type="http://schemas.openxmlformats.org/officeDocument/2006/relationships/hyperlink" Target="https://guidewire.aha.io/ideas/ideas/IPI-I-1789" TargetMode="External"/><Relationship Id="rId22" Type="http://schemas.openxmlformats.org/officeDocument/2006/relationships/hyperlink" Target="https://guidewire.aha.io/ideas/ideas/IPI-I-1129" TargetMode="External"/><Relationship Id="rId21" Type="http://schemas.openxmlformats.org/officeDocument/2006/relationships/hyperlink" Target="mailto:gbouzeid@guidewire.com" TargetMode="External"/><Relationship Id="rId24" Type="http://schemas.openxmlformats.org/officeDocument/2006/relationships/hyperlink" Target="mailto:kjayachandran@guidewire.com" TargetMode="External"/><Relationship Id="rId23" Type="http://schemas.openxmlformats.org/officeDocument/2006/relationships/hyperlink" Target="mailto:gbouzeid@guidewire.com" TargetMode="External"/><Relationship Id="rId26" Type="http://schemas.openxmlformats.org/officeDocument/2006/relationships/hyperlink" Target="mailto:jguionnet@guidewire.com" TargetMode="External"/><Relationship Id="rId25" Type="http://schemas.openxmlformats.org/officeDocument/2006/relationships/hyperlink" Target="mailto:jguionnet@guidewire.com" TargetMode="External"/><Relationship Id="rId28" Type="http://schemas.openxmlformats.org/officeDocument/2006/relationships/hyperlink" Target="mailto:jguionnet@guidewire.com" TargetMode="External"/><Relationship Id="rId27" Type="http://schemas.openxmlformats.org/officeDocument/2006/relationships/hyperlink" Target="mailto:dhsharma@guidewire.com" TargetMode="External"/><Relationship Id="rId29" Type="http://schemas.openxmlformats.org/officeDocument/2006/relationships/hyperlink" Target="mailto:mdykes@guidewire.com" TargetMode="External"/><Relationship Id="rId11" Type="http://schemas.openxmlformats.org/officeDocument/2006/relationships/hyperlink" Target="mailto:pflasinski@guidewire.com" TargetMode="External"/><Relationship Id="rId10" Type="http://schemas.openxmlformats.org/officeDocument/2006/relationships/hyperlink" Target="mailto:pdomider@guidewire.com" TargetMode="External"/><Relationship Id="rId13" Type="http://schemas.openxmlformats.org/officeDocument/2006/relationships/hyperlink" Target="mailto:pdomider@guidewire.com" TargetMode="External"/><Relationship Id="rId12" Type="http://schemas.openxmlformats.org/officeDocument/2006/relationships/hyperlink" Target="https://guidewire.aha.io/epics/GCCDBISO-E-28" TargetMode="External"/><Relationship Id="rId15" Type="http://schemas.openxmlformats.org/officeDocument/2006/relationships/hyperlink" Target="https://guidewireconfluence.atlassian.net/wiki/spaces/ORANGE/pages/2890563810/Aurora+PostgreSQL+Upgrade+Plan+v15+v18" TargetMode="External"/><Relationship Id="rId198" Type="http://schemas.openxmlformats.org/officeDocument/2006/relationships/vmlDrawing" Target="../drawings/vmlDrawing1.vml"/><Relationship Id="rId14" Type="http://schemas.openxmlformats.org/officeDocument/2006/relationships/hyperlink" Target="mailto:pflasinski@guidewire.com" TargetMode="External"/><Relationship Id="rId197" Type="http://schemas.openxmlformats.org/officeDocument/2006/relationships/drawing" Target="../drawings/drawing1.xml"/><Relationship Id="rId17" Type="http://schemas.openxmlformats.org/officeDocument/2006/relationships/hyperlink" Target="https://guidewire.aha.io/ideas/ideas/IPI-I-1698" TargetMode="External"/><Relationship Id="rId196" Type="http://schemas.openxmlformats.org/officeDocument/2006/relationships/hyperlink" Target="https://erasethewaste.ideas.aha.io/ideas/EW-I-63." TargetMode="External"/><Relationship Id="rId16" Type="http://schemas.openxmlformats.org/officeDocument/2006/relationships/hyperlink" Target="mailto:pdomider@guidewire.com" TargetMode="External"/><Relationship Id="rId195" Type="http://schemas.openxmlformats.org/officeDocument/2006/relationships/hyperlink" Target="mailto:amsrinivas@guidewire.com" TargetMode="External"/><Relationship Id="rId19" Type="http://schemas.openxmlformats.org/officeDocument/2006/relationships/hyperlink" Target="mailto:pflasinski@guidewire.com" TargetMode="External"/><Relationship Id="rId18" Type="http://schemas.openxmlformats.org/officeDocument/2006/relationships/hyperlink" Target="mailto:gbouzeid@guidewire.com" TargetMode="External"/><Relationship Id="rId84" Type="http://schemas.openxmlformats.org/officeDocument/2006/relationships/hyperlink" Target="mailto:amsrinivas@guidewire.com" TargetMode="External"/><Relationship Id="rId83" Type="http://schemas.openxmlformats.org/officeDocument/2006/relationships/hyperlink" Target="mailto:atomar@guidewire.com" TargetMode="External"/><Relationship Id="rId86" Type="http://schemas.openxmlformats.org/officeDocument/2006/relationships/hyperlink" Target="mailto:atomar@guidewire.com" TargetMode="External"/><Relationship Id="rId85" Type="http://schemas.openxmlformats.org/officeDocument/2006/relationships/hyperlink" Target="mailto:pdomider@guidewire.com" TargetMode="External"/><Relationship Id="rId88" Type="http://schemas.openxmlformats.org/officeDocument/2006/relationships/hyperlink" Target="mailto:lmakowski@guidewire.com" TargetMode="External"/><Relationship Id="rId150" Type="http://schemas.openxmlformats.org/officeDocument/2006/relationships/hyperlink" Target="mailto:mdykes@guidewire.com" TargetMode="External"/><Relationship Id="rId87" Type="http://schemas.openxmlformats.org/officeDocument/2006/relationships/hyperlink" Target="mailto:amsrinivas@guidewire.com" TargetMode="External"/><Relationship Id="rId89" Type="http://schemas.openxmlformats.org/officeDocument/2006/relationships/hyperlink" Target="mailto:atomar@guidewire.com" TargetMode="External"/><Relationship Id="rId80" Type="http://schemas.openxmlformats.org/officeDocument/2006/relationships/hyperlink" Target="mailto:amsrinivas@guidewire.com" TargetMode="External"/><Relationship Id="rId82" Type="http://schemas.openxmlformats.org/officeDocument/2006/relationships/hyperlink" Target="mailto:amsrinivas@guidewire.com" TargetMode="External"/><Relationship Id="rId81" Type="http://schemas.openxmlformats.org/officeDocument/2006/relationships/hyperlink" Target="mailto:atomar@guidewire.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mailto:cpetluri@guidewire.com" TargetMode="External"/><Relationship Id="rId4" Type="http://schemas.openxmlformats.org/officeDocument/2006/relationships/hyperlink" Target="mailto:pdomider@guidewire.com" TargetMode="External"/><Relationship Id="rId148" Type="http://schemas.openxmlformats.org/officeDocument/2006/relationships/hyperlink" Target="mailto:mdykes@guidewire.com" TargetMode="External"/><Relationship Id="rId9" Type="http://schemas.openxmlformats.org/officeDocument/2006/relationships/hyperlink" Target="https://guidewire.aha.io/ideas/IPI-I-1233" TargetMode="External"/><Relationship Id="rId143" Type="http://schemas.openxmlformats.org/officeDocument/2006/relationships/hyperlink" Target="mailto:cpetluri@guidewire.com" TargetMode="External"/><Relationship Id="rId142" Type="http://schemas.openxmlformats.org/officeDocument/2006/relationships/hyperlink" Target="https://docs.google.com/document/d/1d1HmYN1NpI4C_8w5iyslf6sucsjLR7mclGOzEdSVZTc/edit?tab=t.z3l4aylls6hs" TargetMode="External"/><Relationship Id="rId141" Type="http://schemas.openxmlformats.org/officeDocument/2006/relationships/hyperlink" Target="mailto:msmriti@guidewire.com" TargetMode="External"/><Relationship Id="rId140" Type="http://schemas.openxmlformats.org/officeDocument/2006/relationships/hyperlink" Target="https://docs.google.com/document/d/1d1HmYN1NpI4C_8w5iyslf6sucsjLR7mclGOzEdSVZTc/edit?tab=t.z3l4aylls6hs" TargetMode="External"/><Relationship Id="rId5" Type="http://schemas.openxmlformats.org/officeDocument/2006/relationships/hyperlink" Target="mailto:pflasinski@guidewire.com" TargetMode="External"/><Relationship Id="rId147" Type="http://schemas.openxmlformats.org/officeDocument/2006/relationships/hyperlink" Target="mailto:cpetluri@guidewire.com" TargetMode="External"/><Relationship Id="rId6" Type="http://schemas.openxmlformats.org/officeDocument/2006/relationships/hyperlink" Target="https://docs.google.com/document/d/1sGAXnIbOqPrNpPqY1ObRSAGC5h0Z4x8_T1Bg1RjcvDk/edit?tab=t.0" TargetMode="External"/><Relationship Id="rId146" Type="http://schemas.openxmlformats.org/officeDocument/2006/relationships/hyperlink" Target="mailto:mdykes@guidewire.com" TargetMode="External"/><Relationship Id="rId7" Type="http://schemas.openxmlformats.org/officeDocument/2006/relationships/hyperlink" Target="mailto:gbouzeid@guidewire.com" TargetMode="External"/><Relationship Id="rId145" Type="http://schemas.openxmlformats.org/officeDocument/2006/relationships/hyperlink" Target="mailto:cpetluri@guidewire.com" TargetMode="External"/><Relationship Id="rId8" Type="http://schemas.openxmlformats.org/officeDocument/2006/relationships/hyperlink" Target="mailto:pflasinski@guidewire.com" TargetMode="External"/><Relationship Id="rId144" Type="http://schemas.openxmlformats.org/officeDocument/2006/relationships/hyperlink" Target="mailto:mdykes@guidewire.com" TargetMode="External"/><Relationship Id="rId73" Type="http://schemas.openxmlformats.org/officeDocument/2006/relationships/hyperlink" Target="https://guidewireconfluence.atlassian.net/wiki/spaces/CCS/pages/2430402590/BYOA+-+EA+GA+Deliverables+to+be+reviewed+in+Jan+2026" TargetMode="External"/><Relationship Id="rId72" Type="http://schemas.openxmlformats.org/officeDocument/2006/relationships/hyperlink" Target="mailto:pflasinski@guidewire.com" TargetMode="External"/><Relationship Id="rId75" Type="http://schemas.openxmlformats.org/officeDocument/2006/relationships/hyperlink" Target="mailto:coreilly@guidewire.com" TargetMode="External"/><Relationship Id="rId74" Type="http://schemas.openxmlformats.org/officeDocument/2006/relationships/hyperlink" Target="mailto:mzawadzka@guidewire.com" TargetMode="External"/><Relationship Id="rId77" Type="http://schemas.openxmlformats.org/officeDocument/2006/relationships/hyperlink" Target="mailto:amkhanna@guidewire.com" TargetMode="External"/><Relationship Id="rId76" Type="http://schemas.openxmlformats.org/officeDocument/2006/relationships/hyperlink" Target="mailto:amkhanna@guidewire.com" TargetMode="External"/><Relationship Id="rId79" Type="http://schemas.openxmlformats.org/officeDocument/2006/relationships/hyperlink" Target="mailto:atomar@guidewire.com" TargetMode="External"/><Relationship Id="rId78" Type="http://schemas.openxmlformats.org/officeDocument/2006/relationships/hyperlink" Target="mailto:amkhanna@guidewire.com" TargetMode="External"/><Relationship Id="rId71" Type="http://schemas.openxmlformats.org/officeDocument/2006/relationships/hyperlink" Target="mailto:atomar@guidewire.com" TargetMode="External"/><Relationship Id="rId70" Type="http://schemas.openxmlformats.org/officeDocument/2006/relationships/hyperlink" Target="mailto:pflasinski@guidewire.com" TargetMode="External"/><Relationship Id="rId139" Type="http://schemas.openxmlformats.org/officeDocument/2006/relationships/hyperlink" Target="mailto:msmriti@guidewire.com" TargetMode="External"/><Relationship Id="rId138" Type="http://schemas.openxmlformats.org/officeDocument/2006/relationships/hyperlink" Target="https://docs.google.com/document/d/1d1HmYN1NpI4C_8w5iyslf6sucsjLR7mclGOzEdSVZTc/edit?tab=t.z3l4aylls6hs" TargetMode="External"/><Relationship Id="rId137" Type="http://schemas.openxmlformats.org/officeDocument/2006/relationships/hyperlink" Target="mailto:msmriti@guidewire.com" TargetMode="External"/><Relationship Id="rId132" Type="http://schemas.openxmlformats.org/officeDocument/2006/relationships/hyperlink" Target="mailto:gandes@guidewire.com" TargetMode="External"/><Relationship Id="rId131" Type="http://schemas.openxmlformats.org/officeDocument/2006/relationships/hyperlink" Target="https://guidewireconfluence.atlassian.net/wiki/spaces/CCS/pages/2953904216/rfc-141+Accountable+Resource+Lifecycles" TargetMode="External"/><Relationship Id="rId130" Type="http://schemas.openxmlformats.org/officeDocument/2006/relationships/hyperlink" Target="mailto:lowen@guidewire.com" TargetMode="External"/><Relationship Id="rId136" Type="http://schemas.openxmlformats.org/officeDocument/2006/relationships/hyperlink" Target="https://docs.google.com/document/d/1d1HmYN1NpI4C_8w5iyslf6sucsjLR7mclGOzEdSVZTc/edit?tab=t.z3l4aylls6hs" TargetMode="External"/><Relationship Id="rId135" Type="http://schemas.openxmlformats.org/officeDocument/2006/relationships/hyperlink" Target="mailto:msmriti@guidewire.com" TargetMode="External"/><Relationship Id="rId134" Type="http://schemas.openxmlformats.org/officeDocument/2006/relationships/hyperlink" Target="mailto:ddevalle@guidewire.com" TargetMode="External"/><Relationship Id="rId133" Type="http://schemas.openxmlformats.org/officeDocument/2006/relationships/hyperlink" Target="mailto:gandes@guidewire.com" TargetMode="External"/><Relationship Id="rId62" Type="http://schemas.openxmlformats.org/officeDocument/2006/relationships/hyperlink" Target="https://github.com/aws-samples/sample-eks-upgrade-skill" TargetMode="External"/><Relationship Id="rId61" Type="http://schemas.openxmlformats.org/officeDocument/2006/relationships/hyperlink" Target="mailto:gs@guidewire.com" TargetMode="External"/><Relationship Id="rId64" Type="http://schemas.openxmlformats.org/officeDocument/2006/relationships/hyperlink" Target="mailto:pflasinski@guidewire.com" TargetMode="External"/><Relationship Id="rId63" Type="http://schemas.openxmlformats.org/officeDocument/2006/relationships/hyperlink" Target="mailto:apers@guidewire.com" TargetMode="External"/><Relationship Id="rId66" Type="http://schemas.openxmlformats.org/officeDocument/2006/relationships/hyperlink" Target="mailto:pflasinski@guidewire.com" TargetMode="External"/><Relationship Id="rId172" Type="http://schemas.openxmlformats.org/officeDocument/2006/relationships/hyperlink" Target="mailto:mrusso@guidewire.com" TargetMode="External"/><Relationship Id="rId65" Type="http://schemas.openxmlformats.org/officeDocument/2006/relationships/hyperlink" Target="mailto:apers@guidewire.com" TargetMode="External"/><Relationship Id="rId171" Type="http://schemas.openxmlformats.org/officeDocument/2006/relationships/hyperlink" Target="mailto:rasubramanian@guidewire.com" TargetMode="External"/><Relationship Id="rId68" Type="http://schemas.openxmlformats.org/officeDocument/2006/relationships/hyperlink" Target="mailto:pflasinski@guidewire.com" TargetMode="External"/><Relationship Id="rId170" Type="http://schemas.openxmlformats.org/officeDocument/2006/relationships/hyperlink" Target="mailto:atomar@guidewire.com" TargetMode="External"/><Relationship Id="rId67" Type="http://schemas.openxmlformats.org/officeDocument/2006/relationships/hyperlink" Target="mailto:apers@guidewire.com" TargetMode="External"/><Relationship Id="rId60" Type="http://schemas.openxmlformats.org/officeDocument/2006/relationships/hyperlink" Target="https://github.com/anoop2811/kubevela/blob/kep-cluster-planes/design/vela-core/kep-cluster-infrastructure.md" TargetMode="External"/><Relationship Id="rId165" Type="http://schemas.openxmlformats.org/officeDocument/2006/relationships/hyperlink" Target="mailto:rasubramanian@guidewire.com" TargetMode="External"/><Relationship Id="rId69" Type="http://schemas.openxmlformats.org/officeDocument/2006/relationships/hyperlink" Target="mailto:kwcislo@guidewire.com" TargetMode="External"/><Relationship Id="rId164" Type="http://schemas.openxmlformats.org/officeDocument/2006/relationships/hyperlink" Target="mailto:mdykes@guidewire.com" TargetMode="External"/><Relationship Id="rId163" Type="http://schemas.openxmlformats.org/officeDocument/2006/relationships/hyperlink" Target="mailto:cpetluri@guidewire.com" TargetMode="External"/><Relationship Id="rId162" Type="http://schemas.openxmlformats.org/officeDocument/2006/relationships/hyperlink" Target="mailto:mdykes@guidewire.com" TargetMode="External"/><Relationship Id="rId169" Type="http://schemas.openxmlformats.org/officeDocument/2006/relationships/hyperlink" Target="mailto:rasubramanian@guidewire.com" TargetMode="External"/><Relationship Id="rId168" Type="http://schemas.openxmlformats.org/officeDocument/2006/relationships/hyperlink" Target="mailto:lowen@guidewire.com" TargetMode="External"/><Relationship Id="rId167" Type="http://schemas.openxmlformats.org/officeDocument/2006/relationships/hyperlink" Target="mailto:rasubramanian@guidewire.com" TargetMode="External"/><Relationship Id="rId166" Type="http://schemas.openxmlformats.org/officeDocument/2006/relationships/hyperlink" Target="mailto:lowen@guidewire.com" TargetMode="External"/><Relationship Id="rId51" Type="http://schemas.openxmlformats.org/officeDocument/2006/relationships/hyperlink" Target="mailto:gbouzeid@guidewire.com" TargetMode="External"/><Relationship Id="rId50" Type="http://schemas.openxmlformats.org/officeDocument/2006/relationships/hyperlink" Target="https://guidewireinternal.ideas.aha.io/ideas/IPI-I-915" TargetMode="External"/><Relationship Id="rId53" Type="http://schemas.openxmlformats.org/officeDocument/2006/relationships/hyperlink" Target="mailto:gs@guidewire.com" TargetMode="External"/><Relationship Id="rId52" Type="http://schemas.openxmlformats.org/officeDocument/2006/relationships/hyperlink" Target="https://guidewire.aha.io/features/LNM-201" TargetMode="External"/><Relationship Id="rId55" Type="http://schemas.openxmlformats.org/officeDocument/2006/relationships/hyperlink" Target="https://guidewire.slack.com/archives/G01CVBB1K16/p1776268926217409" TargetMode="External"/><Relationship Id="rId161" Type="http://schemas.openxmlformats.org/officeDocument/2006/relationships/hyperlink" Target="mailto:cpetluri@guidewire.com" TargetMode="External"/><Relationship Id="rId54" Type="http://schemas.openxmlformats.org/officeDocument/2006/relationships/hyperlink" Target="mailto:srajashekaran@guidewire.com" TargetMode="External"/><Relationship Id="rId160" Type="http://schemas.openxmlformats.org/officeDocument/2006/relationships/hyperlink" Target="mailto:mdykes@guidewire.com" TargetMode="External"/><Relationship Id="rId57" Type="http://schemas.openxmlformats.org/officeDocument/2006/relationships/hyperlink" Target="mailto:srajashekaran@guidewire.com" TargetMode="External"/><Relationship Id="rId56" Type="http://schemas.openxmlformats.org/officeDocument/2006/relationships/hyperlink" Target="mailto:gs@guidewire.com" TargetMode="External"/><Relationship Id="rId159" Type="http://schemas.openxmlformats.org/officeDocument/2006/relationships/hyperlink" Target="mailto:cpetluri@guidewire.com" TargetMode="External"/><Relationship Id="rId59" Type="http://schemas.openxmlformats.org/officeDocument/2006/relationships/hyperlink" Target="mailto:srajashekaran@guidewire.com" TargetMode="External"/><Relationship Id="rId154" Type="http://schemas.openxmlformats.org/officeDocument/2006/relationships/hyperlink" Target="mailto:mdykes@guidewire.com" TargetMode="External"/><Relationship Id="rId58" Type="http://schemas.openxmlformats.org/officeDocument/2006/relationships/hyperlink" Target="mailto:gs@guidewire.com" TargetMode="External"/><Relationship Id="rId153" Type="http://schemas.openxmlformats.org/officeDocument/2006/relationships/hyperlink" Target="mailto:cpetluri@guidewire.com" TargetMode="External"/><Relationship Id="rId152" Type="http://schemas.openxmlformats.org/officeDocument/2006/relationships/hyperlink" Target="mailto:mdykes@guidewire.com" TargetMode="External"/><Relationship Id="rId151" Type="http://schemas.openxmlformats.org/officeDocument/2006/relationships/hyperlink" Target="mailto:cpetluri@guidewire.com" TargetMode="External"/><Relationship Id="rId158" Type="http://schemas.openxmlformats.org/officeDocument/2006/relationships/hyperlink" Target="mailto:mdykes@guidewire.com" TargetMode="External"/><Relationship Id="rId157" Type="http://schemas.openxmlformats.org/officeDocument/2006/relationships/hyperlink" Target="mailto:cpetluri@guidewire.com" TargetMode="External"/><Relationship Id="rId156" Type="http://schemas.openxmlformats.org/officeDocument/2006/relationships/hyperlink" Target="mailto:mdykes@guidewire.com" TargetMode="External"/><Relationship Id="rId155" Type="http://schemas.openxmlformats.org/officeDocument/2006/relationships/hyperlink" Target="mailto:cpetluri@guidewire.com" TargetMode="External"/><Relationship Id="rId107" Type="http://schemas.openxmlformats.org/officeDocument/2006/relationships/hyperlink" Target="mailto:mzajac@guidewire.com" TargetMode="External"/><Relationship Id="rId106" Type="http://schemas.openxmlformats.org/officeDocument/2006/relationships/hyperlink" Target="mailto:mzajac@guidewire.com" TargetMode="External"/><Relationship Id="rId105" Type="http://schemas.openxmlformats.org/officeDocument/2006/relationships/hyperlink" Target="mailto:coreilly@guidewire.com" TargetMode="External"/><Relationship Id="rId104" Type="http://schemas.openxmlformats.org/officeDocument/2006/relationships/hyperlink" Target="mailto:dkravchenko@guidewire.com" TargetMode="External"/><Relationship Id="rId109" Type="http://schemas.openxmlformats.org/officeDocument/2006/relationships/hyperlink" Target="mailto:dhsharma@guidewire.com" TargetMode="External"/><Relationship Id="rId108" Type="http://schemas.openxmlformats.org/officeDocument/2006/relationships/hyperlink" Target="mailto:mzajac@guidewire.com" TargetMode="External"/><Relationship Id="rId103" Type="http://schemas.openxmlformats.org/officeDocument/2006/relationships/hyperlink" Target="mailto:atomar@guidewire.com" TargetMode="External"/><Relationship Id="rId102" Type="http://schemas.openxmlformats.org/officeDocument/2006/relationships/hyperlink" Target="mailto:atomar@guidewire.com" TargetMode="External"/><Relationship Id="rId101" Type="http://schemas.openxmlformats.org/officeDocument/2006/relationships/hyperlink" Target="mailto:atomar@guidewire.com" TargetMode="External"/><Relationship Id="rId100" Type="http://schemas.openxmlformats.org/officeDocument/2006/relationships/hyperlink" Target="mailto:atomar@guidewire.com" TargetMode="External"/><Relationship Id="rId129" Type="http://schemas.openxmlformats.org/officeDocument/2006/relationships/hyperlink" Target="mailto:mdykes@guidewire.com" TargetMode="External"/><Relationship Id="rId128" Type="http://schemas.openxmlformats.org/officeDocument/2006/relationships/hyperlink" Target="https://guidewireconfluence.atlassian.net/wiki/spaces/CCS/pages/2268070095/rfc-106+WIP+Kubernetes+Object+Quotas" TargetMode="External"/><Relationship Id="rId127" Type="http://schemas.openxmlformats.org/officeDocument/2006/relationships/hyperlink" Target="mailto:lowen@guidewire.com" TargetMode="External"/><Relationship Id="rId126" Type="http://schemas.openxmlformats.org/officeDocument/2006/relationships/hyperlink" Target="mailto:mdykes@guidewire.com" TargetMode="External"/><Relationship Id="rId121" Type="http://schemas.openxmlformats.org/officeDocument/2006/relationships/hyperlink" Target="mailto:atomar@guidewire.com" TargetMode="External"/><Relationship Id="rId120" Type="http://schemas.openxmlformats.org/officeDocument/2006/relationships/hyperlink" Target="mailto:jdobson@guidewire.com" TargetMode="External"/><Relationship Id="rId125" Type="http://schemas.openxmlformats.org/officeDocument/2006/relationships/hyperlink" Target="mailto:lmakowski@guidewire.com" TargetMode="External"/><Relationship Id="rId124" Type="http://schemas.openxmlformats.org/officeDocument/2006/relationships/hyperlink" Target="mailto:gjosefsberg@guidewire.com" TargetMode="External"/><Relationship Id="rId123" Type="http://schemas.openxmlformats.org/officeDocument/2006/relationships/hyperlink" Target="mailto:lmakowski@guidewire.com" TargetMode="External"/><Relationship Id="rId122" Type="http://schemas.openxmlformats.org/officeDocument/2006/relationships/hyperlink" Target="mailto:lmakowski@guidewire.com" TargetMode="External"/><Relationship Id="rId95" Type="http://schemas.openxmlformats.org/officeDocument/2006/relationships/hyperlink" Target="mailto:atomar@guidewire.com" TargetMode="External"/><Relationship Id="rId94" Type="http://schemas.openxmlformats.org/officeDocument/2006/relationships/hyperlink" Target="mailto:rasubramanian@guidewire.com" TargetMode="External"/><Relationship Id="rId97" Type="http://schemas.openxmlformats.org/officeDocument/2006/relationships/hyperlink" Target="mailto:amsrinivas@guidewire.com" TargetMode="External"/><Relationship Id="rId96" Type="http://schemas.openxmlformats.org/officeDocument/2006/relationships/hyperlink" Target="mailto:atomar@guidewire.com" TargetMode="External"/><Relationship Id="rId99" Type="http://schemas.openxmlformats.org/officeDocument/2006/relationships/hyperlink" Target="mailto:atomar@guidewire.com" TargetMode="External"/><Relationship Id="rId98" Type="http://schemas.openxmlformats.org/officeDocument/2006/relationships/hyperlink" Target="mailto:atomar@guidewire.com" TargetMode="External"/><Relationship Id="rId91" Type="http://schemas.openxmlformats.org/officeDocument/2006/relationships/hyperlink" Target="mailto:rasubramanian@guidewire.com" TargetMode="External"/><Relationship Id="rId90" Type="http://schemas.openxmlformats.org/officeDocument/2006/relationships/hyperlink" Target="mailto:amsrinivas@guidewire.com" TargetMode="External"/><Relationship Id="rId93" Type="http://schemas.openxmlformats.org/officeDocument/2006/relationships/hyperlink" Target="mailto:amsrinivas@guidewire.com" TargetMode="External"/><Relationship Id="rId92" Type="http://schemas.openxmlformats.org/officeDocument/2006/relationships/hyperlink" Target="mailto:atomar@guidewire.com" TargetMode="External"/><Relationship Id="rId118" Type="http://schemas.openxmlformats.org/officeDocument/2006/relationships/hyperlink" Target="mailto:dhsharma@guidewire.com" TargetMode="External"/><Relationship Id="rId117" Type="http://schemas.openxmlformats.org/officeDocument/2006/relationships/hyperlink" Target="mailto:dhsharma@guidewire.com" TargetMode="External"/><Relationship Id="rId116" Type="http://schemas.openxmlformats.org/officeDocument/2006/relationships/hyperlink" Target="mailto:dhsharma@guidewire.com" TargetMode="External"/><Relationship Id="rId115" Type="http://schemas.openxmlformats.org/officeDocument/2006/relationships/hyperlink" Target="mailto:dhsharma@guidewire.com" TargetMode="External"/><Relationship Id="rId119" Type="http://schemas.openxmlformats.org/officeDocument/2006/relationships/hyperlink" Target="https://docs.google.com/document/d/14P_YyGoEoHdQ_jTAZC3ra0OKPLaZn-ZB2gQru-sqocs/edit?tab=t.0" TargetMode="External"/><Relationship Id="rId110" Type="http://schemas.openxmlformats.org/officeDocument/2006/relationships/hyperlink" Target="mailto:dhsharma@guidewire.com" TargetMode="External"/><Relationship Id="rId114" Type="http://schemas.openxmlformats.org/officeDocument/2006/relationships/hyperlink" Target="mailto:dhsharma@guidewire.com" TargetMode="External"/><Relationship Id="rId113" Type="http://schemas.openxmlformats.org/officeDocument/2006/relationships/hyperlink" Target="mailto:dhsharma@guidewire.com" TargetMode="External"/><Relationship Id="rId112" Type="http://schemas.openxmlformats.org/officeDocument/2006/relationships/hyperlink" Target="mailto:dhsharma@guidewire.com" TargetMode="External"/><Relationship Id="rId111" Type="http://schemas.openxmlformats.org/officeDocument/2006/relationships/hyperlink" Target="mailto:dhsharma@guidewire.com" TargetMode="Externa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31" Type="http://schemas.openxmlformats.org/officeDocument/2006/relationships/hyperlink" Target="mailto:kjayachandran@guidewire.com" TargetMode="External"/><Relationship Id="rId30" Type="http://schemas.openxmlformats.org/officeDocument/2006/relationships/hyperlink" Target="mailto:kwcislo@guidewire.com" TargetMode="External"/><Relationship Id="rId33" Type="http://schemas.openxmlformats.org/officeDocument/2006/relationships/hyperlink" Target="mailto:mzawadzka@guidewire.com" TargetMode="External"/><Relationship Id="rId32" Type="http://schemas.openxmlformats.org/officeDocument/2006/relationships/hyperlink" Target="mailto:lmakowski@guidewire.com" TargetMode="External"/><Relationship Id="rId35" Type="http://schemas.openxmlformats.org/officeDocument/2006/relationships/hyperlink" Target="mailto:mdykes@guidewire.com" TargetMode="External"/><Relationship Id="rId34" Type="http://schemas.openxmlformats.org/officeDocument/2006/relationships/hyperlink" Target="mailto:msmriti@guidewire.com" TargetMode="External"/><Relationship Id="rId37" Type="http://schemas.openxmlformats.org/officeDocument/2006/relationships/hyperlink" Target="mailto:pdomider@guidewire.com" TargetMode="External"/><Relationship Id="rId36" Type="http://schemas.openxmlformats.org/officeDocument/2006/relationships/hyperlink" Target="mailto:mzajac@guidewire.com" TargetMode="External"/><Relationship Id="rId39" Type="http://schemas.openxmlformats.org/officeDocument/2006/relationships/hyperlink" Target="mailto:rasubramanian@guidewire.com" TargetMode="External"/><Relationship Id="rId38" Type="http://schemas.openxmlformats.org/officeDocument/2006/relationships/hyperlink" Target="mailto:qmccombs@guidewire.com" TargetMode="External"/><Relationship Id="rId20" Type="http://schemas.openxmlformats.org/officeDocument/2006/relationships/hyperlink" Target="mailto:dhsharma@guidewire.com" TargetMode="External"/><Relationship Id="rId22" Type="http://schemas.openxmlformats.org/officeDocument/2006/relationships/hyperlink" Target="mailto:dkravchenko@guidewire.com" TargetMode="External"/><Relationship Id="rId21" Type="http://schemas.openxmlformats.org/officeDocument/2006/relationships/hyperlink" Target="mailto:ddevalle@guidewire.com" TargetMode="External"/><Relationship Id="rId24" Type="http://schemas.openxmlformats.org/officeDocument/2006/relationships/hyperlink" Target="mailto:gbouzeid@guidewire.com" TargetMode="External"/><Relationship Id="rId23" Type="http://schemas.openxmlformats.org/officeDocument/2006/relationships/hyperlink" Target="mailto:gjosefsberg@guidewire.com" TargetMode="External"/><Relationship Id="rId26" Type="http://schemas.openxmlformats.org/officeDocument/2006/relationships/hyperlink" Target="mailto:gs@guidewire.com" TargetMode="External"/><Relationship Id="rId25" Type="http://schemas.openxmlformats.org/officeDocument/2006/relationships/hyperlink" Target="mailto:gandes@guidewire.com" TargetMode="External"/><Relationship Id="rId28" Type="http://schemas.openxmlformats.org/officeDocument/2006/relationships/hyperlink" Target="mailto:jcooper@guidewire.com" TargetMode="External"/><Relationship Id="rId27" Type="http://schemas.openxmlformats.org/officeDocument/2006/relationships/hyperlink" Target="mailto:jdobson@guidewire.com" TargetMode="External"/><Relationship Id="rId29" Type="http://schemas.openxmlformats.org/officeDocument/2006/relationships/hyperlink" Target="mailto:jguionnet@guidewire.com" TargetMode="External"/><Relationship Id="rId11" Type="http://schemas.openxmlformats.org/officeDocument/2006/relationships/hyperlink" Target="mailto:mzajac@guidewire.com" TargetMode="External"/><Relationship Id="rId10" Type="http://schemas.openxmlformats.org/officeDocument/2006/relationships/hyperlink" Target="mailto:msmriti@guidewire.com" TargetMode="External"/><Relationship Id="rId13" Type="http://schemas.openxmlformats.org/officeDocument/2006/relationships/hyperlink" Target="mailto:qmccombs@guidewire.com" TargetMode="External"/><Relationship Id="rId12" Type="http://schemas.openxmlformats.org/officeDocument/2006/relationships/hyperlink" Target="mailto:pdomider@guidewire.com" TargetMode="External"/><Relationship Id="rId15" Type="http://schemas.openxmlformats.org/officeDocument/2006/relationships/hyperlink" Target="mailto:amkhanna@guidewire.com" TargetMode="External"/><Relationship Id="rId14" Type="http://schemas.openxmlformats.org/officeDocument/2006/relationships/hyperlink" Target="mailto:rasubramanian@guidewire.com" TargetMode="External"/><Relationship Id="rId17" Type="http://schemas.openxmlformats.org/officeDocument/2006/relationships/hyperlink" Target="mailto:agopalakrishnan@guidewire.com" TargetMode="External"/><Relationship Id="rId16" Type="http://schemas.openxmlformats.org/officeDocument/2006/relationships/hyperlink" Target="mailto:apers@guidewire.com" TargetMode="External"/><Relationship Id="rId19" Type="http://schemas.openxmlformats.org/officeDocument/2006/relationships/hyperlink" Target="mailto:cpetluri@guidewire.com" TargetMode="External"/><Relationship Id="rId18" Type="http://schemas.openxmlformats.org/officeDocument/2006/relationships/hyperlink" Target="mailto:atomar@guidewire.com" TargetMode="Externa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hyperlink" Target="mailto:amkhanna@guidewire.com" TargetMode="External"/><Relationship Id="rId4" Type="http://schemas.openxmlformats.org/officeDocument/2006/relationships/hyperlink" Target="mailto:atomar@guidewire.com" TargetMode="External"/><Relationship Id="rId9" Type="http://schemas.openxmlformats.org/officeDocument/2006/relationships/hyperlink" Target="mailto:lmakowski@guidewire.com" TargetMode="External"/><Relationship Id="rId5" Type="http://schemas.openxmlformats.org/officeDocument/2006/relationships/hyperlink" Target="mailto:gbouzeid@guidewire.com" TargetMode="External"/><Relationship Id="rId6" Type="http://schemas.openxmlformats.org/officeDocument/2006/relationships/hyperlink" Target="mailto:gs@guidewire.com" TargetMode="External"/><Relationship Id="rId7" Type="http://schemas.openxmlformats.org/officeDocument/2006/relationships/hyperlink" Target="mailto:jdobson@guidewire.com" TargetMode="External"/><Relationship Id="rId8" Type="http://schemas.openxmlformats.org/officeDocument/2006/relationships/hyperlink" Target="mailto:jguionnet@guidewire.co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mailto:bkane@guidewire.com" TargetMode="External"/><Relationship Id="rId42" Type="http://schemas.openxmlformats.org/officeDocument/2006/relationships/hyperlink" Target="mailto:atomar@guidewire.com" TargetMode="External"/><Relationship Id="rId41" Type="http://schemas.openxmlformats.org/officeDocument/2006/relationships/hyperlink" Target="mailto:sgunda@guidewire.com" TargetMode="External"/><Relationship Id="rId44" Type="http://schemas.openxmlformats.org/officeDocument/2006/relationships/hyperlink" Target="mailto:mgage@guidewire.com" TargetMode="External"/><Relationship Id="rId43" Type="http://schemas.openxmlformats.org/officeDocument/2006/relationships/hyperlink" Target="mailto:jdobson@guidewire.com" TargetMode="External"/><Relationship Id="rId46" Type="http://schemas.openxmlformats.org/officeDocument/2006/relationships/hyperlink" Target="mailto:gbouzeid@guidewire.com" TargetMode="External"/><Relationship Id="rId45" Type="http://schemas.openxmlformats.org/officeDocument/2006/relationships/hyperlink" Target="https://docs.google.com/document/d/13oIV-UkOePtl3_hj5NQjiPsJrzNiLMVmN3X_liMygPU/edit?tab=t.0" TargetMode="External"/><Relationship Id="rId48" Type="http://schemas.openxmlformats.org/officeDocument/2006/relationships/hyperlink" Target="mailto:jguionnet@guidewire.com" TargetMode="External"/><Relationship Id="rId47" Type="http://schemas.openxmlformats.org/officeDocument/2006/relationships/hyperlink" Target="mailto:bsekar@guidewire.com" TargetMode="External"/><Relationship Id="rId49" Type="http://schemas.openxmlformats.org/officeDocument/2006/relationships/hyperlink" Target="https://guidewireconfluence.atlassian.net/wiki/spaces/CCS/pages/3414166143/Self-Serve+IdP+Experience+VPMOM+2027" TargetMode="External"/><Relationship Id="rId31" Type="http://schemas.openxmlformats.org/officeDocument/2006/relationships/hyperlink" Target="mailto:ujain@guidewire.com" TargetMode="External"/><Relationship Id="rId30" Type="http://schemas.openxmlformats.org/officeDocument/2006/relationships/hyperlink" Target="mailto:mcabaj@guidewire.com" TargetMode="External"/><Relationship Id="rId33" Type="http://schemas.openxmlformats.org/officeDocument/2006/relationships/hyperlink" Target="mailto:cpetluri@guidewire.com" TargetMode="External"/><Relationship Id="rId32" Type="http://schemas.openxmlformats.org/officeDocument/2006/relationships/hyperlink" Target="https://guidewireconfluence.atlassian.net/wiki/spaces/CCS/pages/3435102261/BYOK+-+One+pager+for+FY27+VPMOM" TargetMode="External"/><Relationship Id="rId35" Type="http://schemas.openxmlformats.org/officeDocument/2006/relationships/hyperlink" Target="mailto:qmccombs@guidewire.com" TargetMode="External"/><Relationship Id="rId34" Type="http://schemas.openxmlformats.org/officeDocument/2006/relationships/hyperlink" Target="mailto:mdykes@guidewire.com" TargetMode="External"/><Relationship Id="rId37" Type="http://schemas.openxmlformats.org/officeDocument/2006/relationships/hyperlink" Target="https://guidewireconfluence.atlassian.net/wiki/spaces/CCS/pages/3383951388/OAM+Adoption+and+Integration+with+Nova+Polaris" TargetMode="External"/><Relationship Id="rId36" Type="http://schemas.openxmlformats.org/officeDocument/2006/relationships/hyperlink" Target="mailto:rbhadoriya@guidewire.com" TargetMode="External"/><Relationship Id="rId39" Type="http://schemas.openxmlformats.org/officeDocument/2006/relationships/hyperlink" Target="mailto:srajashekaran@guidewire.com" TargetMode="External"/><Relationship Id="rId38" Type="http://schemas.openxmlformats.org/officeDocument/2006/relationships/hyperlink" Target="mailto:gs@guidewire.com" TargetMode="External"/><Relationship Id="rId20" Type="http://schemas.openxmlformats.org/officeDocument/2006/relationships/hyperlink" Target="https://guidewireconfluence.atlassian.net/wiki/x/HgDdk" TargetMode="External"/><Relationship Id="rId22" Type="http://schemas.openxmlformats.org/officeDocument/2006/relationships/hyperlink" Target="mailto:jdobson@guidewire.com" TargetMode="External"/><Relationship Id="rId21" Type="http://schemas.openxmlformats.org/officeDocument/2006/relationships/hyperlink" Target="mailto:atomar@guidewire.com" TargetMode="External"/><Relationship Id="rId24" Type="http://schemas.openxmlformats.org/officeDocument/2006/relationships/hyperlink" Target="mailto:mgage@guidewire.com" TargetMode="External"/><Relationship Id="rId23" Type="http://schemas.openxmlformats.org/officeDocument/2006/relationships/hyperlink" Target="mailto:beloy@guidewire.com" TargetMode="External"/><Relationship Id="rId26" Type="http://schemas.openxmlformats.org/officeDocument/2006/relationships/hyperlink" Target="mailto:asridhar@guidewire.com" TargetMode="External"/><Relationship Id="rId25" Type="http://schemas.openxmlformats.org/officeDocument/2006/relationships/hyperlink" Target="mailto:mgurumoorthy@guidewire.com" TargetMode="External"/><Relationship Id="rId28" Type="http://schemas.openxmlformats.org/officeDocument/2006/relationships/hyperlink" Target="mailto:mzajac@guidewire.com" TargetMode="External"/><Relationship Id="rId27" Type="http://schemas.openxmlformats.org/officeDocument/2006/relationships/hyperlink" Target="https://guidewireconfluence.atlassian.net/wiki/spaces/KDC/pages/3402468441/Immutable+ID+Initiative+One+Pager" TargetMode="External"/><Relationship Id="rId29" Type="http://schemas.openxmlformats.org/officeDocument/2006/relationships/hyperlink" Target="mailto:krosner@guidewire.com" TargetMode="External"/><Relationship Id="rId11" Type="http://schemas.openxmlformats.org/officeDocument/2006/relationships/hyperlink" Target="mailto:sapatil@guidewire.com" TargetMode="External"/><Relationship Id="rId10" Type="http://schemas.openxmlformats.org/officeDocument/2006/relationships/hyperlink" Target="mailto:amkhanna@guidewire.com" TargetMode="External"/><Relationship Id="rId13" Type="http://schemas.openxmlformats.org/officeDocument/2006/relationships/hyperlink" Target="mailto:sgunda@guidewire.com" TargetMode="External"/><Relationship Id="rId12" Type="http://schemas.openxmlformats.org/officeDocument/2006/relationships/hyperlink" Target="mailto:jguionnet@guidewire.com" TargetMode="External"/><Relationship Id="rId15" Type="http://schemas.openxmlformats.org/officeDocument/2006/relationships/hyperlink" Target="mailto:mzawadzka@guidewire.com" TargetMode="External"/><Relationship Id="rId14" Type="http://schemas.openxmlformats.org/officeDocument/2006/relationships/hyperlink" Target="https://guidewireconfluence.atlassian.net/wiki/spaces/~mzawadzka/pages/3401712018/DevSpaces+-+Product+Vision+One-Pager" TargetMode="External"/><Relationship Id="rId17" Type="http://schemas.openxmlformats.org/officeDocument/2006/relationships/hyperlink" Target="mailto:beloy@guidewire.com" TargetMode="External"/><Relationship Id="rId16" Type="http://schemas.openxmlformats.org/officeDocument/2006/relationships/hyperlink" Target="mailto:krosner@guidewire.com" TargetMode="External"/><Relationship Id="rId19" Type="http://schemas.openxmlformats.org/officeDocument/2006/relationships/hyperlink" Target="mailto:mgurumoorthy@guidewire.com" TargetMode="External"/><Relationship Id="rId18" Type="http://schemas.openxmlformats.org/officeDocument/2006/relationships/hyperlink" Target="mailto:dhsharma@guidewire.com" TargetMode="External"/><Relationship Id="rId84" Type="http://schemas.openxmlformats.org/officeDocument/2006/relationships/hyperlink" Target="mailto:bsekar@guidewire.com" TargetMode="External"/><Relationship Id="rId83" Type="http://schemas.openxmlformats.org/officeDocument/2006/relationships/hyperlink" Target="mailto:gbouzeid@guidewire.com" TargetMode="External"/><Relationship Id="rId86" Type="http://schemas.openxmlformats.org/officeDocument/2006/relationships/hyperlink" Target="mailto:rbhadoriya@guidewire.com" TargetMode="External"/><Relationship Id="rId85" Type="http://schemas.openxmlformats.org/officeDocument/2006/relationships/hyperlink" Target="mailto:jguionnet@guidewire.com" TargetMode="External"/><Relationship Id="rId88" Type="http://schemas.openxmlformats.org/officeDocument/2006/relationships/hyperlink" Target="mailto:jguionnet@guidewire.com" TargetMode="External"/><Relationship Id="rId87" Type="http://schemas.openxmlformats.org/officeDocument/2006/relationships/hyperlink" Target="https://guidewireconfluence.atlassian.net/wiki/spaces/CCS/pages/3383855607/Full+Kit+Pod+Allocation+Limits+Tracking+and+Growth+Mechanism+for+Platform+Scalability" TargetMode="External"/><Relationship Id="rId89" Type="http://schemas.openxmlformats.org/officeDocument/2006/relationships/hyperlink" Target="mailto:lowen@guidewire.com" TargetMode="External"/><Relationship Id="rId80" Type="http://schemas.openxmlformats.org/officeDocument/2006/relationships/hyperlink" Target="mailto:msmriti@guidewire.com" TargetMode="External"/><Relationship Id="rId82" Type="http://schemas.openxmlformats.org/officeDocument/2006/relationships/hyperlink" Target="https://guidewireconfluence.atlassian.net/wiki/spaces/CCS/pages/2211315756/rfc-96+Less+Intrusive+AWS+Tagging+Value+Management" TargetMode="External"/><Relationship Id="rId81" Type="http://schemas.openxmlformats.org/officeDocument/2006/relationships/hyperlink" Target="mailto:bsekar@guidewire.com"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guidewireconfluence.atlassian.net/wiki/x/a4HAzQ" TargetMode="External"/><Relationship Id="rId9" Type="http://schemas.openxmlformats.org/officeDocument/2006/relationships/hyperlink" Target="https://guidewireconfluence.atlassian.net/wiki/spaces/CCS/pages/3414884375/Guard+Rollout+to+All+LHS+Services" TargetMode="External"/><Relationship Id="rId5" Type="http://schemas.openxmlformats.org/officeDocument/2006/relationships/hyperlink" Target="mailto:atomar@guidewire.com" TargetMode="External"/><Relationship Id="rId6" Type="http://schemas.openxmlformats.org/officeDocument/2006/relationships/hyperlink" Target="mailto:jdobson@guidewire.com" TargetMode="External"/><Relationship Id="rId7" Type="http://schemas.openxmlformats.org/officeDocument/2006/relationships/hyperlink" Target="mailto:qmccombs@guidewire.com" TargetMode="External"/><Relationship Id="rId8" Type="http://schemas.openxmlformats.org/officeDocument/2006/relationships/hyperlink" Target="mailto:mgage@guidewire.com" TargetMode="External"/><Relationship Id="rId73" Type="http://schemas.openxmlformats.org/officeDocument/2006/relationships/hyperlink" Target="mailto:beloy@guidewire.com" TargetMode="External"/><Relationship Id="rId72" Type="http://schemas.openxmlformats.org/officeDocument/2006/relationships/hyperlink" Target="mailto:lowen@guidewire.com" TargetMode="External"/><Relationship Id="rId75" Type="http://schemas.openxmlformats.org/officeDocument/2006/relationships/hyperlink" Target="mailto:atomar@guidewire.com" TargetMode="External"/><Relationship Id="rId74" Type="http://schemas.openxmlformats.org/officeDocument/2006/relationships/hyperlink" Target="mailto:rbhadoriya@guidewire.com" TargetMode="External"/><Relationship Id="rId77" Type="http://schemas.openxmlformats.org/officeDocument/2006/relationships/hyperlink" Target="mailto:qmccombs@guidewire.com" TargetMode="External"/><Relationship Id="rId76" Type="http://schemas.openxmlformats.org/officeDocument/2006/relationships/hyperlink" Target="mailto:jdobson@guidewire.com" TargetMode="External"/><Relationship Id="rId79" Type="http://schemas.openxmlformats.org/officeDocument/2006/relationships/hyperlink" Target="https://guidewireconfluence.atlassian.net/wiki/x/iQAGyw" TargetMode="External"/><Relationship Id="rId78" Type="http://schemas.openxmlformats.org/officeDocument/2006/relationships/hyperlink" Target="mailto:ujain@guidewire.com" TargetMode="External"/><Relationship Id="rId71" Type="http://schemas.openxmlformats.org/officeDocument/2006/relationships/hyperlink" Target="mailto:rasubramanian@guidewire.com" TargetMode="External"/><Relationship Id="rId70" Type="http://schemas.openxmlformats.org/officeDocument/2006/relationships/hyperlink" Target="https://guidewireconfluence.atlassian.net/wiki/spaces/ORANGE/pages/3406168190/PrivateLink+Ingress+Self-Service+-+One+Pager" TargetMode="External"/><Relationship Id="rId62" Type="http://schemas.openxmlformats.org/officeDocument/2006/relationships/hyperlink" Target="mailto:rbhadoriya@guidewire.com" TargetMode="External"/><Relationship Id="rId61" Type="http://schemas.openxmlformats.org/officeDocument/2006/relationships/hyperlink" Target="mailto:qmccombs@guidewire.com" TargetMode="External"/><Relationship Id="rId64" Type="http://schemas.openxmlformats.org/officeDocument/2006/relationships/hyperlink" Target="mailto:mdykes@guidewire.com" TargetMode="External"/><Relationship Id="rId63" Type="http://schemas.openxmlformats.org/officeDocument/2006/relationships/hyperlink" Target="https://guidewireconfluence.atlassian.net/wiki/spaces/CCS/pages/2953904216/rfc-141+Accountable+Resource+Lifecycles" TargetMode="External"/><Relationship Id="rId66" Type="http://schemas.openxmlformats.org/officeDocument/2006/relationships/hyperlink" Target="https://guidewireconfluence.atlassian.net/wiki/x/foGFz" TargetMode="External"/><Relationship Id="rId65" Type="http://schemas.openxmlformats.org/officeDocument/2006/relationships/hyperlink" Target="mailto:mcabaj@guidewire.com" TargetMode="External"/><Relationship Id="rId68" Type="http://schemas.openxmlformats.org/officeDocument/2006/relationships/hyperlink" Target="mailto:mdykes@guidewire.com" TargetMode="External"/><Relationship Id="rId67" Type="http://schemas.openxmlformats.org/officeDocument/2006/relationships/hyperlink" Target="mailto:cpetluri@guidewire.com" TargetMode="External"/><Relationship Id="rId60" Type="http://schemas.openxmlformats.org/officeDocument/2006/relationships/hyperlink" Target="mailto:mdykes@guidewire.com" TargetMode="External"/><Relationship Id="rId69" Type="http://schemas.openxmlformats.org/officeDocument/2006/relationships/hyperlink" Target="mailto:rbhadoriya@guidewire.com" TargetMode="External"/><Relationship Id="rId51" Type="http://schemas.openxmlformats.org/officeDocument/2006/relationships/hyperlink" Target="mailto:sapatil@guidewire.com" TargetMode="External"/><Relationship Id="rId50" Type="http://schemas.openxmlformats.org/officeDocument/2006/relationships/hyperlink" Target="mailto:amkhanna@guidewire.com" TargetMode="External"/><Relationship Id="rId53" Type="http://schemas.openxmlformats.org/officeDocument/2006/relationships/hyperlink" Target="mailto:sgunda@guidewire.com" TargetMode="External"/><Relationship Id="rId52" Type="http://schemas.openxmlformats.org/officeDocument/2006/relationships/hyperlink" Target="mailto:jguionnet@guidewire.com" TargetMode="External"/><Relationship Id="rId55" Type="http://schemas.openxmlformats.org/officeDocument/2006/relationships/hyperlink" Target="mailto:mzajac@guidewire.com" TargetMode="External"/><Relationship Id="rId54" Type="http://schemas.openxmlformats.org/officeDocument/2006/relationships/hyperlink" Target="https://guidewireconfluence.atlassian.net/wiki/x/OwBHyw" TargetMode="External"/><Relationship Id="rId57" Type="http://schemas.openxmlformats.org/officeDocument/2006/relationships/hyperlink" Target="mailto:mcabaj@guidewire.com" TargetMode="External"/><Relationship Id="rId56" Type="http://schemas.openxmlformats.org/officeDocument/2006/relationships/hyperlink" Target="mailto:krosner@guidewire.com" TargetMode="External"/><Relationship Id="rId59" Type="http://schemas.openxmlformats.org/officeDocument/2006/relationships/hyperlink" Target="mailto:cpetluri@guidewire.com" TargetMode="External"/><Relationship Id="rId58" Type="http://schemas.openxmlformats.org/officeDocument/2006/relationships/hyperlink" Target="https://guidewireconfluence.atlassian.net/wiki/x/wQDgz" TargetMode="External"/><Relationship Id="rId107" Type="http://schemas.openxmlformats.org/officeDocument/2006/relationships/hyperlink" Target="mailto:qmccombs@guidewire.com" TargetMode="External"/><Relationship Id="rId106" Type="http://schemas.openxmlformats.org/officeDocument/2006/relationships/hyperlink" Target="mailto:lowen@guidewire.com" TargetMode="External"/><Relationship Id="rId105" Type="http://schemas.openxmlformats.org/officeDocument/2006/relationships/hyperlink" Target="mailto:rasubramanian@guidewire.com" TargetMode="External"/><Relationship Id="rId104" Type="http://schemas.openxmlformats.org/officeDocument/2006/relationships/hyperlink" Target="https://guidewireconfluence.atlassian.net/wiki/spaces/ORANGE/pages/3404399061/CNPG+OAM+MVP+-+One+Pager" TargetMode="External"/><Relationship Id="rId109" Type="http://schemas.openxmlformats.org/officeDocument/2006/relationships/hyperlink" Target="https://guidewireconfluence.atlassian.net/wiki/spaces/CCS/pages/3414786209/SCIM-Based+User+Provisioning+in+Insurance+Suite+for+Liberty+VPMOM+2027" TargetMode="External"/><Relationship Id="rId108" Type="http://schemas.openxmlformats.org/officeDocument/2006/relationships/hyperlink" Target="mailto:rbhadoriya@guidewire.com" TargetMode="External"/><Relationship Id="rId103" Type="http://schemas.openxmlformats.org/officeDocument/2006/relationships/hyperlink" Target="mailto:rbhadoriya@guidewire.com" TargetMode="External"/><Relationship Id="rId102" Type="http://schemas.openxmlformats.org/officeDocument/2006/relationships/hyperlink" Target="mailto:beloy@guidewire.com" TargetMode="External"/><Relationship Id="rId101" Type="http://schemas.openxmlformats.org/officeDocument/2006/relationships/hyperlink" Target="mailto:lowen@guidewire.com" TargetMode="External"/><Relationship Id="rId100" Type="http://schemas.openxmlformats.org/officeDocument/2006/relationships/hyperlink" Target="mailto:rasubramanian@guidewire.com" TargetMode="External"/><Relationship Id="rId126" Type="http://schemas.openxmlformats.org/officeDocument/2006/relationships/vmlDrawing" Target="../drawings/vmlDrawing2.vml"/><Relationship Id="rId121" Type="http://schemas.openxmlformats.org/officeDocument/2006/relationships/hyperlink" Target="https://guidewireconfluence.atlassian.net/wiki/spaces/CCS/pages/3405021311/OTEL+Telemetry+Streaming+GA" TargetMode="External"/><Relationship Id="rId120" Type="http://schemas.openxmlformats.org/officeDocument/2006/relationships/hyperlink" Target="mailto:mgrzegorczyk@guidewire.com" TargetMode="External"/><Relationship Id="rId125" Type="http://schemas.openxmlformats.org/officeDocument/2006/relationships/drawing" Target="../drawings/drawing3.xml"/><Relationship Id="rId124" Type="http://schemas.openxmlformats.org/officeDocument/2006/relationships/hyperlink" Target="mailto:jguionnet@guidewire.com" TargetMode="External"/><Relationship Id="rId123" Type="http://schemas.openxmlformats.org/officeDocument/2006/relationships/hyperlink" Target="mailto:bsekar@guidewire.com" TargetMode="External"/><Relationship Id="rId122" Type="http://schemas.openxmlformats.org/officeDocument/2006/relationships/hyperlink" Target="mailto:gbouzeid@guidewire.com" TargetMode="External"/><Relationship Id="rId95" Type="http://schemas.openxmlformats.org/officeDocument/2006/relationships/hyperlink" Target="https://guidewireconfluence.atlassian.net/wiki/x/_oB7z" TargetMode="External"/><Relationship Id="rId94" Type="http://schemas.openxmlformats.org/officeDocument/2006/relationships/hyperlink" Target="mailto:ujain@guidewire.com" TargetMode="External"/><Relationship Id="rId97" Type="http://schemas.openxmlformats.org/officeDocument/2006/relationships/hyperlink" Target="mailto:jdobson@guidewire.com" TargetMode="External"/><Relationship Id="rId96" Type="http://schemas.openxmlformats.org/officeDocument/2006/relationships/hyperlink" Target="mailto:atomar@guidewire.com" TargetMode="External"/><Relationship Id="rId99" Type="http://schemas.openxmlformats.org/officeDocument/2006/relationships/hyperlink" Target="https://guidewireconfluence.atlassian.net/wiki/spaces/ORANGE/pages/3405087212/AWS+Service+Tenant+Network+Isolation+-+One+Pager" TargetMode="External"/><Relationship Id="rId98" Type="http://schemas.openxmlformats.org/officeDocument/2006/relationships/hyperlink" Target="mailto:jguionnet@guidewire.com" TargetMode="External"/><Relationship Id="rId91" Type="http://schemas.openxmlformats.org/officeDocument/2006/relationships/hyperlink" Target="mailto:ujain@guidewire.com" TargetMode="External"/><Relationship Id="rId90" Type="http://schemas.openxmlformats.org/officeDocument/2006/relationships/hyperlink" Target="mailto:jguionnet@guidewire.com" TargetMode="External"/><Relationship Id="rId93" Type="http://schemas.openxmlformats.org/officeDocument/2006/relationships/hyperlink" Target="mailto:jguionnet@guidewire.com" TargetMode="External"/><Relationship Id="rId92" Type="http://schemas.openxmlformats.org/officeDocument/2006/relationships/hyperlink" Target="https://docs.google.com/presentation/d/1pRkuttB-V-_8tf1UxfYV54GU73KUFaXArxjGBKg_SO0/edit?slide=id.g3d2583366a7_0_348" TargetMode="External"/><Relationship Id="rId118" Type="http://schemas.openxmlformats.org/officeDocument/2006/relationships/hyperlink" Target="https://guidewireconfluence.atlassian.net/wiki/x/s4ETyw" TargetMode="External"/><Relationship Id="rId117" Type="http://schemas.openxmlformats.org/officeDocument/2006/relationships/hyperlink" Target="mailto:jguionnet@guidewire.com" TargetMode="External"/><Relationship Id="rId116" Type="http://schemas.openxmlformats.org/officeDocument/2006/relationships/hyperlink" Target="mailto:bsekar@guidewire.com" TargetMode="External"/><Relationship Id="rId115" Type="http://schemas.openxmlformats.org/officeDocument/2006/relationships/hyperlink" Target="mailto:gbouzeid@guidewire.com" TargetMode="External"/><Relationship Id="rId119" Type="http://schemas.openxmlformats.org/officeDocument/2006/relationships/hyperlink" Target="mailto:lmakowski@guidewire.com" TargetMode="External"/><Relationship Id="rId110" Type="http://schemas.openxmlformats.org/officeDocument/2006/relationships/hyperlink" Target="mailto:amkhanna@guidewire.com" TargetMode="External"/><Relationship Id="rId114" Type="http://schemas.openxmlformats.org/officeDocument/2006/relationships/hyperlink" Target="https://guidewireconfluence.atlassian.net/wiki/spaces/CCS/pages/3404595752/DB+Monitoring+with+Query+Performance+with+OTEL+GA" TargetMode="External"/><Relationship Id="rId113" Type="http://schemas.openxmlformats.org/officeDocument/2006/relationships/hyperlink" Target="mailto:sgunda@guidewire.com" TargetMode="External"/><Relationship Id="rId112" Type="http://schemas.openxmlformats.org/officeDocument/2006/relationships/hyperlink" Target="mailto:jguionnet@guidewire.com" TargetMode="External"/><Relationship Id="rId111" Type="http://schemas.openxmlformats.org/officeDocument/2006/relationships/hyperlink" Target="mailto:sapatil@guidewire.com"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mailto:jcwik@guidewire.com" TargetMode="External"/><Relationship Id="rId42" Type="http://schemas.openxmlformats.org/officeDocument/2006/relationships/hyperlink" Target="mailto:gs@guidewire.com" TargetMode="External"/><Relationship Id="rId41" Type="http://schemas.openxmlformats.org/officeDocument/2006/relationships/hyperlink" Target="https://guidewireconfluence.atlassian.net/wiki/spaces/CCS/pages/3383951388/OAM+Adoption+and+Integration+with+Nova+Polaris" TargetMode="External"/><Relationship Id="rId44" Type="http://schemas.openxmlformats.org/officeDocument/2006/relationships/hyperlink" Target="mailto:bkane@guidewire.com" TargetMode="External"/><Relationship Id="rId43" Type="http://schemas.openxmlformats.org/officeDocument/2006/relationships/hyperlink" Target="mailto:srajashekaran@guidewire.com" TargetMode="External"/><Relationship Id="rId46" Type="http://schemas.openxmlformats.org/officeDocument/2006/relationships/hyperlink" Target="mailto:atomar@guidewire.com" TargetMode="External"/><Relationship Id="rId45" Type="http://schemas.openxmlformats.org/officeDocument/2006/relationships/hyperlink" Target="mailto:sgunda@guidewire.com" TargetMode="External"/><Relationship Id="rId48" Type="http://schemas.openxmlformats.org/officeDocument/2006/relationships/hyperlink" Target="mailto:mgage@guidewire.com" TargetMode="External"/><Relationship Id="rId47" Type="http://schemas.openxmlformats.org/officeDocument/2006/relationships/hyperlink" Target="mailto:jdobson@guidewire.com" TargetMode="External"/><Relationship Id="rId49" Type="http://schemas.openxmlformats.org/officeDocument/2006/relationships/hyperlink" Target="https://docs.google.com/document/d/13oIV-UkOePtl3_hj5NQjiPsJrzNiLMVmN3X_liMygPU/edit?tab=t.0" TargetMode="External"/><Relationship Id="rId31" Type="http://schemas.openxmlformats.org/officeDocument/2006/relationships/hyperlink" Target="mailto:mcabaj@guidewire.com" TargetMode="External"/><Relationship Id="rId30" Type="http://schemas.openxmlformats.org/officeDocument/2006/relationships/hyperlink" Target="mailto:krosner@guidewire.com" TargetMode="External"/><Relationship Id="rId33" Type="http://schemas.openxmlformats.org/officeDocument/2006/relationships/hyperlink" Target="https://guidewireconfluence.atlassian.net/wiki/spaces/CCS/pages/3435102261/BYOK+-+One+pager+for+FY27+VPMOM" TargetMode="External"/><Relationship Id="rId32" Type="http://schemas.openxmlformats.org/officeDocument/2006/relationships/hyperlink" Target="mailto:ujain@guidewire.com" TargetMode="External"/><Relationship Id="rId35" Type="http://schemas.openxmlformats.org/officeDocument/2006/relationships/hyperlink" Target="mailto:mdykes@guidewire.com" TargetMode="External"/><Relationship Id="rId34" Type="http://schemas.openxmlformats.org/officeDocument/2006/relationships/hyperlink" Target="mailto:cpetluri@guidewire.com" TargetMode="External"/><Relationship Id="rId37" Type="http://schemas.openxmlformats.org/officeDocument/2006/relationships/hyperlink" Target="mailto:rbhadoriya@guidewire.com" TargetMode="External"/><Relationship Id="rId36" Type="http://schemas.openxmlformats.org/officeDocument/2006/relationships/hyperlink" Target="mailto:qmccombs@guidewire.com" TargetMode="External"/><Relationship Id="rId39" Type="http://schemas.openxmlformats.org/officeDocument/2006/relationships/hyperlink" Target="mailto:pdomider@guidewire.com" TargetMode="External"/><Relationship Id="rId38" Type="http://schemas.openxmlformats.org/officeDocument/2006/relationships/hyperlink" Target="https://guidewireconfluence.atlassian.net/wiki/x/9QY5fw" TargetMode="External"/><Relationship Id="rId20" Type="http://schemas.openxmlformats.org/officeDocument/2006/relationships/hyperlink" Target="mailto:mgurumoorthy@guidewire.com" TargetMode="External"/><Relationship Id="rId22" Type="http://schemas.openxmlformats.org/officeDocument/2006/relationships/hyperlink" Target="mailto:atomar@guidewire.com" TargetMode="External"/><Relationship Id="rId21" Type="http://schemas.openxmlformats.org/officeDocument/2006/relationships/hyperlink" Target="https://guidewireconfluence.atlassian.net/wiki/x/HgDdk" TargetMode="External"/><Relationship Id="rId24" Type="http://schemas.openxmlformats.org/officeDocument/2006/relationships/hyperlink" Target="mailto:beloy@guidewire.com" TargetMode="External"/><Relationship Id="rId23" Type="http://schemas.openxmlformats.org/officeDocument/2006/relationships/hyperlink" Target="mailto:jdobson@guidewire.com" TargetMode="External"/><Relationship Id="rId26" Type="http://schemas.openxmlformats.org/officeDocument/2006/relationships/hyperlink" Target="mailto:mgurumoorthy@guidewire.com" TargetMode="External"/><Relationship Id="rId25" Type="http://schemas.openxmlformats.org/officeDocument/2006/relationships/hyperlink" Target="mailto:ujain@guidewire.com" TargetMode="External"/><Relationship Id="rId28" Type="http://schemas.openxmlformats.org/officeDocument/2006/relationships/hyperlink" Target="https://guidewireconfluence.atlassian.net/wiki/spaces/KDC/pages/3402468441/Immutable+ID+Initiative+One+Pager" TargetMode="External"/><Relationship Id="rId27" Type="http://schemas.openxmlformats.org/officeDocument/2006/relationships/hyperlink" Target="mailto:asridhar@guidewire.com" TargetMode="External"/><Relationship Id="rId29" Type="http://schemas.openxmlformats.org/officeDocument/2006/relationships/hyperlink" Target="mailto:mzajac@guidewire.com" TargetMode="External"/><Relationship Id="rId11" Type="http://schemas.openxmlformats.org/officeDocument/2006/relationships/hyperlink" Target="mailto:sapatil@guidewire.com" TargetMode="External"/><Relationship Id="rId10" Type="http://schemas.openxmlformats.org/officeDocument/2006/relationships/hyperlink" Target="mailto:amkhanna@guidewire.com" TargetMode="External"/><Relationship Id="rId13" Type="http://schemas.openxmlformats.org/officeDocument/2006/relationships/hyperlink" Target="mailto:sgunda@guidewire.com" TargetMode="External"/><Relationship Id="rId12" Type="http://schemas.openxmlformats.org/officeDocument/2006/relationships/hyperlink" Target="mailto:jguionnet@guidewire.com" TargetMode="External"/><Relationship Id="rId15" Type="http://schemas.openxmlformats.org/officeDocument/2006/relationships/hyperlink" Target="mailto:mzawadzka@guidewire.com" TargetMode="External"/><Relationship Id="rId14" Type="http://schemas.openxmlformats.org/officeDocument/2006/relationships/hyperlink" Target="https://guidewireconfluence.atlassian.net/wiki/spaces/~mzawadzka/pages/3401712018/DevSpaces+-+Product+Vision+One-Pager" TargetMode="External"/><Relationship Id="rId17" Type="http://schemas.openxmlformats.org/officeDocument/2006/relationships/hyperlink" Target="mailto:beloy@guidewire.com" TargetMode="External"/><Relationship Id="rId16" Type="http://schemas.openxmlformats.org/officeDocument/2006/relationships/hyperlink" Target="mailto:krosner@guidewire.com" TargetMode="External"/><Relationship Id="rId19" Type="http://schemas.openxmlformats.org/officeDocument/2006/relationships/hyperlink" Target="mailto:dhsharma@guidewire.com" TargetMode="External"/><Relationship Id="rId18" Type="http://schemas.openxmlformats.org/officeDocument/2006/relationships/hyperlink" Target="mailto:asridhar@guidewire.com" TargetMode="External"/><Relationship Id="rId84" Type="http://schemas.openxmlformats.org/officeDocument/2006/relationships/hyperlink" Target="mailto:msmriti@guidewire.com" TargetMode="External"/><Relationship Id="rId83" Type="http://schemas.openxmlformats.org/officeDocument/2006/relationships/hyperlink" Target="https://guidewireconfluence.atlassian.net/wiki/x/iQAGyw" TargetMode="External"/><Relationship Id="rId86" Type="http://schemas.openxmlformats.org/officeDocument/2006/relationships/hyperlink" Target="https://guidewireconfluence.atlassian.net/wiki/spaces/CCS/pages/2211315756/rfc-96+Less+Intrusive+AWS+Tagging+Value+Management" TargetMode="External"/><Relationship Id="rId85" Type="http://schemas.openxmlformats.org/officeDocument/2006/relationships/hyperlink" Target="mailto:bsekar@guidewire.com" TargetMode="External"/><Relationship Id="rId88" Type="http://schemas.openxmlformats.org/officeDocument/2006/relationships/hyperlink" Target="mailto:bsekar@guidewire.com" TargetMode="External"/><Relationship Id="rId87" Type="http://schemas.openxmlformats.org/officeDocument/2006/relationships/hyperlink" Target="mailto:gbouzeid@guidewire.com" TargetMode="External"/><Relationship Id="rId89" Type="http://schemas.openxmlformats.org/officeDocument/2006/relationships/hyperlink" Target="mailto:jguionnet@guidewire.com" TargetMode="External"/><Relationship Id="rId80" Type="http://schemas.openxmlformats.org/officeDocument/2006/relationships/hyperlink" Target="mailto:jdobson@guidewire.com" TargetMode="External"/><Relationship Id="rId82" Type="http://schemas.openxmlformats.org/officeDocument/2006/relationships/hyperlink" Target="mailto:ujain@guidewire.com" TargetMode="External"/><Relationship Id="rId81" Type="http://schemas.openxmlformats.org/officeDocument/2006/relationships/hyperlink" Target="mailto:qmccombs@guidewire.com"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guidewireconfluence.atlassian.net/wiki/x/a4HAzQ" TargetMode="External"/><Relationship Id="rId9" Type="http://schemas.openxmlformats.org/officeDocument/2006/relationships/hyperlink" Target="https://guidewireconfluence.atlassian.net/wiki/spaces/CCS/pages/3414884375/Guard+Rollout+to+All+LHS+Services" TargetMode="External"/><Relationship Id="rId143" Type="http://schemas.openxmlformats.org/officeDocument/2006/relationships/hyperlink" Target="mailto:ujain@guidewire.com" TargetMode="External"/><Relationship Id="rId142" Type="http://schemas.openxmlformats.org/officeDocument/2006/relationships/hyperlink" Target="mailto:ujain@guidewire.com" TargetMode="External"/><Relationship Id="rId141" Type="http://schemas.openxmlformats.org/officeDocument/2006/relationships/hyperlink" Target="mailto:sgunda@guidewire.com" TargetMode="External"/><Relationship Id="rId140" Type="http://schemas.openxmlformats.org/officeDocument/2006/relationships/hyperlink" Target="mailto:jguionnet@guidewire.com" TargetMode="External"/><Relationship Id="rId5" Type="http://schemas.openxmlformats.org/officeDocument/2006/relationships/hyperlink" Target="mailto:atomar@guidewire.com" TargetMode="External"/><Relationship Id="rId6" Type="http://schemas.openxmlformats.org/officeDocument/2006/relationships/hyperlink" Target="mailto:jdobson@guidewire.com" TargetMode="External"/><Relationship Id="rId146" Type="http://schemas.openxmlformats.org/officeDocument/2006/relationships/vmlDrawing" Target="../drawings/vmlDrawing3.vml"/><Relationship Id="rId7" Type="http://schemas.openxmlformats.org/officeDocument/2006/relationships/hyperlink" Target="mailto:qmccombs@guidewire.com" TargetMode="External"/><Relationship Id="rId145" Type="http://schemas.openxmlformats.org/officeDocument/2006/relationships/drawing" Target="../drawings/drawing4.xml"/><Relationship Id="rId8" Type="http://schemas.openxmlformats.org/officeDocument/2006/relationships/hyperlink" Target="mailto:mgage@guidewire.com" TargetMode="External"/><Relationship Id="rId144" Type="http://schemas.openxmlformats.org/officeDocument/2006/relationships/hyperlink" Target="mailto:ujain@guidewire.com" TargetMode="External"/><Relationship Id="rId73" Type="http://schemas.openxmlformats.org/officeDocument/2006/relationships/hyperlink" Target="mailto:rbhadoriya@guidewire.com" TargetMode="External"/><Relationship Id="rId72" Type="http://schemas.openxmlformats.org/officeDocument/2006/relationships/hyperlink" Target="mailto:mdykes@guidewire.com" TargetMode="External"/><Relationship Id="rId75" Type="http://schemas.openxmlformats.org/officeDocument/2006/relationships/hyperlink" Target="mailto:rasubramanian@guidewire.com" TargetMode="External"/><Relationship Id="rId74" Type="http://schemas.openxmlformats.org/officeDocument/2006/relationships/hyperlink" Target="https://guidewireconfluence.atlassian.net/wiki/spaces/ORANGE/pages/3406168190/PrivateLink+Ingress+Self-Service+-+One+Pager" TargetMode="External"/><Relationship Id="rId77" Type="http://schemas.openxmlformats.org/officeDocument/2006/relationships/hyperlink" Target="mailto:beloy@guidewire.com" TargetMode="External"/><Relationship Id="rId76" Type="http://schemas.openxmlformats.org/officeDocument/2006/relationships/hyperlink" Target="mailto:lowen@guidewire.com" TargetMode="External"/><Relationship Id="rId79" Type="http://schemas.openxmlformats.org/officeDocument/2006/relationships/hyperlink" Target="mailto:atomar@guidewire.com" TargetMode="External"/><Relationship Id="rId78" Type="http://schemas.openxmlformats.org/officeDocument/2006/relationships/hyperlink" Target="mailto:rbhadoriya@guidewire.com" TargetMode="External"/><Relationship Id="rId71" Type="http://schemas.openxmlformats.org/officeDocument/2006/relationships/hyperlink" Target="mailto:cpetluri@guidewire.com" TargetMode="External"/><Relationship Id="rId70" Type="http://schemas.openxmlformats.org/officeDocument/2006/relationships/hyperlink" Target="https://guidewireconfluence.atlassian.net/wiki/x/foGFz" TargetMode="External"/><Relationship Id="rId139" Type="http://schemas.openxmlformats.org/officeDocument/2006/relationships/hyperlink" Target="mailto:sapatil@guidewire.com" TargetMode="External"/><Relationship Id="rId138" Type="http://schemas.openxmlformats.org/officeDocument/2006/relationships/hyperlink" Target="mailto:amkhanna@guidewire.com" TargetMode="External"/><Relationship Id="rId137" Type="http://schemas.openxmlformats.org/officeDocument/2006/relationships/hyperlink" Target="mailto:rbhadoriya@guidewire.com" TargetMode="External"/><Relationship Id="rId132" Type="http://schemas.openxmlformats.org/officeDocument/2006/relationships/hyperlink" Target="mailto:asridhar@guidewire.com" TargetMode="External"/><Relationship Id="rId131" Type="http://schemas.openxmlformats.org/officeDocument/2006/relationships/hyperlink" Target="mailto:rbhadoriya@guidewire.com" TargetMode="External"/><Relationship Id="rId130" Type="http://schemas.openxmlformats.org/officeDocument/2006/relationships/hyperlink" Target="mailto:mdykes@guidewire.com" TargetMode="External"/><Relationship Id="rId136" Type="http://schemas.openxmlformats.org/officeDocument/2006/relationships/hyperlink" Target="mailto:qmccombs@guidewire.com" TargetMode="External"/><Relationship Id="rId135" Type="http://schemas.openxmlformats.org/officeDocument/2006/relationships/hyperlink" Target="mailto:lowen@guidewire.com" TargetMode="External"/><Relationship Id="rId134" Type="http://schemas.openxmlformats.org/officeDocument/2006/relationships/hyperlink" Target="mailto:rasubramanian@guidewire.com" TargetMode="External"/><Relationship Id="rId133" Type="http://schemas.openxmlformats.org/officeDocument/2006/relationships/hyperlink" Target="https://guidewireconfluence.atlassian.net/wiki/spaces/ORANGE/pages/3404399061/CNPG+OAM+MVP+-+One+Pager" TargetMode="External"/><Relationship Id="rId62" Type="http://schemas.openxmlformats.org/officeDocument/2006/relationships/hyperlink" Target="https://guidewireconfluence.atlassian.net/wiki/x/wQDgz" TargetMode="External"/><Relationship Id="rId61" Type="http://schemas.openxmlformats.org/officeDocument/2006/relationships/hyperlink" Target="mailto:mcabaj@guidewire.com" TargetMode="External"/><Relationship Id="rId64" Type="http://schemas.openxmlformats.org/officeDocument/2006/relationships/hyperlink" Target="mailto:mdykes@guidewire.com" TargetMode="External"/><Relationship Id="rId63" Type="http://schemas.openxmlformats.org/officeDocument/2006/relationships/hyperlink" Target="mailto:cpetluri@guidewire.com" TargetMode="External"/><Relationship Id="rId66" Type="http://schemas.openxmlformats.org/officeDocument/2006/relationships/hyperlink" Target="mailto:rbhadoriya@guidewire.com" TargetMode="External"/><Relationship Id="rId65" Type="http://schemas.openxmlformats.org/officeDocument/2006/relationships/hyperlink" Target="mailto:qmccombs@guidewire.com" TargetMode="External"/><Relationship Id="rId68" Type="http://schemas.openxmlformats.org/officeDocument/2006/relationships/hyperlink" Target="mailto:mdykes@guidewire.com" TargetMode="External"/><Relationship Id="rId67" Type="http://schemas.openxmlformats.org/officeDocument/2006/relationships/hyperlink" Target="https://guidewireconfluence.atlassian.net/wiki/spaces/CCS/pages/2953904216/rfc-141+Accountable+Resource+Lifecycles" TargetMode="External"/><Relationship Id="rId60" Type="http://schemas.openxmlformats.org/officeDocument/2006/relationships/hyperlink" Target="mailto:krosner@guidewire.com" TargetMode="External"/><Relationship Id="rId69" Type="http://schemas.openxmlformats.org/officeDocument/2006/relationships/hyperlink" Target="mailto:mcabaj@guidewire.com" TargetMode="External"/><Relationship Id="rId51" Type="http://schemas.openxmlformats.org/officeDocument/2006/relationships/hyperlink" Target="mailto:bsekar@guidewire.com" TargetMode="External"/><Relationship Id="rId50" Type="http://schemas.openxmlformats.org/officeDocument/2006/relationships/hyperlink" Target="mailto:gbouzeid@guidewire.com" TargetMode="External"/><Relationship Id="rId53" Type="http://schemas.openxmlformats.org/officeDocument/2006/relationships/hyperlink" Target="https://guidewireconfluence.atlassian.net/wiki/spaces/CCS/pages/3414166143/Self-Serve+IdP+Experience+VPMOM+2027" TargetMode="External"/><Relationship Id="rId52" Type="http://schemas.openxmlformats.org/officeDocument/2006/relationships/hyperlink" Target="mailto:jguionnet@guidewire.com" TargetMode="External"/><Relationship Id="rId55" Type="http://schemas.openxmlformats.org/officeDocument/2006/relationships/hyperlink" Target="mailto:sapatil@guidewire.com" TargetMode="External"/><Relationship Id="rId54" Type="http://schemas.openxmlformats.org/officeDocument/2006/relationships/hyperlink" Target="mailto:amkhanna@guidewire.com" TargetMode="External"/><Relationship Id="rId57" Type="http://schemas.openxmlformats.org/officeDocument/2006/relationships/hyperlink" Target="mailto:sgunda@guidewire.com" TargetMode="External"/><Relationship Id="rId56" Type="http://schemas.openxmlformats.org/officeDocument/2006/relationships/hyperlink" Target="mailto:jguionnet@guidewire.com" TargetMode="External"/><Relationship Id="rId59" Type="http://schemas.openxmlformats.org/officeDocument/2006/relationships/hyperlink" Target="mailto:mzajac@guidewire.com" TargetMode="External"/><Relationship Id="rId58" Type="http://schemas.openxmlformats.org/officeDocument/2006/relationships/hyperlink" Target="https://guidewireconfluence.atlassian.net/wiki/x/OwBHyw" TargetMode="External"/><Relationship Id="rId107" Type="http://schemas.openxmlformats.org/officeDocument/2006/relationships/hyperlink" Target="mailto:lmakowski@guidewire.com" TargetMode="External"/><Relationship Id="rId106" Type="http://schemas.openxmlformats.org/officeDocument/2006/relationships/hyperlink" Target="https://guidewireconfluence.atlassian.net/wiki/x/s4ETyw" TargetMode="External"/><Relationship Id="rId105" Type="http://schemas.openxmlformats.org/officeDocument/2006/relationships/hyperlink" Target="mailto:rbhadoriya@guidewire.com" TargetMode="External"/><Relationship Id="rId104" Type="http://schemas.openxmlformats.org/officeDocument/2006/relationships/hyperlink" Target="mailto:beloy@guidewire.com" TargetMode="External"/><Relationship Id="rId109" Type="http://schemas.openxmlformats.org/officeDocument/2006/relationships/hyperlink" Target="https://guidewireconfluence.atlassian.net/wiki/spaces/CCS/pages/3405021311/OTEL+Telemetry+Streaming+GA" TargetMode="External"/><Relationship Id="rId108" Type="http://schemas.openxmlformats.org/officeDocument/2006/relationships/hyperlink" Target="mailto:mgrzegorczyk@guidewire.com" TargetMode="External"/><Relationship Id="rId103" Type="http://schemas.openxmlformats.org/officeDocument/2006/relationships/hyperlink" Target="mailto:lowen@guidewire.com" TargetMode="External"/><Relationship Id="rId102" Type="http://schemas.openxmlformats.org/officeDocument/2006/relationships/hyperlink" Target="mailto:rasubramanian@guidewire.com" TargetMode="External"/><Relationship Id="rId101" Type="http://schemas.openxmlformats.org/officeDocument/2006/relationships/hyperlink" Target="https://guidewireconfluence.atlassian.net/wiki/spaces/ORANGE/pages/3405087212/AWS+Service+Tenant+Network+Isolation+-+One+Pager" TargetMode="External"/><Relationship Id="rId100" Type="http://schemas.openxmlformats.org/officeDocument/2006/relationships/hyperlink" Target="mailto:jdobson@guidewire.com" TargetMode="External"/><Relationship Id="rId129" Type="http://schemas.openxmlformats.org/officeDocument/2006/relationships/hyperlink" Target="mailto:cpetluri@guidewire.com" TargetMode="External"/><Relationship Id="rId128" Type="http://schemas.openxmlformats.org/officeDocument/2006/relationships/hyperlink" Target="https://guidewireconfluence.atlassian.net/wiki/x/foGFz" TargetMode="External"/><Relationship Id="rId127" Type="http://schemas.openxmlformats.org/officeDocument/2006/relationships/hyperlink" Target="mailto:rbhadoriya@guidewire.com" TargetMode="External"/><Relationship Id="rId126" Type="http://schemas.openxmlformats.org/officeDocument/2006/relationships/hyperlink" Target="mailto:rbhadoriya@guidewire.com" TargetMode="External"/><Relationship Id="rId121" Type="http://schemas.openxmlformats.org/officeDocument/2006/relationships/hyperlink" Target="https://guidewireconfluence.atlassian.net/wiki/x/9YDiz" TargetMode="External"/><Relationship Id="rId120" Type="http://schemas.openxmlformats.org/officeDocument/2006/relationships/hyperlink" Target="mailto:beloy@guidewire.com" TargetMode="External"/><Relationship Id="rId125" Type="http://schemas.openxmlformats.org/officeDocument/2006/relationships/hyperlink" Target="mailto:rbhadoriya@guidewire.com" TargetMode="External"/><Relationship Id="rId124" Type="http://schemas.openxmlformats.org/officeDocument/2006/relationships/hyperlink" Target="mailto:qmccombs@guidewire.com" TargetMode="External"/><Relationship Id="rId123" Type="http://schemas.openxmlformats.org/officeDocument/2006/relationships/hyperlink" Target="mailto:mdykes@guidewire.com" TargetMode="External"/><Relationship Id="rId122" Type="http://schemas.openxmlformats.org/officeDocument/2006/relationships/hyperlink" Target="mailto:cpetluri@guidewire.com" TargetMode="External"/><Relationship Id="rId95" Type="http://schemas.openxmlformats.org/officeDocument/2006/relationships/hyperlink" Target="https://docs.google.com/presentation/d/1pRkuttB-V-_8tf1UxfYV54GU73KUFaXArxjGBKg_SO0/edit?slide=id.g3d2583366a7_0_348" TargetMode="External"/><Relationship Id="rId94" Type="http://schemas.openxmlformats.org/officeDocument/2006/relationships/hyperlink" Target="mailto:ujain@guidewire.com" TargetMode="External"/><Relationship Id="rId97" Type="http://schemas.openxmlformats.org/officeDocument/2006/relationships/hyperlink" Target="mailto:ujain@guidewire.com" TargetMode="External"/><Relationship Id="rId96" Type="http://schemas.openxmlformats.org/officeDocument/2006/relationships/hyperlink" Target="mailto:jguionnet@guidewire.com" TargetMode="External"/><Relationship Id="rId99" Type="http://schemas.openxmlformats.org/officeDocument/2006/relationships/hyperlink" Target="mailto:atomar@guidewire.com" TargetMode="External"/><Relationship Id="rId98" Type="http://schemas.openxmlformats.org/officeDocument/2006/relationships/hyperlink" Target="https://guidewireconfluence.atlassian.net/wiki/x/_oB7z" TargetMode="External"/><Relationship Id="rId91" Type="http://schemas.openxmlformats.org/officeDocument/2006/relationships/hyperlink" Target="mailto:jguionnet@guidewire.com" TargetMode="External"/><Relationship Id="rId90" Type="http://schemas.openxmlformats.org/officeDocument/2006/relationships/hyperlink" Target="https://guidewireconfluence.atlassian.net/wiki/spaces/CCS/pages/3383855607/Full+Kit+Pod+Allocation+Limits+Tracking+and+Growth+Mechanism+for+Platform+Scalability" TargetMode="External"/><Relationship Id="rId93" Type="http://schemas.openxmlformats.org/officeDocument/2006/relationships/hyperlink" Target="mailto:jguionnet@guidewire.com" TargetMode="External"/><Relationship Id="rId92" Type="http://schemas.openxmlformats.org/officeDocument/2006/relationships/hyperlink" Target="mailto:lowen@guidewire.com" TargetMode="External"/><Relationship Id="rId118" Type="http://schemas.openxmlformats.org/officeDocument/2006/relationships/hyperlink" Target="mailto:gbouzeid@guidewire.com" TargetMode="External"/><Relationship Id="rId117" Type="http://schemas.openxmlformats.org/officeDocument/2006/relationships/hyperlink" Target="https://guidewireconfluence.atlassian.net/wiki/spaces/CCS/pages/3410919965/Karpenter+GA" TargetMode="External"/><Relationship Id="rId116" Type="http://schemas.openxmlformats.org/officeDocument/2006/relationships/hyperlink" Target="mailto:jguionnet@guidewire.com" TargetMode="External"/><Relationship Id="rId115" Type="http://schemas.openxmlformats.org/officeDocument/2006/relationships/hyperlink" Target="mailto:bsekar@guidewire.com" TargetMode="External"/><Relationship Id="rId119" Type="http://schemas.openxmlformats.org/officeDocument/2006/relationships/hyperlink" Target="mailto:ffrancis@guidewire.com" TargetMode="External"/><Relationship Id="rId110" Type="http://schemas.openxmlformats.org/officeDocument/2006/relationships/hyperlink" Target="mailto:gbouzeid@guidewire.com" TargetMode="External"/><Relationship Id="rId114" Type="http://schemas.openxmlformats.org/officeDocument/2006/relationships/hyperlink" Target="mailto:gbouzeid@guidewire.com" TargetMode="External"/><Relationship Id="rId113" Type="http://schemas.openxmlformats.org/officeDocument/2006/relationships/hyperlink" Target="https://guidewireconfluence.atlassian.net/wiki/spaces/CCS/pages/3404595752/DB+Monitoring+with+Query+Performance+with+OTEL+GA" TargetMode="External"/><Relationship Id="rId112" Type="http://schemas.openxmlformats.org/officeDocument/2006/relationships/hyperlink" Target="mailto:jguionnet@guidewire.com" TargetMode="External"/><Relationship Id="rId111" Type="http://schemas.openxmlformats.org/officeDocument/2006/relationships/hyperlink" Target="mailto:bsekar@guidewire.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2" width="21.5"/>
    <col customWidth="1" min="3" max="3" width="38.88"/>
    <col customWidth="1" min="4" max="4" width="67.5"/>
    <col customWidth="1" min="5" max="5" width="15.88"/>
    <col customWidth="1" min="6" max="6" width="18.5"/>
    <col customWidth="1" min="7" max="7" width="33.25"/>
  </cols>
  <sheetData>
    <row r="1" ht="51.75" customHeight="1">
      <c r="A1" s="8" t="s">
        <v>22</v>
      </c>
      <c r="B1" s="8" t="s">
        <v>23</v>
      </c>
      <c r="C1" s="8" t="s">
        <v>24</v>
      </c>
      <c r="D1" s="8" t="s">
        <v>29</v>
      </c>
      <c r="E1" s="12" t="s">
        <v>31</v>
      </c>
      <c r="F1" s="8" t="s">
        <v>34</v>
      </c>
      <c r="G1" s="14" t="s">
        <v>35</v>
      </c>
      <c r="H1" s="16" t="s">
        <v>37</v>
      </c>
      <c r="I1" s="17" t="s">
        <v>39</v>
      </c>
      <c r="J1" s="17" t="s">
        <v>39</v>
      </c>
      <c r="K1" s="17" t="s">
        <v>39</v>
      </c>
      <c r="L1" s="17" t="s">
        <v>39</v>
      </c>
      <c r="M1" s="17" t="s">
        <v>39</v>
      </c>
      <c r="N1" s="17" t="s">
        <v>39</v>
      </c>
      <c r="O1" s="17" t="s">
        <v>39</v>
      </c>
      <c r="P1" s="17" t="s">
        <v>39</v>
      </c>
      <c r="Q1" s="17" t="s">
        <v>39</v>
      </c>
      <c r="R1" s="17" t="s">
        <v>39</v>
      </c>
      <c r="S1" s="17" t="s">
        <v>39</v>
      </c>
      <c r="T1" s="17" t="s">
        <v>39</v>
      </c>
      <c r="U1" s="17" t="s">
        <v>39</v>
      </c>
      <c r="V1" s="17" t="s">
        <v>39</v>
      </c>
      <c r="W1" s="17" t="s">
        <v>39</v>
      </c>
      <c r="X1" s="17" t="s">
        <v>39</v>
      </c>
      <c r="Y1" s="17" t="s">
        <v>39</v>
      </c>
      <c r="Z1" s="17" t="s">
        <v>39</v>
      </c>
      <c r="AA1" s="17" t="s">
        <v>39</v>
      </c>
    </row>
    <row r="2" ht="88.5" hidden="1" customHeight="1">
      <c r="A2" s="23" t="s">
        <v>48</v>
      </c>
      <c r="B2" s="23" t="s">
        <v>67</v>
      </c>
      <c r="C2" s="26" t="s">
        <v>84</v>
      </c>
      <c r="D2" s="10" t="s">
        <v>95</v>
      </c>
      <c r="E2" s="33" t="s">
        <v>113</v>
      </c>
      <c r="F2" s="34"/>
      <c r="G2" s="26" t="s">
        <v>73</v>
      </c>
      <c r="H2" s="35"/>
      <c r="I2" s="35"/>
      <c r="J2" s="35"/>
      <c r="K2" s="35"/>
      <c r="L2" s="35"/>
      <c r="M2" s="35"/>
      <c r="N2" s="35"/>
      <c r="O2" s="35"/>
      <c r="P2" s="35"/>
      <c r="Q2" s="35"/>
      <c r="R2" s="35"/>
      <c r="S2" s="35"/>
      <c r="T2" s="35"/>
      <c r="U2" s="35"/>
      <c r="V2" s="35"/>
      <c r="W2" s="35"/>
      <c r="X2" s="35"/>
      <c r="Y2" s="35"/>
      <c r="Z2" s="35"/>
      <c r="AA2" s="35"/>
    </row>
    <row r="3" hidden="1">
      <c r="A3" s="23" t="s">
        <v>116</v>
      </c>
      <c r="B3" s="23" t="s">
        <v>67</v>
      </c>
      <c r="C3" s="26" t="s">
        <v>118</v>
      </c>
      <c r="D3" s="10" t="s">
        <v>121</v>
      </c>
      <c r="E3" s="33" t="s">
        <v>113</v>
      </c>
      <c r="F3" s="26" t="s">
        <v>125</v>
      </c>
      <c r="G3" s="26" t="s">
        <v>73</v>
      </c>
      <c r="H3" s="35"/>
      <c r="I3" s="35"/>
      <c r="J3" s="35"/>
      <c r="K3" s="35"/>
      <c r="L3" s="35"/>
      <c r="M3" s="35"/>
      <c r="N3" s="35"/>
      <c r="O3" s="35"/>
      <c r="P3" s="35"/>
      <c r="Q3" s="35"/>
      <c r="R3" s="35"/>
      <c r="S3" s="35"/>
      <c r="T3" s="35"/>
      <c r="U3" s="35"/>
      <c r="V3" s="35"/>
      <c r="W3" s="35"/>
      <c r="X3" s="35"/>
      <c r="Y3" s="35"/>
      <c r="Z3" s="35"/>
      <c r="AA3" s="35"/>
    </row>
    <row r="4">
      <c r="A4" s="23" t="s">
        <v>48</v>
      </c>
      <c r="B4" s="23" t="s">
        <v>67</v>
      </c>
      <c r="C4" s="26" t="s">
        <v>128</v>
      </c>
      <c r="D4" s="10" t="s">
        <v>129</v>
      </c>
      <c r="E4" s="33" t="s">
        <v>113</v>
      </c>
      <c r="F4" s="26" t="s">
        <v>132</v>
      </c>
      <c r="G4" s="39" t="s">
        <v>77</v>
      </c>
      <c r="H4" s="35"/>
      <c r="I4" s="35"/>
      <c r="J4" s="35"/>
      <c r="K4" s="35"/>
      <c r="L4" s="35"/>
      <c r="M4" s="35"/>
      <c r="N4" s="35"/>
      <c r="O4" s="35"/>
      <c r="P4" s="35"/>
      <c r="Q4" s="35"/>
      <c r="R4" s="35"/>
      <c r="S4" s="35"/>
      <c r="T4" s="35"/>
      <c r="U4" s="35"/>
      <c r="V4" s="35"/>
      <c r="W4" s="35"/>
      <c r="X4" s="35"/>
      <c r="Y4" s="35"/>
      <c r="Z4" s="35"/>
      <c r="AA4" s="35"/>
    </row>
    <row r="5">
      <c r="A5" s="23" t="s">
        <v>48</v>
      </c>
      <c r="B5" s="23" t="s">
        <v>67</v>
      </c>
      <c r="C5" s="26" t="s">
        <v>135</v>
      </c>
      <c r="D5" s="10" t="s">
        <v>137</v>
      </c>
      <c r="E5" s="33" t="s">
        <v>141</v>
      </c>
      <c r="F5" s="26" t="s">
        <v>142</v>
      </c>
      <c r="G5" s="26" t="s">
        <v>77</v>
      </c>
      <c r="H5" s="35"/>
      <c r="I5" s="35"/>
      <c r="J5" s="35"/>
      <c r="K5" s="35"/>
      <c r="L5" s="35"/>
      <c r="M5" s="35"/>
      <c r="N5" s="35"/>
      <c r="O5" s="35"/>
      <c r="P5" s="35"/>
      <c r="Q5" s="35"/>
      <c r="R5" s="35"/>
      <c r="S5" s="35"/>
      <c r="T5" s="35"/>
      <c r="U5" s="35"/>
      <c r="V5" s="35"/>
      <c r="W5" s="35"/>
      <c r="X5" s="35"/>
      <c r="Y5" s="35"/>
      <c r="Z5" s="35"/>
      <c r="AA5" s="35"/>
    </row>
    <row r="6">
      <c r="A6" s="23" t="s">
        <v>48</v>
      </c>
      <c r="B6" s="26"/>
      <c r="C6" s="26" t="s">
        <v>143</v>
      </c>
      <c r="D6" s="10" t="s">
        <v>145</v>
      </c>
      <c r="E6" s="33" t="s">
        <v>113</v>
      </c>
      <c r="F6" s="26" t="s">
        <v>150</v>
      </c>
      <c r="G6" s="26" t="s">
        <v>77</v>
      </c>
      <c r="H6" s="35"/>
      <c r="I6" s="35"/>
      <c r="J6" s="35"/>
      <c r="K6" s="35"/>
      <c r="L6" s="35"/>
      <c r="M6" s="35"/>
      <c r="N6" s="35"/>
      <c r="O6" s="35"/>
      <c r="P6" s="35"/>
      <c r="Q6" s="35"/>
      <c r="R6" s="35"/>
      <c r="S6" s="35"/>
      <c r="T6" s="35"/>
      <c r="U6" s="35"/>
      <c r="V6" s="35"/>
      <c r="W6" s="35"/>
      <c r="X6" s="35"/>
      <c r="Y6" s="35"/>
      <c r="Z6" s="35"/>
      <c r="AA6" s="35"/>
    </row>
    <row r="7" hidden="1">
      <c r="A7" s="23" t="s">
        <v>116</v>
      </c>
      <c r="B7" s="23" t="s">
        <v>67</v>
      </c>
      <c r="C7" s="49" t="s">
        <v>158</v>
      </c>
      <c r="D7" s="10" t="s">
        <v>159</v>
      </c>
      <c r="E7" s="53"/>
      <c r="F7" s="26" t="s">
        <v>164</v>
      </c>
      <c r="G7" s="26" t="s">
        <v>80</v>
      </c>
      <c r="H7" s="35"/>
      <c r="I7" s="35"/>
      <c r="J7" s="35"/>
      <c r="K7" s="35"/>
      <c r="L7" s="35"/>
      <c r="M7" s="35"/>
      <c r="N7" s="35"/>
      <c r="O7" s="35"/>
      <c r="P7" s="35"/>
      <c r="Q7" s="35"/>
      <c r="R7" s="35"/>
      <c r="S7" s="35"/>
      <c r="T7" s="35"/>
      <c r="U7" s="35"/>
      <c r="V7" s="35"/>
      <c r="W7" s="35"/>
      <c r="X7" s="35"/>
      <c r="Y7" s="35"/>
      <c r="Z7" s="35"/>
      <c r="AA7" s="35"/>
    </row>
    <row r="8" hidden="1">
      <c r="A8" s="23" t="s">
        <v>116</v>
      </c>
      <c r="B8" s="26"/>
      <c r="C8" s="26" t="s">
        <v>165</v>
      </c>
      <c r="D8" s="10" t="s">
        <v>166</v>
      </c>
      <c r="E8" s="53"/>
      <c r="F8" s="26" t="s">
        <v>168</v>
      </c>
      <c r="G8" s="26" t="s">
        <v>80</v>
      </c>
      <c r="H8" s="35"/>
      <c r="I8" s="35"/>
      <c r="J8" s="35"/>
      <c r="K8" s="35"/>
      <c r="L8" s="35"/>
      <c r="M8" s="35"/>
      <c r="N8" s="35"/>
      <c r="O8" s="35"/>
      <c r="P8" s="35"/>
      <c r="Q8" s="35"/>
      <c r="R8" s="35"/>
      <c r="S8" s="35"/>
      <c r="T8" s="35"/>
      <c r="U8" s="35"/>
      <c r="V8" s="35"/>
      <c r="W8" s="35"/>
      <c r="X8" s="35"/>
      <c r="Y8" s="35"/>
      <c r="Z8" s="35"/>
      <c r="AA8" s="35"/>
    </row>
    <row r="9" hidden="1">
      <c r="A9" s="23" t="s">
        <v>116</v>
      </c>
      <c r="B9" s="26"/>
      <c r="C9" s="26" t="s">
        <v>170</v>
      </c>
      <c r="D9" s="26" t="s">
        <v>171</v>
      </c>
      <c r="E9" s="53"/>
      <c r="F9" s="26" t="s">
        <v>172</v>
      </c>
      <c r="G9" s="26" t="s">
        <v>73</v>
      </c>
      <c r="H9" s="35"/>
      <c r="I9" s="35"/>
      <c r="J9" s="35"/>
      <c r="K9" s="35"/>
      <c r="L9" s="35"/>
      <c r="M9" s="35"/>
      <c r="N9" s="35"/>
      <c r="O9" s="35"/>
      <c r="P9" s="35"/>
      <c r="Q9" s="35"/>
      <c r="R9" s="35"/>
      <c r="S9" s="35"/>
      <c r="T9" s="35"/>
      <c r="U9" s="35"/>
      <c r="V9" s="35"/>
      <c r="W9" s="35"/>
      <c r="X9" s="35"/>
      <c r="Y9" s="35"/>
      <c r="Z9" s="35"/>
      <c r="AA9" s="35"/>
    </row>
    <row r="10">
      <c r="A10" s="23" t="s">
        <v>174</v>
      </c>
      <c r="B10" s="26" t="s">
        <v>178</v>
      </c>
      <c r="C10" s="26" t="s">
        <v>179</v>
      </c>
      <c r="D10" s="26" t="s">
        <v>181</v>
      </c>
      <c r="E10" s="33" t="s">
        <v>183</v>
      </c>
      <c r="F10" s="26" t="s">
        <v>184</v>
      </c>
      <c r="G10" s="26" t="s">
        <v>77</v>
      </c>
      <c r="H10" s="35"/>
      <c r="I10" s="35"/>
      <c r="J10" s="35"/>
      <c r="K10" s="35"/>
      <c r="L10" s="35"/>
      <c r="M10" s="35"/>
      <c r="N10" s="35"/>
      <c r="O10" s="35"/>
      <c r="P10" s="35"/>
      <c r="Q10" s="35"/>
      <c r="R10" s="35"/>
      <c r="S10" s="35"/>
      <c r="T10" s="35"/>
      <c r="U10" s="35"/>
      <c r="V10" s="35"/>
      <c r="W10" s="35"/>
      <c r="X10" s="35"/>
      <c r="Y10" s="35"/>
      <c r="Z10" s="35"/>
      <c r="AA10" s="35"/>
    </row>
    <row r="11" hidden="1">
      <c r="A11" s="23" t="s">
        <v>119</v>
      </c>
      <c r="B11" s="26"/>
      <c r="C11" s="26" t="s">
        <v>191</v>
      </c>
      <c r="D11" s="26" t="s">
        <v>192</v>
      </c>
      <c r="E11" s="33" t="s">
        <v>113</v>
      </c>
      <c r="F11" s="34"/>
      <c r="G11" s="26" t="s">
        <v>73</v>
      </c>
      <c r="H11" s="35"/>
      <c r="I11" s="35"/>
      <c r="J11" s="35"/>
      <c r="K11" s="35"/>
      <c r="L11" s="35"/>
      <c r="M11" s="35"/>
      <c r="N11" s="35"/>
      <c r="O11" s="35"/>
      <c r="P11" s="35"/>
      <c r="Q11" s="35"/>
      <c r="R11" s="35"/>
      <c r="S11" s="35"/>
      <c r="T11" s="35"/>
      <c r="U11" s="35"/>
      <c r="V11" s="35"/>
      <c r="W11" s="35"/>
      <c r="X11" s="35"/>
      <c r="Y11" s="35"/>
      <c r="Z11" s="35"/>
      <c r="AA11" s="35"/>
    </row>
    <row r="12" hidden="1">
      <c r="A12" s="23" t="s">
        <v>119</v>
      </c>
      <c r="B12" s="26"/>
      <c r="C12" s="26" t="s">
        <v>194</v>
      </c>
      <c r="D12" s="23" t="s">
        <v>195</v>
      </c>
      <c r="E12" s="33" t="s">
        <v>198</v>
      </c>
      <c r="F12" s="34"/>
      <c r="G12" s="26" t="s">
        <v>73</v>
      </c>
      <c r="H12" s="35"/>
      <c r="I12" s="35"/>
      <c r="J12" s="35"/>
      <c r="K12" s="35"/>
      <c r="L12" s="35"/>
      <c r="M12" s="35"/>
      <c r="N12" s="35"/>
      <c r="O12" s="35"/>
      <c r="P12" s="35"/>
      <c r="Q12" s="35"/>
      <c r="R12" s="35"/>
      <c r="S12" s="35"/>
      <c r="T12" s="35"/>
      <c r="U12" s="35"/>
      <c r="V12" s="35"/>
      <c r="W12" s="35"/>
      <c r="X12" s="35"/>
      <c r="Y12" s="35"/>
      <c r="Z12" s="35"/>
      <c r="AA12" s="35"/>
    </row>
    <row r="13" hidden="1">
      <c r="A13" s="23" t="s">
        <v>119</v>
      </c>
      <c r="B13" s="26"/>
      <c r="C13" s="26" t="s">
        <v>199</v>
      </c>
      <c r="D13" s="26" t="s">
        <v>200</v>
      </c>
      <c r="E13" s="33"/>
      <c r="F13" s="34"/>
      <c r="G13" s="26" t="s">
        <v>80</v>
      </c>
      <c r="H13" s="35"/>
      <c r="I13" s="35"/>
      <c r="J13" s="35"/>
      <c r="K13" s="35"/>
      <c r="L13" s="35"/>
      <c r="M13" s="35"/>
      <c r="N13" s="35"/>
      <c r="O13" s="35"/>
      <c r="P13" s="35"/>
      <c r="Q13" s="35"/>
      <c r="R13" s="35"/>
      <c r="S13" s="35"/>
      <c r="T13" s="35"/>
      <c r="U13" s="35"/>
      <c r="V13" s="35"/>
      <c r="W13" s="35"/>
      <c r="X13" s="35"/>
      <c r="Y13" s="35"/>
      <c r="Z13" s="35"/>
      <c r="AA13" s="35"/>
    </row>
    <row r="14" hidden="1">
      <c r="A14" s="23" t="s">
        <v>201</v>
      </c>
      <c r="B14" s="23" t="s">
        <v>169</v>
      </c>
      <c r="C14" s="26" t="s">
        <v>207</v>
      </c>
      <c r="D14" s="10" t="s">
        <v>208</v>
      </c>
      <c r="E14" s="53"/>
      <c r="F14" s="26" t="s">
        <v>209</v>
      </c>
      <c r="G14" s="26" t="s">
        <v>80</v>
      </c>
      <c r="H14" s="35"/>
      <c r="I14" s="35"/>
      <c r="J14" s="35"/>
      <c r="K14" s="35"/>
      <c r="L14" s="35"/>
      <c r="M14" s="35"/>
      <c r="N14" s="35"/>
      <c r="O14" s="35"/>
      <c r="P14" s="35"/>
      <c r="Q14" s="35"/>
      <c r="R14" s="35"/>
      <c r="S14" s="35"/>
      <c r="T14" s="35"/>
      <c r="U14" s="35"/>
      <c r="V14" s="35"/>
      <c r="W14" s="35"/>
      <c r="X14" s="35"/>
      <c r="Y14" s="35"/>
      <c r="Z14" s="35"/>
      <c r="AA14" s="35"/>
    </row>
    <row r="15" hidden="1">
      <c r="A15" s="23" t="s">
        <v>204</v>
      </c>
      <c r="B15" s="23" t="s">
        <v>210</v>
      </c>
      <c r="C15" s="26" t="s">
        <v>211</v>
      </c>
      <c r="D15" s="10" t="s">
        <v>213</v>
      </c>
      <c r="E15" s="53"/>
      <c r="F15" s="10" t="s">
        <v>218</v>
      </c>
      <c r="G15" s="26" t="s">
        <v>73</v>
      </c>
      <c r="H15" s="35"/>
      <c r="I15" s="35"/>
      <c r="J15" s="35"/>
      <c r="K15" s="35"/>
      <c r="L15" s="35"/>
      <c r="M15" s="35"/>
      <c r="N15" s="35"/>
      <c r="O15" s="35"/>
      <c r="P15" s="35"/>
      <c r="Q15" s="35"/>
      <c r="R15" s="35"/>
      <c r="S15" s="35"/>
      <c r="T15" s="35"/>
      <c r="U15" s="35"/>
      <c r="V15" s="35"/>
      <c r="W15" s="35"/>
      <c r="X15" s="35"/>
      <c r="Y15" s="35"/>
      <c r="Z15" s="35"/>
      <c r="AA15" s="35"/>
    </row>
    <row r="16" hidden="1">
      <c r="A16" s="23" t="s">
        <v>116</v>
      </c>
      <c r="B16" s="26"/>
      <c r="C16" s="26" t="s">
        <v>222</v>
      </c>
      <c r="D16" s="10" t="s">
        <v>223</v>
      </c>
      <c r="E16" s="33" t="s">
        <v>225</v>
      </c>
      <c r="F16" s="26" t="s">
        <v>226</v>
      </c>
      <c r="G16" s="26" t="s">
        <v>73</v>
      </c>
      <c r="H16" s="35"/>
      <c r="I16" s="35"/>
      <c r="J16" s="35"/>
      <c r="K16" s="35"/>
      <c r="L16" s="35"/>
      <c r="M16" s="35"/>
      <c r="N16" s="35"/>
      <c r="O16" s="35"/>
      <c r="P16" s="35"/>
      <c r="Q16" s="35"/>
      <c r="R16" s="35"/>
      <c r="S16" s="35"/>
      <c r="T16" s="35"/>
      <c r="U16" s="35"/>
      <c r="V16" s="35"/>
      <c r="W16" s="35"/>
      <c r="X16" s="35"/>
      <c r="Y16" s="35"/>
      <c r="Z16" s="35"/>
      <c r="AA16" s="35"/>
    </row>
    <row r="17">
      <c r="A17" s="23" t="s">
        <v>116</v>
      </c>
      <c r="B17" s="26"/>
      <c r="C17" s="26" t="s">
        <v>228</v>
      </c>
      <c r="D17" s="26" t="s">
        <v>229</v>
      </c>
      <c r="E17" s="53"/>
      <c r="F17" s="26" t="s">
        <v>230</v>
      </c>
      <c r="G17" s="26" t="s">
        <v>77</v>
      </c>
      <c r="H17" s="35"/>
      <c r="I17" s="35"/>
      <c r="J17" s="35"/>
      <c r="K17" s="35"/>
      <c r="L17" s="35"/>
      <c r="M17" s="35"/>
      <c r="N17" s="35"/>
      <c r="O17" s="35"/>
      <c r="P17" s="35"/>
      <c r="Q17" s="35"/>
      <c r="R17" s="35"/>
      <c r="S17" s="35"/>
      <c r="T17" s="35"/>
      <c r="U17" s="35"/>
      <c r="V17" s="35"/>
      <c r="W17" s="35"/>
      <c r="X17" s="35"/>
      <c r="Y17" s="35"/>
      <c r="Z17" s="35"/>
      <c r="AA17" s="35"/>
    </row>
    <row r="18">
      <c r="A18" s="62" t="s">
        <v>116</v>
      </c>
      <c r="B18" s="62"/>
      <c r="C18" s="62" t="s">
        <v>232</v>
      </c>
      <c r="D18" s="62" t="s">
        <v>233</v>
      </c>
      <c r="E18" s="63"/>
      <c r="F18" s="62" t="s">
        <v>234</v>
      </c>
      <c r="G18" s="26" t="s">
        <v>76</v>
      </c>
      <c r="H18" s="35"/>
      <c r="I18" s="35"/>
      <c r="J18" s="35"/>
      <c r="K18" s="35"/>
      <c r="L18" s="35"/>
      <c r="M18" s="35"/>
      <c r="N18" s="35"/>
      <c r="O18" s="35"/>
      <c r="P18" s="35"/>
      <c r="Q18" s="35"/>
      <c r="R18" s="35"/>
      <c r="S18" s="35"/>
      <c r="T18" s="35"/>
      <c r="U18" s="35"/>
      <c r="V18" s="35"/>
      <c r="W18" s="35"/>
      <c r="X18" s="35"/>
      <c r="Y18" s="35"/>
      <c r="Z18" s="35"/>
      <c r="AA18" s="35"/>
    </row>
    <row r="19">
      <c r="A19" s="23" t="s">
        <v>116</v>
      </c>
      <c r="B19" s="49"/>
      <c r="C19" s="64" t="s">
        <v>236</v>
      </c>
      <c r="D19" s="26" t="s">
        <v>237</v>
      </c>
      <c r="E19" s="53"/>
      <c r="F19" s="26" t="s">
        <v>238</v>
      </c>
      <c r="G19" s="26" t="s">
        <v>73</v>
      </c>
      <c r="H19" s="65"/>
      <c r="I19" s="35"/>
      <c r="J19" s="35"/>
      <c r="K19" s="35"/>
      <c r="L19" s="35"/>
      <c r="M19" s="35"/>
      <c r="N19" s="35"/>
      <c r="O19" s="35"/>
      <c r="P19" s="35"/>
      <c r="Q19" s="35"/>
      <c r="R19" s="35"/>
      <c r="S19" s="35"/>
      <c r="T19" s="35"/>
      <c r="U19" s="35"/>
      <c r="V19" s="35"/>
      <c r="W19" s="35"/>
      <c r="X19" s="35"/>
      <c r="Y19" s="35"/>
      <c r="Z19" s="35"/>
      <c r="AA19" s="35"/>
    </row>
    <row r="20" hidden="1">
      <c r="A20" s="23" t="s">
        <v>116</v>
      </c>
      <c r="B20" s="66" t="s">
        <v>240</v>
      </c>
      <c r="C20" s="67" t="s">
        <v>242</v>
      </c>
      <c r="D20" s="26" t="s">
        <v>243</v>
      </c>
      <c r="E20" s="33" t="s">
        <v>244</v>
      </c>
      <c r="F20" s="26" t="s">
        <v>245</v>
      </c>
      <c r="G20" s="26" t="s">
        <v>73</v>
      </c>
      <c r="H20" s="35"/>
      <c r="I20" s="35"/>
      <c r="J20" s="35"/>
      <c r="K20" s="35"/>
      <c r="L20" s="35"/>
      <c r="M20" s="35"/>
      <c r="N20" s="35"/>
      <c r="O20" s="35"/>
      <c r="P20" s="35"/>
      <c r="Q20" s="35"/>
      <c r="R20" s="35"/>
      <c r="S20" s="35"/>
      <c r="T20" s="35"/>
      <c r="U20" s="35"/>
      <c r="V20" s="35"/>
      <c r="W20" s="35"/>
      <c r="X20" s="35"/>
      <c r="Y20" s="35"/>
      <c r="Z20" s="35"/>
      <c r="AA20" s="35"/>
    </row>
    <row r="21">
      <c r="A21" s="23" t="s">
        <v>116</v>
      </c>
      <c r="B21" s="26"/>
      <c r="C21" s="26" t="s">
        <v>246</v>
      </c>
      <c r="D21" s="10" t="s">
        <v>247</v>
      </c>
      <c r="E21" s="53"/>
      <c r="F21" s="26" t="s">
        <v>250</v>
      </c>
      <c r="G21" s="26" t="s">
        <v>77</v>
      </c>
      <c r="H21" s="35"/>
      <c r="I21" s="35"/>
      <c r="J21" s="35"/>
      <c r="K21" s="35"/>
      <c r="L21" s="35"/>
      <c r="M21" s="35"/>
      <c r="N21" s="35"/>
      <c r="O21" s="35"/>
      <c r="P21" s="35"/>
      <c r="Q21" s="35"/>
      <c r="R21" s="35"/>
      <c r="S21" s="35"/>
      <c r="T21" s="35"/>
      <c r="U21" s="35"/>
      <c r="V21" s="35"/>
      <c r="W21" s="35"/>
      <c r="X21" s="35"/>
      <c r="Y21" s="35"/>
      <c r="Z21" s="35"/>
      <c r="AA21" s="35"/>
    </row>
    <row r="22" hidden="1">
      <c r="A22" s="23" t="s">
        <v>116</v>
      </c>
      <c r="B22" s="26"/>
      <c r="C22" s="26" t="s">
        <v>252</v>
      </c>
      <c r="D22" s="10" t="s">
        <v>253</v>
      </c>
      <c r="E22" s="53"/>
      <c r="F22" s="26" t="s">
        <v>255</v>
      </c>
      <c r="G22" s="26" t="s">
        <v>80</v>
      </c>
      <c r="H22" s="35"/>
      <c r="I22" s="35"/>
      <c r="J22" s="35"/>
      <c r="K22" s="35"/>
      <c r="L22" s="35"/>
      <c r="M22" s="35"/>
      <c r="N22" s="35"/>
      <c r="O22" s="35"/>
      <c r="P22" s="35"/>
      <c r="Q22" s="35"/>
      <c r="R22" s="35"/>
      <c r="S22" s="35"/>
      <c r="T22" s="35"/>
      <c r="U22" s="35"/>
      <c r="V22" s="35"/>
      <c r="W22" s="35"/>
      <c r="X22" s="35"/>
      <c r="Y22" s="35"/>
      <c r="Z22" s="35"/>
      <c r="AA22" s="35"/>
    </row>
    <row r="23" hidden="1">
      <c r="A23" s="23" t="s">
        <v>201</v>
      </c>
      <c r="B23" s="23" t="s">
        <v>256</v>
      </c>
      <c r="C23" s="26" t="s">
        <v>263</v>
      </c>
      <c r="D23" s="10" t="s">
        <v>264</v>
      </c>
      <c r="E23" s="53"/>
      <c r="F23" s="26" t="s">
        <v>265</v>
      </c>
      <c r="G23" s="26" t="s">
        <v>73</v>
      </c>
      <c r="H23" s="35"/>
      <c r="I23" s="35"/>
      <c r="J23" s="35"/>
      <c r="K23" s="35"/>
      <c r="L23" s="35"/>
      <c r="M23" s="35"/>
      <c r="N23" s="35"/>
      <c r="O23" s="35"/>
      <c r="P23" s="35"/>
      <c r="Q23" s="35"/>
      <c r="R23" s="35"/>
      <c r="S23" s="35"/>
      <c r="T23" s="35"/>
      <c r="U23" s="35"/>
      <c r="V23" s="35"/>
      <c r="W23" s="35"/>
      <c r="X23" s="35"/>
      <c r="Y23" s="35"/>
      <c r="Z23" s="35"/>
      <c r="AA23" s="35"/>
    </row>
    <row r="24">
      <c r="A24" s="23" t="s">
        <v>116</v>
      </c>
      <c r="B24" s="26"/>
      <c r="C24" s="26" t="s">
        <v>267</v>
      </c>
      <c r="D24" s="10" t="s">
        <v>268</v>
      </c>
      <c r="E24" s="53"/>
      <c r="F24" s="26" t="s">
        <v>269</v>
      </c>
      <c r="G24" s="26" t="s">
        <v>77</v>
      </c>
      <c r="H24" s="35"/>
      <c r="I24" s="35"/>
      <c r="J24" s="35"/>
      <c r="K24" s="35"/>
      <c r="L24" s="35"/>
      <c r="M24" s="35"/>
      <c r="N24" s="35"/>
      <c r="O24" s="35"/>
      <c r="P24" s="35"/>
      <c r="Q24" s="35"/>
      <c r="R24" s="35"/>
      <c r="S24" s="35"/>
      <c r="T24" s="35"/>
      <c r="U24" s="35"/>
      <c r="V24" s="35"/>
      <c r="W24" s="35"/>
      <c r="X24" s="35"/>
      <c r="Y24" s="35"/>
      <c r="Z24" s="35"/>
      <c r="AA24" s="35"/>
    </row>
    <row r="25">
      <c r="A25" s="23" t="s">
        <v>116</v>
      </c>
      <c r="B25" s="26"/>
      <c r="C25" s="26" t="s">
        <v>270</v>
      </c>
      <c r="D25" s="10" t="s">
        <v>271</v>
      </c>
      <c r="E25" s="53"/>
      <c r="F25" s="26" t="s">
        <v>274</v>
      </c>
      <c r="G25" s="26" t="s">
        <v>77</v>
      </c>
      <c r="H25" s="35"/>
      <c r="I25" s="35"/>
      <c r="J25" s="35"/>
      <c r="K25" s="35"/>
      <c r="L25" s="35"/>
      <c r="M25" s="35"/>
      <c r="N25" s="35"/>
      <c r="O25" s="35"/>
      <c r="P25" s="35"/>
      <c r="Q25" s="35"/>
      <c r="R25" s="35"/>
      <c r="S25" s="35"/>
      <c r="T25" s="35"/>
      <c r="U25" s="35"/>
      <c r="V25" s="35"/>
      <c r="W25" s="35"/>
      <c r="X25" s="35"/>
      <c r="Y25" s="35"/>
      <c r="Z25" s="35"/>
      <c r="AA25" s="35"/>
    </row>
    <row r="26">
      <c r="A26" s="23" t="s">
        <v>117</v>
      </c>
      <c r="B26" s="23" t="s">
        <v>227</v>
      </c>
      <c r="C26" s="26" t="s">
        <v>276</v>
      </c>
      <c r="D26" s="47" t="s">
        <v>277</v>
      </c>
      <c r="E26" s="33" t="s">
        <v>113</v>
      </c>
      <c r="F26" s="10" t="s">
        <v>278</v>
      </c>
      <c r="G26" s="26" t="s">
        <v>77</v>
      </c>
      <c r="H26" s="35"/>
      <c r="I26" s="35"/>
      <c r="J26" s="35"/>
      <c r="K26" s="35"/>
      <c r="L26" s="35"/>
      <c r="M26" s="35"/>
      <c r="N26" s="35"/>
      <c r="O26" s="35"/>
      <c r="P26" s="35"/>
      <c r="Q26" s="35"/>
      <c r="R26" s="35"/>
      <c r="S26" s="35"/>
      <c r="T26" s="35"/>
      <c r="U26" s="35"/>
      <c r="V26" s="35"/>
      <c r="W26" s="35"/>
      <c r="X26" s="35"/>
      <c r="Y26" s="35"/>
      <c r="Z26" s="35"/>
      <c r="AA26" s="35"/>
    </row>
    <row r="27" hidden="1">
      <c r="A27" s="23" t="s">
        <v>117</v>
      </c>
      <c r="B27" s="23" t="s">
        <v>227</v>
      </c>
      <c r="C27" s="26" t="s">
        <v>280</v>
      </c>
      <c r="D27" s="26" t="s">
        <v>281</v>
      </c>
      <c r="E27" s="33"/>
      <c r="F27" s="47" t="s">
        <v>282</v>
      </c>
      <c r="G27" s="26" t="s">
        <v>73</v>
      </c>
      <c r="H27" s="35"/>
      <c r="I27" s="35"/>
      <c r="J27" s="35"/>
      <c r="K27" s="35"/>
      <c r="L27" s="35"/>
      <c r="M27" s="35"/>
      <c r="N27" s="35"/>
      <c r="O27" s="35"/>
      <c r="P27" s="35"/>
      <c r="Q27" s="35"/>
      <c r="R27" s="35"/>
      <c r="S27" s="35"/>
      <c r="T27" s="35"/>
      <c r="U27" s="35"/>
      <c r="V27" s="35"/>
      <c r="W27" s="35"/>
      <c r="X27" s="35"/>
      <c r="Y27" s="35"/>
      <c r="Z27" s="35"/>
      <c r="AA27" s="35"/>
    </row>
    <row r="28">
      <c r="A28" s="23" t="s">
        <v>117</v>
      </c>
      <c r="B28" s="23" t="s">
        <v>227</v>
      </c>
      <c r="C28" s="26" t="s">
        <v>283</v>
      </c>
      <c r="D28" s="26" t="s">
        <v>285</v>
      </c>
      <c r="E28" s="33" t="s">
        <v>113</v>
      </c>
      <c r="F28" s="10" t="s">
        <v>286</v>
      </c>
      <c r="G28" s="26" t="s">
        <v>77</v>
      </c>
      <c r="H28" s="35"/>
      <c r="I28" s="35"/>
      <c r="J28" s="35"/>
      <c r="K28" s="35"/>
      <c r="L28" s="35"/>
      <c r="M28" s="35"/>
      <c r="N28" s="35"/>
      <c r="O28" s="35"/>
      <c r="P28" s="35"/>
      <c r="Q28" s="35"/>
      <c r="R28" s="35"/>
      <c r="S28" s="35"/>
      <c r="T28" s="35"/>
      <c r="U28" s="35"/>
      <c r="V28" s="35"/>
      <c r="W28" s="35"/>
      <c r="X28" s="35"/>
      <c r="Y28" s="35"/>
      <c r="Z28" s="35"/>
      <c r="AA28" s="35"/>
    </row>
    <row r="29">
      <c r="A29" s="23" t="s">
        <v>117</v>
      </c>
      <c r="B29" s="26"/>
      <c r="C29" s="26" t="s">
        <v>289</v>
      </c>
      <c r="D29" s="47" t="s">
        <v>290</v>
      </c>
      <c r="E29" s="33" t="s">
        <v>113</v>
      </c>
      <c r="F29" s="10" t="s">
        <v>291</v>
      </c>
      <c r="G29" s="26" t="s">
        <v>77</v>
      </c>
      <c r="H29" s="35"/>
      <c r="I29" s="35"/>
      <c r="J29" s="35"/>
      <c r="K29" s="35"/>
      <c r="L29" s="35"/>
      <c r="M29" s="35"/>
      <c r="N29" s="35"/>
      <c r="O29" s="35"/>
      <c r="P29" s="35"/>
      <c r="Q29" s="35"/>
      <c r="R29" s="35"/>
      <c r="S29" s="35"/>
      <c r="T29" s="35"/>
      <c r="U29" s="35"/>
      <c r="V29" s="35"/>
      <c r="W29" s="35"/>
      <c r="X29" s="35"/>
      <c r="Y29" s="35"/>
      <c r="Z29" s="35"/>
      <c r="AA29" s="35"/>
    </row>
    <row r="30">
      <c r="A30" s="23" t="s">
        <v>157</v>
      </c>
      <c r="B30" s="23" t="s">
        <v>294</v>
      </c>
      <c r="C30" s="26" t="s">
        <v>295</v>
      </c>
      <c r="D30" s="26" t="s">
        <v>296</v>
      </c>
      <c r="E30" s="33" t="s">
        <v>113</v>
      </c>
      <c r="F30" s="34"/>
      <c r="G30" s="26" t="s">
        <v>77</v>
      </c>
      <c r="H30" s="35"/>
      <c r="I30" s="35"/>
      <c r="J30" s="35"/>
      <c r="K30" s="35"/>
      <c r="L30" s="35"/>
      <c r="M30" s="35"/>
      <c r="N30" s="35"/>
      <c r="O30" s="35"/>
      <c r="P30" s="35"/>
      <c r="Q30" s="35"/>
      <c r="R30" s="35"/>
      <c r="S30" s="35"/>
      <c r="T30" s="35"/>
      <c r="U30" s="35"/>
      <c r="V30" s="35"/>
      <c r="W30" s="35"/>
      <c r="X30" s="35"/>
      <c r="Y30" s="35"/>
      <c r="Z30" s="35"/>
      <c r="AA30" s="35"/>
    </row>
    <row r="31">
      <c r="A31" s="23" t="s">
        <v>157</v>
      </c>
      <c r="B31" s="23" t="s">
        <v>294</v>
      </c>
      <c r="C31" s="26" t="s">
        <v>298</v>
      </c>
      <c r="D31" s="26" t="s">
        <v>299</v>
      </c>
      <c r="E31" s="33" t="s">
        <v>113</v>
      </c>
      <c r="F31" s="34"/>
      <c r="G31" s="26" t="s">
        <v>77</v>
      </c>
      <c r="H31" s="35"/>
      <c r="I31" s="35"/>
      <c r="J31" s="35"/>
      <c r="K31" s="35"/>
      <c r="L31" s="35"/>
      <c r="M31" s="35"/>
      <c r="N31" s="35"/>
      <c r="O31" s="35"/>
      <c r="P31" s="35"/>
      <c r="Q31" s="35"/>
      <c r="R31" s="35"/>
      <c r="S31" s="35"/>
      <c r="T31" s="35"/>
      <c r="U31" s="35"/>
      <c r="V31" s="35"/>
      <c r="W31" s="35"/>
      <c r="X31" s="35"/>
      <c r="Y31" s="35"/>
      <c r="Z31" s="35"/>
      <c r="AA31" s="35"/>
    </row>
    <row r="32">
      <c r="A32" s="23" t="s">
        <v>157</v>
      </c>
      <c r="B32" s="23" t="s">
        <v>294</v>
      </c>
      <c r="C32" s="26" t="s">
        <v>301</v>
      </c>
      <c r="D32" s="26" t="s">
        <v>302</v>
      </c>
      <c r="E32" s="33" t="s">
        <v>113</v>
      </c>
      <c r="F32" s="34"/>
      <c r="G32" s="26" t="s">
        <v>77</v>
      </c>
      <c r="H32" s="35"/>
      <c r="I32" s="35"/>
      <c r="J32" s="35"/>
      <c r="K32" s="35"/>
      <c r="L32" s="35"/>
      <c r="M32" s="35"/>
      <c r="N32" s="35"/>
      <c r="O32" s="35"/>
      <c r="P32" s="35"/>
      <c r="Q32" s="35"/>
      <c r="R32" s="35"/>
      <c r="S32" s="35"/>
      <c r="T32" s="35"/>
      <c r="U32" s="35"/>
      <c r="V32" s="35"/>
      <c r="W32" s="35"/>
      <c r="X32" s="35"/>
      <c r="Y32" s="35"/>
      <c r="Z32" s="35"/>
      <c r="AA32" s="35"/>
    </row>
    <row r="33">
      <c r="A33" s="23" t="s">
        <v>205</v>
      </c>
      <c r="B33" s="23" t="s">
        <v>294</v>
      </c>
      <c r="C33" s="26" t="s">
        <v>304</v>
      </c>
      <c r="D33" s="26" t="s">
        <v>306</v>
      </c>
      <c r="E33" s="33" t="s">
        <v>113</v>
      </c>
      <c r="F33" s="34"/>
      <c r="G33" s="26" t="s">
        <v>77</v>
      </c>
      <c r="H33" s="35"/>
      <c r="I33" s="35"/>
      <c r="J33" s="35"/>
      <c r="K33" s="35"/>
      <c r="L33" s="35"/>
      <c r="M33" s="35"/>
      <c r="N33" s="35"/>
      <c r="O33" s="35"/>
      <c r="P33" s="35"/>
      <c r="Q33" s="35"/>
      <c r="R33" s="35"/>
      <c r="S33" s="35"/>
      <c r="T33" s="35"/>
      <c r="U33" s="35"/>
      <c r="V33" s="35"/>
      <c r="W33" s="35"/>
      <c r="X33" s="35"/>
      <c r="Y33" s="35"/>
      <c r="Z33" s="35"/>
      <c r="AA33" s="35"/>
    </row>
    <row r="34" hidden="1">
      <c r="A34" s="23" t="s">
        <v>32</v>
      </c>
      <c r="B34" s="23" t="s">
        <v>308</v>
      </c>
      <c r="C34" s="26" t="s">
        <v>309</v>
      </c>
      <c r="D34" s="26" t="s">
        <v>311</v>
      </c>
      <c r="E34" s="33" t="s">
        <v>312</v>
      </c>
      <c r="F34" s="10" t="s">
        <v>314</v>
      </c>
      <c r="G34" s="26" t="s">
        <v>73</v>
      </c>
      <c r="H34" s="35"/>
      <c r="I34" s="35"/>
      <c r="J34" s="35"/>
      <c r="K34" s="35"/>
      <c r="L34" s="35"/>
      <c r="M34" s="35"/>
      <c r="N34" s="35"/>
      <c r="O34" s="35"/>
      <c r="P34" s="35"/>
      <c r="Q34" s="35"/>
      <c r="R34" s="35"/>
      <c r="S34" s="35"/>
      <c r="T34" s="35"/>
      <c r="U34" s="35"/>
      <c r="V34" s="35"/>
      <c r="W34" s="35"/>
      <c r="X34" s="35"/>
      <c r="Y34" s="35"/>
      <c r="Z34" s="35"/>
      <c r="AA34" s="35"/>
    </row>
    <row r="35">
      <c r="A35" s="23" t="s">
        <v>134</v>
      </c>
      <c r="B35" s="23" t="s">
        <v>315</v>
      </c>
      <c r="C35" s="26" t="s">
        <v>317</v>
      </c>
      <c r="D35" s="26" t="s">
        <v>318</v>
      </c>
      <c r="E35" s="33" t="s">
        <v>113</v>
      </c>
      <c r="F35" s="26" t="s">
        <v>319</v>
      </c>
      <c r="G35" s="26" t="s">
        <v>77</v>
      </c>
      <c r="H35" s="35"/>
      <c r="I35" s="35"/>
      <c r="J35" s="35"/>
      <c r="K35" s="35"/>
      <c r="L35" s="35"/>
      <c r="M35" s="35"/>
      <c r="N35" s="35"/>
      <c r="O35" s="35"/>
      <c r="P35" s="35"/>
      <c r="Q35" s="35"/>
      <c r="R35" s="35"/>
      <c r="S35" s="35"/>
      <c r="T35" s="35"/>
      <c r="U35" s="35"/>
      <c r="V35" s="35"/>
      <c r="W35" s="35"/>
      <c r="X35" s="35"/>
      <c r="Y35" s="35"/>
      <c r="Z35" s="35"/>
      <c r="AA35" s="35"/>
    </row>
    <row r="36" hidden="1">
      <c r="A36" s="23" t="s">
        <v>87</v>
      </c>
      <c r="B36" s="26"/>
      <c r="C36" s="26" t="s">
        <v>322</v>
      </c>
      <c r="D36" s="26" t="s">
        <v>323</v>
      </c>
      <c r="E36" s="33" t="s">
        <v>324</v>
      </c>
      <c r="F36" s="34"/>
      <c r="G36" s="26" t="s">
        <v>73</v>
      </c>
      <c r="H36" s="35"/>
      <c r="I36" s="35"/>
      <c r="J36" s="35"/>
      <c r="K36" s="35"/>
      <c r="L36" s="35"/>
      <c r="M36" s="35"/>
      <c r="N36" s="35"/>
      <c r="O36" s="35"/>
      <c r="P36" s="35"/>
      <c r="Q36" s="35"/>
      <c r="R36" s="35"/>
      <c r="S36" s="35"/>
      <c r="T36" s="35"/>
      <c r="U36" s="35"/>
      <c r="V36" s="35"/>
      <c r="W36" s="35"/>
      <c r="X36" s="35"/>
      <c r="Y36" s="35"/>
      <c r="Z36" s="35"/>
      <c r="AA36" s="35"/>
    </row>
    <row r="37" hidden="1">
      <c r="A37" s="23" t="s">
        <v>87</v>
      </c>
      <c r="B37" s="26"/>
      <c r="C37" s="26" t="s">
        <v>327</v>
      </c>
      <c r="D37" s="26" t="s">
        <v>328</v>
      </c>
      <c r="E37" s="33" t="s">
        <v>329</v>
      </c>
      <c r="F37" s="34"/>
      <c r="G37" s="26" t="s">
        <v>73</v>
      </c>
      <c r="H37" s="35"/>
      <c r="I37" s="35"/>
      <c r="J37" s="35"/>
      <c r="K37" s="35"/>
      <c r="L37" s="35"/>
      <c r="M37" s="35"/>
      <c r="N37" s="35"/>
      <c r="O37" s="35"/>
      <c r="P37" s="35"/>
      <c r="Q37" s="35"/>
      <c r="R37" s="35"/>
      <c r="S37" s="35"/>
      <c r="T37" s="35"/>
      <c r="U37" s="35"/>
      <c r="V37" s="35"/>
      <c r="W37" s="35"/>
      <c r="X37" s="35"/>
      <c r="Y37" s="35"/>
      <c r="Z37" s="35"/>
      <c r="AA37" s="35"/>
    </row>
    <row r="38" hidden="1">
      <c r="A38" s="23" t="s">
        <v>87</v>
      </c>
      <c r="B38" s="26"/>
      <c r="C38" s="26" t="s">
        <v>251</v>
      </c>
      <c r="D38" s="26" t="s">
        <v>330</v>
      </c>
      <c r="E38" s="33" t="s">
        <v>188</v>
      </c>
      <c r="F38" s="34"/>
      <c r="G38" s="26" t="s">
        <v>73</v>
      </c>
      <c r="H38" s="35"/>
      <c r="I38" s="35"/>
      <c r="J38" s="35"/>
      <c r="K38" s="35"/>
      <c r="L38" s="35"/>
      <c r="M38" s="35"/>
      <c r="N38" s="35"/>
      <c r="O38" s="35"/>
      <c r="P38" s="35"/>
      <c r="Q38" s="35"/>
      <c r="R38" s="35"/>
      <c r="S38" s="35"/>
      <c r="T38" s="35"/>
      <c r="U38" s="35"/>
      <c r="V38" s="35"/>
      <c r="W38" s="35"/>
      <c r="X38" s="35"/>
      <c r="Y38" s="35"/>
      <c r="Z38" s="35"/>
      <c r="AA38" s="35"/>
    </row>
    <row r="39" ht="81.0" hidden="1" customHeight="1">
      <c r="A39" s="23" t="s">
        <v>32</v>
      </c>
      <c r="B39" s="23" t="s">
        <v>332</v>
      </c>
      <c r="C39" s="26" t="s">
        <v>336</v>
      </c>
      <c r="D39" s="26" t="s">
        <v>337</v>
      </c>
      <c r="E39" s="77">
        <v>46352.0</v>
      </c>
      <c r="F39" s="26"/>
      <c r="G39" s="26" t="s">
        <v>73</v>
      </c>
      <c r="H39" s="35"/>
      <c r="I39" s="35"/>
      <c r="J39" s="35"/>
      <c r="K39" s="35"/>
      <c r="L39" s="35"/>
      <c r="M39" s="35"/>
      <c r="N39" s="35"/>
      <c r="O39" s="35"/>
      <c r="P39" s="35"/>
      <c r="Q39" s="35"/>
      <c r="R39" s="35"/>
      <c r="S39" s="35"/>
      <c r="T39" s="35"/>
      <c r="U39" s="35"/>
      <c r="V39" s="35"/>
      <c r="W39" s="35"/>
      <c r="X39" s="35"/>
      <c r="Y39" s="35"/>
      <c r="Z39" s="35"/>
      <c r="AA39" s="35"/>
    </row>
    <row r="40">
      <c r="A40" s="62" t="s">
        <v>32</v>
      </c>
      <c r="B40" s="62" t="s">
        <v>339</v>
      </c>
      <c r="C40" s="62" t="s">
        <v>340</v>
      </c>
      <c r="D40" s="62" t="s">
        <v>341</v>
      </c>
      <c r="E40" s="63"/>
      <c r="F40" s="78"/>
      <c r="G40" s="26" t="s">
        <v>76</v>
      </c>
      <c r="H40" s="35"/>
      <c r="I40" s="35"/>
      <c r="J40" s="35"/>
      <c r="K40" s="35"/>
      <c r="L40" s="35"/>
      <c r="M40" s="35"/>
      <c r="N40" s="35"/>
      <c r="O40" s="35"/>
      <c r="P40" s="35"/>
      <c r="Q40" s="35"/>
      <c r="R40" s="35"/>
      <c r="S40" s="35"/>
      <c r="T40" s="35"/>
      <c r="U40" s="35"/>
      <c r="V40" s="35"/>
      <c r="W40" s="35"/>
      <c r="X40" s="35"/>
      <c r="Y40" s="35"/>
      <c r="Z40" s="35"/>
      <c r="AA40" s="35"/>
    </row>
    <row r="41" hidden="1">
      <c r="A41" s="23" t="s">
        <v>32</v>
      </c>
      <c r="B41" s="23" t="s">
        <v>343</v>
      </c>
      <c r="C41" s="26" t="s">
        <v>344</v>
      </c>
      <c r="D41" s="26" t="s">
        <v>345</v>
      </c>
      <c r="E41" s="33">
        <v>2028.0</v>
      </c>
      <c r="F41" s="23" t="s">
        <v>346</v>
      </c>
      <c r="G41" s="26" t="s">
        <v>80</v>
      </c>
      <c r="H41" s="35"/>
      <c r="I41" s="35"/>
      <c r="J41" s="35"/>
      <c r="K41" s="35"/>
      <c r="L41" s="35"/>
      <c r="M41" s="35"/>
      <c r="N41" s="35"/>
      <c r="O41" s="35"/>
      <c r="P41" s="35"/>
      <c r="Q41" s="35"/>
      <c r="R41" s="35"/>
      <c r="S41" s="35"/>
      <c r="T41" s="35"/>
      <c r="U41" s="35"/>
      <c r="V41" s="35"/>
      <c r="W41" s="35"/>
      <c r="X41" s="35"/>
      <c r="Y41" s="35"/>
      <c r="Z41" s="35"/>
      <c r="AA41" s="35"/>
    </row>
    <row r="42">
      <c r="A42" s="62" t="s">
        <v>32</v>
      </c>
      <c r="B42" s="62" t="s">
        <v>343</v>
      </c>
      <c r="C42" s="62" t="s">
        <v>348</v>
      </c>
      <c r="D42" s="62" t="s">
        <v>349</v>
      </c>
      <c r="E42" s="63"/>
      <c r="F42" s="62" t="s">
        <v>350</v>
      </c>
      <c r="G42" s="62" t="s">
        <v>76</v>
      </c>
      <c r="H42" s="35"/>
      <c r="I42" s="35"/>
      <c r="J42" s="35"/>
      <c r="K42" s="35"/>
      <c r="L42" s="35"/>
      <c r="M42" s="35"/>
      <c r="N42" s="35"/>
      <c r="O42" s="35"/>
      <c r="P42" s="35"/>
      <c r="Q42" s="35"/>
      <c r="R42" s="35"/>
      <c r="S42" s="35"/>
      <c r="T42" s="35"/>
      <c r="U42" s="35"/>
      <c r="V42" s="35"/>
      <c r="W42" s="35"/>
      <c r="X42" s="35"/>
      <c r="Y42" s="35"/>
      <c r="Z42" s="35"/>
      <c r="AA42" s="35"/>
    </row>
    <row r="43">
      <c r="A43" s="62" t="s">
        <v>32</v>
      </c>
      <c r="B43" s="62" t="s">
        <v>343</v>
      </c>
      <c r="C43" s="62" t="s">
        <v>354</v>
      </c>
      <c r="D43" s="62" t="s">
        <v>355</v>
      </c>
      <c r="E43" s="63"/>
      <c r="F43" s="62" t="s">
        <v>357</v>
      </c>
      <c r="G43" s="62" t="s">
        <v>76</v>
      </c>
      <c r="H43" s="35"/>
      <c r="I43" s="35"/>
      <c r="J43" s="35"/>
      <c r="K43" s="35"/>
      <c r="L43" s="35"/>
      <c r="M43" s="35"/>
      <c r="N43" s="35"/>
      <c r="O43" s="35"/>
      <c r="P43" s="35"/>
      <c r="Q43" s="35"/>
      <c r="R43" s="35"/>
      <c r="S43" s="35"/>
      <c r="T43" s="35"/>
      <c r="U43" s="35"/>
      <c r="V43" s="35"/>
      <c r="W43" s="35"/>
      <c r="X43" s="35"/>
      <c r="Y43" s="35"/>
      <c r="Z43" s="35"/>
      <c r="AA43" s="35"/>
    </row>
    <row r="44">
      <c r="A44" s="62" t="s">
        <v>32</v>
      </c>
      <c r="B44" s="62" t="s">
        <v>343</v>
      </c>
      <c r="C44" s="62" t="s">
        <v>361</v>
      </c>
      <c r="D44" s="62" t="s">
        <v>362</v>
      </c>
      <c r="E44" s="63"/>
      <c r="F44" s="62" t="s">
        <v>357</v>
      </c>
      <c r="G44" s="62" t="s">
        <v>76</v>
      </c>
      <c r="H44" s="35"/>
      <c r="I44" s="35"/>
      <c r="J44" s="35"/>
      <c r="K44" s="35"/>
      <c r="L44" s="35"/>
      <c r="M44" s="35"/>
      <c r="N44" s="35"/>
      <c r="O44" s="35"/>
      <c r="P44" s="35"/>
      <c r="Q44" s="35"/>
      <c r="R44" s="35"/>
      <c r="S44" s="35"/>
      <c r="T44" s="35"/>
      <c r="U44" s="35"/>
      <c r="V44" s="35"/>
      <c r="W44" s="35"/>
      <c r="X44" s="35"/>
      <c r="Y44" s="35"/>
      <c r="Z44" s="35"/>
      <c r="AA44" s="35"/>
    </row>
    <row r="45">
      <c r="A45" s="62" t="s">
        <v>32</v>
      </c>
      <c r="B45" s="62"/>
      <c r="C45" s="62" t="s">
        <v>364</v>
      </c>
      <c r="D45" s="62" t="s">
        <v>365</v>
      </c>
      <c r="E45" s="53"/>
      <c r="F45" s="34"/>
      <c r="G45" s="26" t="s">
        <v>76</v>
      </c>
      <c r="H45" s="35"/>
      <c r="I45" s="35"/>
      <c r="J45" s="35"/>
      <c r="K45" s="35"/>
      <c r="L45" s="35"/>
      <c r="M45" s="35"/>
      <c r="N45" s="35"/>
      <c r="O45" s="35"/>
      <c r="P45" s="35"/>
      <c r="Q45" s="35"/>
      <c r="R45" s="35"/>
      <c r="S45" s="35"/>
      <c r="T45" s="35"/>
      <c r="U45" s="35"/>
      <c r="V45" s="35"/>
      <c r="W45" s="35"/>
      <c r="X45" s="35"/>
      <c r="Y45" s="35"/>
      <c r="Z45" s="35"/>
      <c r="AA45" s="35"/>
    </row>
    <row r="46">
      <c r="A46" s="62" t="s">
        <v>32</v>
      </c>
      <c r="B46" s="62" t="s">
        <v>343</v>
      </c>
      <c r="C46" s="62" t="s">
        <v>366</v>
      </c>
      <c r="D46" s="62" t="s">
        <v>367</v>
      </c>
      <c r="E46" s="53"/>
      <c r="F46" s="26" t="s">
        <v>369</v>
      </c>
      <c r="G46" s="26" t="s">
        <v>76</v>
      </c>
      <c r="H46" s="35"/>
      <c r="I46" s="35"/>
      <c r="J46" s="35"/>
      <c r="K46" s="35"/>
      <c r="L46" s="35"/>
      <c r="M46" s="35"/>
      <c r="N46" s="35"/>
      <c r="O46" s="35"/>
      <c r="P46" s="35"/>
      <c r="Q46" s="35"/>
      <c r="R46" s="35"/>
      <c r="S46" s="35"/>
      <c r="T46" s="35"/>
      <c r="U46" s="35"/>
      <c r="V46" s="35"/>
      <c r="W46" s="35"/>
      <c r="X46" s="35"/>
      <c r="Y46" s="35"/>
      <c r="Z46" s="35"/>
      <c r="AA46" s="35"/>
    </row>
    <row r="47" hidden="1">
      <c r="A47" s="23" t="s">
        <v>32</v>
      </c>
      <c r="B47" s="26"/>
      <c r="C47" s="26" t="s">
        <v>370</v>
      </c>
      <c r="D47" s="26"/>
      <c r="E47" s="53"/>
      <c r="F47" s="34"/>
      <c r="G47" s="26" t="s">
        <v>73</v>
      </c>
      <c r="H47" s="35"/>
      <c r="I47" s="35"/>
      <c r="J47" s="35"/>
      <c r="K47" s="35"/>
      <c r="L47" s="35"/>
      <c r="M47" s="35"/>
      <c r="N47" s="35"/>
      <c r="O47" s="35"/>
      <c r="P47" s="35"/>
      <c r="Q47" s="35"/>
      <c r="R47" s="35"/>
      <c r="S47" s="35"/>
      <c r="T47" s="35"/>
      <c r="U47" s="35"/>
      <c r="V47" s="35"/>
      <c r="W47" s="35"/>
      <c r="X47" s="35"/>
      <c r="Y47" s="35"/>
      <c r="Z47" s="35"/>
      <c r="AA47" s="35"/>
    </row>
    <row r="48" hidden="1">
      <c r="A48" s="23" t="s">
        <v>32</v>
      </c>
      <c r="B48" s="26"/>
      <c r="C48" s="26" t="s">
        <v>372</v>
      </c>
      <c r="D48" s="26" t="s">
        <v>374</v>
      </c>
      <c r="E48" s="53"/>
      <c r="F48" s="26" t="s">
        <v>376</v>
      </c>
      <c r="G48" s="26" t="s">
        <v>80</v>
      </c>
      <c r="H48" s="35"/>
      <c r="I48" s="35"/>
      <c r="J48" s="35"/>
      <c r="K48" s="35"/>
      <c r="L48" s="35"/>
      <c r="M48" s="35"/>
      <c r="N48" s="35"/>
      <c r="O48" s="35"/>
      <c r="P48" s="35"/>
      <c r="Q48" s="35"/>
      <c r="R48" s="35"/>
      <c r="S48" s="35"/>
      <c r="T48" s="35"/>
      <c r="U48" s="35"/>
      <c r="V48" s="35"/>
      <c r="W48" s="35"/>
      <c r="X48" s="35"/>
      <c r="Y48" s="35"/>
      <c r="Z48" s="35"/>
      <c r="AA48" s="35"/>
    </row>
    <row r="49" hidden="1">
      <c r="A49" s="23" t="s">
        <v>32</v>
      </c>
      <c r="B49" s="26"/>
      <c r="C49" s="26" t="s">
        <v>377</v>
      </c>
      <c r="D49" s="26" t="s">
        <v>378</v>
      </c>
      <c r="E49" s="53"/>
      <c r="F49" s="34"/>
      <c r="G49" s="26" t="s">
        <v>80</v>
      </c>
      <c r="H49" s="35"/>
      <c r="I49" s="35"/>
      <c r="J49" s="35"/>
      <c r="K49" s="35"/>
      <c r="L49" s="35"/>
      <c r="M49" s="35"/>
      <c r="N49" s="35"/>
      <c r="O49" s="35"/>
      <c r="P49" s="35"/>
      <c r="Q49" s="35"/>
      <c r="R49" s="35"/>
      <c r="S49" s="35"/>
      <c r="T49" s="35"/>
      <c r="U49" s="35"/>
      <c r="V49" s="35"/>
      <c r="W49" s="35"/>
      <c r="X49" s="35"/>
      <c r="Y49" s="35"/>
      <c r="Z49" s="35"/>
      <c r="AA49" s="35"/>
    </row>
    <row r="50" hidden="1">
      <c r="A50" s="23" t="s">
        <v>32</v>
      </c>
      <c r="B50" s="26"/>
      <c r="C50" s="26" t="s">
        <v>380</v>
      </c>
      <c r="D50" s="26" t="s">
        <v>382</v>
      </c>
      <c r="E50" s="53"/>
      <c r="F50" s="26" t="s">
        <v>383</v>
      </c>
      <c r="G50" s="26" t="s">
        <v>80</v>
      </c>
      <c r="H50" s="35"/>
      <c r="I50" s="35"/>
      <c r="J50" s="35"/>
      <c r="K50" s="35"/>
      <c r="L50" s="35"/>
      <c r="M50" s="35"/>
      <c r="N50" s="35"/>
      <c r="O50" s="35"/>
      <c r="P50" s="35"/>
      <c r="Q50" s="35"/>
      <c r="R50" s="35"/>
      <c r="S50" s="35"/>
      <c r="T50" s="35"/>
      <c r="U50" s="35"/>
      <c r="V50" s="35"/>
      <c r="W50" s="35"/>
      <c r="X50" s="35"/>
      <c r="Y50" s="35"/>
      <c r="Z50" s="35"/>
      <c r="AA50" s="35"/>
    </row>
    <row r="51" hidden="1">
      <c r="A51" s="23" t="s">
        <v>32</v>
      </c>
      <c r="B51" s="26"/>
      <c r="C51" s="26" t="s">
        <v>389</v>
      </c>
      <c r="D51" s="26" t="s">
        <v>391</v>
      </c>
      <c r="E51" s="53"/>
      <c r="F51" s="34"/>
      <c r="G51" s="26" t="s">
        <v>80</v>
      </c>
      <c r="H51" s="35"/>
      <c r="I51" s="35"/>
      <c r="J51" s="35"/>
      <c r="K51" s="35"/>
      <c r="L51" s="35"/>
      <c r="M51" s="35"/>
      <c r="N51" s="35"/>
      <c r="O51" s="35"/>
      <c r="P51" s="35"/>
      <c r="Q51" s="35"/>
      <c r="R51" s="35"/>
      <c r="S51" s="35"/>
      <c r="T51" s="35"/>
      <c r="U51" s="35"/>
      <c r="V51" s="35"/>
      <c r="W51" s="35"/>
      <c r="X51" s="35"/>
      <c r="Y51" s="35"/>
      <c r="Z51" s="35"/>
      <c r="AA51" s="35"/>
    </row>
    <row r="52" hidden="1">
      <c r="A52" s="23" t="s">
        <v>32</v>
      </c>
      <c r="B52" s="26"/>
      <c r="C52" s="26" t="s">
        <v>394</v>
      </c>
      <c r="D52" s="26" t="s">
        <v>395</v>
      </c>
      <c r="E52" s="53"/>
      <c r="F52" s="26" t="s">
        <v>396</v>
      </c>
      <c r="G52" s="26" t="s">
        <v>80</v>
      </c>
      <c r="H52" s="35"/>
      <c r="I52" s="35"/>
      <c r="J52" s="35"/>
      <c r="K52" s="35"/>
      <c r="L52" s="35"/>
      <c r="M52" s="35"/>
      <c r="N52" s="35"/>
      <c r="O52" s="35"/>
      <c r="P52" s="35"/>
      <c r="Q52" s="35"/>
      <c r="R52" s="35"/>
      <c r="S52" s="35"/>
      <c r="T52" s="35"/>
      <c r="U52" s="35"/>
      <c r="V52" s="35"/>
      <c r="W52" s="35"/>
      <c r="X52" s="35"/>
      <c r="Y52" s="35"/>
      <c r="Z52" s="35"/>
      <c r="AA52" s="35"/>
    </row>
    <row r="53">
      <c r="A53" s="23" t="s">
        <v>185</v>
      </c>
      <c r="B53" s="23" t="s">
        <v>315</v>
      </c>
      <c r="C53" s="26" t="s">
        <v>399</v>
      </c>
      <c r="D53" s="26" t="s">
        <v>400</v>
      </c>
      <c r="E53" s="53"/>
      <c r="F53" s="34"/>
      <c r="G53" s="26" t="s">
        <v>77</v>
      </c>
      <c r="H53" s="35"/>
      <c r="I53" s="35"/>
      <c r="J53" s="35"/>
      <c r="K53" s="35"/>
      <c r="L53" s="35"/>
      <c r="M53" s="35"/>
      <c r="N53" s="35"/>
      <c r="O53" s="35"/>
      <c r="P53" s="35"/>
      <c r="Q53" s="35"/>
      <c r="R53" s="35"/>
      <c r="S53" s="35"/>
      <c r="T53" s="35"/>
      <c r="U53" s="35"/>
      <c r="V53" s="35"/>
      <c r="W53" s="35"/>
      <c r="X53" s="35"/>
      <c r="Y53" s="35"/>
      <c r="Z53" s="35"/>
      <c r="AA53" s="35"/>
    </row>
    <row r="54">
      <c r="A54" s="23" t="s">
        <v>126</v>
      </c>
      <c r="B54" s="26"/>
      <c r="C54" s="26" t="s">
        <v>401</v>
      </c>
      <c r="D54" s="26" t="s">
        <v>402</v>
      </c>
      <c r="E54" s="53"/>
      <c r="F54" s="34"/>
      <c r="G54" s="26" t="s">
        <v>76</v>
      </c>
      <c r="H54" s="35"/>
      <c r="I54" s="35"/>
      <c r="J54" s="35"/>
      <c r="K54" s="35"/>
      <c r="L54" s="35"/>
      <c r="M54" s="35"/>
      <c r="N54" s="35"/>
      <c r="O54" s="35"/>
      <c r="P54" s="35"/>
      <c r="Q54" s="35"/>
      <c r="R54" s="35"/>
      <c r="S54" s="35"/>
      <c r="T54" s="35"/>
      <c r="U54" s="35"/>
      <c r="V54" s="35"/>
      <c r="W54" s="35"/>
      <c r="X54" s="35"/>
      <c r="Y54" s="35"/>
      <c r="Z54" s="35"/>
      <c r="AA54" s="35"/>
    </row>
    <row r="55" hidden="1">
      <c r="A55" s="23" t="s">
        <v>126</v>
      </c>
      <c r="B55" s="26"/>
      <c r="C55" s="26" t="s">
        <v>403</v>
      </c>
      <c r="D55" s="26" t="s">
        <v>405</v>
      </c>
      <c r="E55" s="53"/>
      <c r="F55" s="26" t="s">
        <v>406</v>
      </c>
      <c r="G55" s="26" t="s">
        <v>73</v>
      </c>
      <c r="H55" s="35"/>
      <c r="I55" s="35"/>
      <c r="J55" s="35"/>
      <c r="K55" s="35"/>
      <c r="L55" s="35"/>
      <c r="M55" s="35"/>
      <c r="N55" s="35"/>
      <c r="O55" s="35"/>
      <c r="P55" s="35"/>
      <c r="Q55" s="35"/>
      <c r="R55" s="35"/>
      <c r="S55" s="35"/>
      <c r="T55" s="35"/>
      <c r="U55" s="35"/>
      <c r="V55" s="35"/>
      <c r="W55" s="35"/>
      <c r="X55" s="35"/>
      <c r="Y55" s="35"/>
      <c r="Z55" s="35"/>
      <c r="AA55" s="35"/>
    </row>
    <row r="56">
      <c r="A56" s="23" t="s">
        <v>126</v>
      </c>
      <c r="B56" s="26"/>
      <c r="C56" s="26" t="s">
        <v>407</v>
      </c>
      <c r="D56" s="26" t="s">
        <v>408</v>
      </c>
      <c r="E56" s="53"/>
      <c r="F56" s="34"/>
      <c r="G56" s="26" t="s">
        <v>77</v>
      </c>
      <c r="H56" s="35"/>
      <c r="I56" s="35"/>
      <c r="J56" s="35"/>
      <c r="K56" s="35"/>
      <c r="L56" s="35"/>
      <c r="M56" s="35"/>
      <c r="N56" s="35"/>
      <c r="O56" s="35"/>
      <c r="P56" s="35"/>
      <c r="Q56" s="35"/>
      <c r="R56" s="35"/>
      <c r="S56" s="35"/>
      <c r="T56" s="35"/>
      <c r="U56" s="35"/>
      <c r="V56" s="35"/>
      <c r="W56" s="35"/>
      <c r="X56" s="35"/>
      <c r="Y56" s="35"/>
      <c r="Z56" s="35"/>
      <c r="AA56" s="35"/>
    </row>
    <row r="57">
      <c r="A57" s="23" t="s">
        <v>146</v>
      </c>
      <c r="B57" s="90" t="s">
        <v>409</v>
      </c>
      <c r="C57" s="91" t="s">
        <v>410</v>
      </c>
      <c r="D57" s="26" t="s">
        <v>411</v>
      </c>
      <c r="E57" s="92">
        <v>46204.0</v>
      </c>
      <c r="F57" s="26" t="s">
        <v>412</v>
      </c>
      <c r="G57" s="26" t="s">
        <v>77</v>
      </c>
      <c r="H57" s="35"/>
      <c r="I57" s="35"/>
      <c r="J57" s="35"/>
      <c r="K57" s="35"/>
      <c r="L57" s="35"/>
      <c r="M57" s="35"/>
      <c r="N57" s="35"/>
      <c r="O57" s="35"/>
      <c r="P57" s="35"/>
      <c r="Q57" s="35"/>
      <c r="R57" s="35"/>
      <c r="S57" s="35"/>
      <c r="T57" s="35"/>
      <c r="U57" s="35"/>
      <c r="V57" s="35"/>
      <c r="W57" s="35"/>
      <c r="X57" s="35"/>
      <c r="Y57" s="35"/>
      <c r="Z57" s="35"/>
      <c r="AA57" s="35"/>
    </row>
    <row r="58">
      <c r="A58" s="23" t="s">
        <v>146</v>
      </c>
      <c r="B58" s="93" t="s">
        <v>133</v>
      </c>
      <c r="C58" s="93" t="s">
        <v>413</v>
      </c>
      <c r="D58" s="26" t="s">
        <v>414</v>
      </c>
      <c r="E58" s="33" t="s">
        <v>12</v>
      </c>
      <c r="F58" s="26" t="s">
        <v>415</v>
      </c>
      <c r="G58" s="26" t="s">
        <v>77</v>
      </c>
      <c r="H58" s="35"/>
      <c r="I58" s="35"/>
      <c r="J58" s="35"/>
      <c r="K58" s="35"/>
      <c r="L58" s="35"/>
      <c r="M58" s="35"/>
      <c r="N58" s="35"/>
      <c r="O58" s="35"/>
      <c r="P58" s="35"/>
      <c r="Q58" s="35"/>
      <c r="R58" s="35"/>
      <c r="S58" s="35"/>
      <c r="T58" s="35"/>
      <c r="U58" s="35"/>
      <c r="V58" s="35"/>
      <c r="W58" s="35"/>
      <c r="X58" s="35"/>
      <c r="Y58" s="35"/>
      <c r="Z58" s="35"/>
      <c r="AA58" s="35"/>
    </row>
    <row r="59">
      <c r="A59" s="23" t="s">
        <v>146</v>
      </c>
      <c r="B59" s="93" t="s">
        <v>416</v>
      </c>
      <c r="C59" s="93" t="s">
        <v>417</v>
      </c>
      <c r="D59" s="26" t="s">
        <v>418</v>
      </c>
      <c r="E59" s="94">
        <v>46235.0</v>
      </c>
      <c r="F59" s="26" t="s">
        <v>412</v>
      </c>
      <c r="G59" s="26" t="s">
        <v>77</v>
      </c>
      <c r="H59" s="35"/>
      <c r="I59" s="35"/>
      <c r="J59" s="35"/>
      <c r="K59" s="35"/>
      <c r="L59" s="35"/>
      <c r="M59" s="35"/>
      <c r="N59" s="35"/>
      <c r="O59" s="35"/>
      <c r="P59" s="35"/>
      <c r="Q59" s="35"/>
      <c r="R59" s="35"/>
      <c r="S59" s="35"/>
      <c r="T59" s="35"/>
      <c r="U59" s="35"/>
      <c r="V59" s="35"/>
      <c r="W59" s="35"/>
      <c r="X59" s="35"/>
      <c r="Y59" s="35"/>
      <c r="Z59" s="35"/>
      <c r="AA59" s="35"/>
    </row>
    <row r="60">
      <c r="A60" s="23" t="s">
        <v>146</v>
      </c>
      <c r="B60" s="93" t="s">
        <v>416</v>
      </c>
      <c r="C60" s="93" t="s">
        <v>419</v>
      </c>
      <c r="D60" s="26" t="s">
        <v>420</v>
      </c>
      <c r="E60" s="33" t="s">
        <v>421</v>
      </c>
      <c r="F60" s="26" t="s">
        <v>422</v>
      </c>
      <c r="G60" s="26" t="s">
        <v>77</v>
      </c>
      <c r="H60" s="35"/>
      <c r="I60" s="35"/>
      <c r="J60" s="35"/>
      <c r="K60" s="35"/>
      <c r="L60" s="35"/>
      <c r="M60" s="35"/>
      <c r="N60" s="35"/>
      <c r="O60" s="35"/>
      <c r="P60" s="35"/>
      <c r="Q60" s="35"/>
      <c r="R60" s="35"/>
      <c r="S60" s="35"/>
      <c r="T60" s="35"/>
      <c r="U60" s="35"/>
      <c r="V60" s="35"/>
      <c r="W60" s="35"/>
      <c r="X60" s="35"/>
      <c r="Y60" s="35"/>
      <c r="Z60" s="35"/>
      <c r="AA60" s="35"/>
    </row>
    <row r="61">
      <c r="A61" s="23" t="s">
        <v>146</v>
      </c>
      <c r="B61" s="93" t="s">
        <v>423</v>
      </c>
      <c r="C61" s="93" t="s">
        <v>424</v>
      </c>
      <c r="D61" s="26" t="s">
        <v>425</v>
      </c>
      <c r="E61" s="33" t="s">
        <v>426</v>
      </c>
      <c r="F61" s="26" t="s">
        <v>427</v>
      </c>
      <c r="G61" s="26" t="s">
        <v>77</v>
      </c>
      <c r="H61" s="35"/>
      <c r="I61" s="35"/>
      <c r="J61" s="35"/>
      <c r="K61" s="35"/>
      <c r="L61" s="35"/>
      <c r="M61" s="35"/>
      <c r="N61" s="35"/>
      <c r="O61" s="35"/>
      <c r="P61" s="35"/>
      <c r="Q61" s="35"/>
      <c r="R61" s="35"/>
      <c r="S61" s="35"/>
      <c r="T61" s="35"/>
      <c r="U61" s="35"/>
      <c r="V61" s="35"/>
      <c r="W61" s="35"/>
      <c r="X61" s="35"/>
      <c r="Y61" s="35"/>
      <c r="Z61" s="35"/>
      <c r="AA61" s="35"/>
    </row>
    <row r="62">
      <c r="A62" s="23" t="s">
        <v>146</v>
      </c>
      <c r="B62" s="93" t="s">
        <v>133</v>
      </c>
      <c r="C62" s="93" t="s">
        <v>428</v>
      </c>
      <c r="D62" s="26" t="s">
        <v>429</v>
      </c>
      <c r="E62" s="33" t="s">
        <v>430</v>
      </c>
      <c r="F62" s="26" t="s">
        <v>431</v>
      </c>
      <c r="G62" s="26" t="s">
        <v>77</v>
      </c>
      <c r="H62" s="35"/>
      <c r="I62" s="35"/>
      <c r="J62" s="35"/>
      <c r="K62" s="35"/>
      <c r="L62" s="35"/>
      <c r="M62" s="35"/>
      <c r="N62" s="35"/>
      <c r="O62" s="35"/>
      <c r="P62" s="35"/>
      <c r="Q62" s="35"/>
      <c r="R62" s="35"/>
      <c r="S62" s="35"/>
      <c r="T62" s="35"/>
      <c r="U62" s="35"/>
      <c r="V62" s="35"/>
      <c r="W62" s="35"/>
      <c r="X62" s="35"/>
      <c r="Y62" s="35"/>
      <c r="Z62" s="35"/>
      <c r="AA62" s="35"/>
    </row>
    <row r="63">
      <c r="A63" s="23" t="s">
        <v>146</v>
      </c>
      <c r="B63" s="95" t="s">
        <v>432</v>
      </c>
      <c r="C63" s="91" t="s">
        <v>433</v>
      </c>
      <c r="D63" s="26" t="s">
        <v>434</v>
      </c>
      <c r="E63" s="33" t="s">
        <v>435</v>
      </c>
      <c r="F63" s="26" t="s">
        <v>436</v>
      </c>
      <c r="G63" s="26" t="s">
        <v>77</v>
      </c>
      <c r="H63" s="35"/>
      <c r="I63" s="35"/>
      <c r="J63" s="35"/>
      <c r="K63" s="35"/>
      <c r="L63" s="35"/>
      <c r="M63" s="35"/>
      <c r="N63" s="35"/>
      <c r="O63" s="35"/>
      <c r="P63" s="35"/>
      <c r="Q63" s="35"/>
      <c r="R63" s="35"/>
      <c r="S63" s="35"/>
      <c r="T63" s="35"/>
      <c r="U63" s="35"/>
      <c r="V63" s="35"/>
      <c r="W63" s="35"/>
      <c r="X63" s="35"/>
      <c r="Y63" s="35"/>
      <c r="Z63" s="35"/>
      <c r="AA63" s="35"/>
    </row>
    <row r="64">
      <c r="A64" s="23" t="s">
        <v>146</v>
      </c>
      <c r="B64" s="93" t="s">
        <v>133</v>
      </c>
      <c r="C64" s="93" t="s">
        <v>437</v>
      </c>
      <c r="D64" s="26" t="s">
        <v>438</v>
      </c>
      <c r="E64" s="33" t="s">
        <v>439</v>
      </c>
      <c r="F64" s="26" t="s">
        <v>440</v>
      </c>
      <c r="G64" s="26" t="s">
        <v>77</v>
      </c>
      <c r="H64" s="35"/>
      <c r="I64" s="35"/>
      <c r="J64" s="35"/>
      <c r="K64" s="35"/>
      <c r="L64" s="35"/>
      <c r="M64" s="35"/>
      <c r="N64" s="35"/>
      <c r="O64" s="35"/>
      <c r="P64" s="35"/>
      <c r="Q64" s="35"/>
      <c r="R64" s="35"/>
      <c r="S64" s="35"/>
      <c r="T64" s="35"/>
      <c r="U64" s="35"/>
      <c r="V64" s="35"/>
      <c r="W64" s="35"/>
      <c r="X64" s="35"/>
      <c r="Y64" s="35"/>
      <c r="Z64" s="35"/>
      <c r="AA64" s="35"/>
    </row>
    <row r="65">
      <c r="A65" s="23" t="s">
        <v>146</v>
      </c>
      <c r="B65" s="93" t="s">
        <v>441</v>
      </c>
      <c r="C65" s="93" t="s">
        <v>442</v>
      </c>
      <c r="D65" s="26" t="s">
        <v>443</v>
      </c>
      <c r="E65" s="33" t="s">
        <v>113</v>
      </c>
      <c r="F65" s="26" t="s">
        <v>444</v>
      </c>
      <c r="G65" s="26" t="s">
        <v>77</v>
      </c>
      <c r="H65" s="35"/>
      <c r="I65" s="35"/>
      <c r="J65" s="35"/>
      <c r="K65" s="35"/>
      <c r="L65" s="35"/>
      <c r="M65" s="35"/>
      <c r="N65" s="35"/>
      <c r="O65" s="35"/>
      <c r="P65" s="35"/>
      <c r="Q65" s="35"/>
      <c r="R65" s="35"/>
      <c r="S65" s="35"/>
      <c r="T65" s="35"/>
      <c r="U65" s="35"/>
      <c r="V65" s="35"/>
      <c r="W65" s="35"/>
      <c r="X65" s="35"/>
      <c r="Y65" s="35"/>
      <c r="Z65" s="35"/>
      <c r="AA65" s="35"/>
    </row>
    <row r="66">
      <c r="A66" s="23" t="s">
        <v>146</v>
      </c>
      <c r="B66" s="93" t="s">
        <v>133</v>
      </c>
      <c r="C66" s="93" t="s">
        <v>446</v>
      </c>
      <c r="D66" s="26" t="s">
        <v>447</v>
      </c>
      <c r="E66" s="33" t="s">
        <v>448</v>
      </c>
      <c r="F66" s="97" t="s">
        <v>449</v>
      </c>
      <c r="G66" s="26" t="s">
        <v>77</v>
      </c>
      <c r="H66" s="35"/>
      <c r="I66" s="35"/>
      <c r="J66" s="35"/>
      <c r="K66" s="35"/>
      <c r="L66" s="35"/>
      <c r="M66" s="35"/>
      <c r="N66" s="35"/>
      <c r="O66" s="35"/>
      <c r="P66" s="35"/>
      <c r="Q66" s="35"/>
      <c r="R66" s="35"/>
      <c r="S66" s="35"/>
      <c r="T66" s="35"/>
      <c r="U66" s="35"/>
      <c r="V66" s="35"/>
      <c r="W66" s="35"/>
      <c r="X66" s="35"/>
      <c r="Y66" s="35"/>
      <c r="Z66" s="35"/>
      <c r="AA66" s="35"/>
    </row>
    <row r="67">
      <c r="A67" s="62" t="s">
        <v>58</v>
      </c>
      <c r="B67" s="98"/>
      <c r="C67" s="98" t="s">
        <v>451</v>
      </c>
      <c r="D67" s="62" t="s">
        <v>452</v>
      </c>
      <c r="E67" s="99" t="s">
        <v>113</v>
      </c>
      <c r="F67" s="100"/>
      <c r="G67" s="26" t="s">
        <v>76</v>
      </c>
      <c r="H67" s="35"/>
      <c r="I67" s="35"/>
      <c r="J67" s="35"/>
      <c r="K67" s="35"/>
      <c r="L67" s="35"/>
      <c r="M67" s="35"/>
      <c r="N67" s="35"/>
      <c r="O67" s="35"/>
      <c r="P67" s="35"/>
      <c r="Q67" s="35"/>
      <c r="R67" s="35"/>
      <c r="S67" s="35"/>
      <c r="T67" s="35"/>
      <c r="U67" s="35"/>
      <c r="V67" s="35"/>
      <c r="W67" s="35"/>
      <c r="X67" s="35"/>
      <c r="Y67" s="35"/>
      <c r="Z67" s="35"/>
      <c r="AA67" s="35"/>
    </row>
    <row r="68">
      <c r="A68" s="23" t="s">
        <v>32</v>
      </c>
      <c r="B68" s="93"/>
      <c r="C68" s="93" t="s">
        <v>453</v>
      </c>
      <c r="D68" s="26" t="s">
        <v>454</v>
      </c>
      <c r="E68" s="53"/>
      <c r="F68" s="34"/>
      <c r="G68" s="26" t="s">
        <v>77</v>
      </c>
      <c r="H68" s="35"/>
      <c r="I68" s="35"/>
      <c r="J68" s="35"/>
      <c r="K68" s="35"/>
      <c r="L68" s="35"/>
      <c r="M68" s="35"/>
      <c r="N68" s="35"/>
      <c r="O68" s="35"/>
      <c r="P68" s="35"/>
      <c r="Q68" s="35"/>
      <c r="R68" s="35"/>
      <c r="S68" s="35"/>
      <c r="T68" s="35"/>
      <c r="U68" s="35"/>
      <c r="V68" s="35"/>
      <c r="W68" s="35"/>
      <c r="X68" s="35"/>
      <c r="Y68" s="35"/>
      <c r="Z68" s="35"/>
      <c r="AA68" s="35"/>
    </row>
    <row r="69" hidden="1">
      <c r="A69" s="23" t="s">
        <v>122</v>
      </c>
      <c r="B69" s="101"/>
      <c r="C69" s="101" t="s">
        <v>455</v>
      </c>
      <c r="D69" s="37" t="s">
        <v>456</v>
      </c>
      <c r="E69" s="33" t="s">
        <v>113</v>
      </c>
      <c r="F69" s="78" t="s">
        <v>457</v>
      </c>
      <c r="G69" s="26" t="s">
        <v>80</v>
      </c>
      <c r="H69" s="35"/>
      <c r="I69" s="35"/>
      <c r="J69" s="35"/>
      <c r="K69" s="35"/>
      <c r="L69" s="35"/>
      <c r="M69" s="35"/>
      <c r="N69" s="35"/>
      <c r="O69" s="35"/>
      <c r="P69" s="35"/>
      <c r="Q69" s="35"/>
      <c r="R69" s="35"/>
      <c r="S69" s="35"/>
      <c r="T69" s="35"/>
      <c r="U69" s="35"/>
      <c r="V69" s="35"/>
      <c r="W69" s="35"/>
      <c r="X69" s="35"/>
      <c r="Y69" s="35"/>
      <c r="Z69" s="35"/>
      <c r="AA69" s="35"/>
    </row>
    <row r="70">
      <c r="A70" s="23" t="s">
        <v>122</v>
      </c>
      <c r="B70" s="30"/>
      <c r="C70" s="30" t="s">
        <v>459</v>
      </c>
      <c r="D70" s="26" t="s">
        <v>460</v>
      </c>
      <c r="E70" s="33" t="s">
        <v>113</v>
      </c>
      <c r="F70" s="34"/>
      <c r="G70" s="26" t="s">
        <v>77</v>
      </c>
      <c r="H70" s="35"/>
      <c r="I70" s="35"/>
      <c r="J70" s="35"/>
      <c r="K70" s="35"/>
      <c r="L70" s="35"/>
      <c r="M70" s="35"/>
      <c r="N70" s="35"/>
      <c r="O70" s="35"/>
      <c r="P70" s="35"/>
      <c r="Q70" s="35"/>
      <c r="R70" s="35"/>
      <c r="S70" s="35"/>
      <c r="T70" s="35"/>
      <c r="U70" s="35"/>
      <c r="V70" s="35"/>
      <c r="W70" s="35"/>
      <c r="X70" s="35"/>
      <c r="Y70" s="35"/>
      <c r="Z70" s="35"/>
      <c r="AA70" s="35"/>
    </row>
    <row r="71" hidden="1">
      <c r="A71" s="23" t="s">
        <v>189</v>
      </c>
      <c r="B71" s="26"/>
      <c r="C71" s="26" t="s">
        <v>461</v>
      </c>
      <c r="D71" s="34"/>
      <c r="E71" s="53"/>
      <c r="F71" s="26" t="s">
        <v>462</v>
      </c>
      <c r="G71" s="26" t="s">
        <v>154</v>
      </c>
      <c r="H71" s="35"/>
      <c r="I71" s="35"/>
      <c r="J71" s="35"/>
      <c r="K71" s="35"/>
      <c r="L71" s="35"/>
      <c r="M71" s="35"/>
      <c r="N71" s="35"/>
      <c r="O71" s="35"/>
      <c r="P71" s="35"/>
      <c r="Q71" s="35"/>
      <c r="R71" s="35"/>
      <c r="S71" s="35"/>
      <c r="T71" s="35"/>
      <c r="U71" s="35"/>
      <c r="V71" s="35"/>
      <c r="W71" s="35"/>
      <c r="X71" s="35"/>
      <c r="Y71" s="35"/>
      <c r="Z71" s="35"/>
      <c r="AA71" s="35"/>
    </row>
    <row r="72" hidden="1">
      <c r="A72" s="23" t="s">
        <v>122</v>
      </c>
      <c r="B72" s="26"/>
      <c r="C72" s="26" t="s">
        <v>463</v>
      </c>
      <c r="D72" s="26" t="s">
        <v>464</v>
      </c>
      <c r="E72" s="33" t="s">
        <v>465</v>
      </c>
      <c r="F72" s="34"/>
      <c r="G72" s="26" t="s">
        <v>73</v>
      </c>
      <c r="H72" s="35"/>
      <c r="I72" s="35"/>
      <c r="J72" s="35"/>
      <c r="K72" s="35"/>
      <c r="L72" s="35"/>
      <c r="M72" s="35"/>
      <c r="N72" s="35"/>
      <c r="O72" s="35"/>
      <c r="P72" s="35"/>
      <c r="Q72" s="35"/>
      <c r="R72" s="35"/>
      <c r="S72" s="35"/>
      <c r="T72" s="35"/>
      <c r="U72" s="35"/>
      <c r="V72" s="35"/>
      <c r="W72" s="35"/>
      <c r="X72" s="35"/>
      <c r="Y72" s="35"/>
      <c r="Z72" s="35"/>
      <c r="AA72" s="35"/>
    </row>
    <row r="73" hidden="1">
      <c r="A73" s="23" t="s">
        <v>201</v>
      </c>
      <c r="B73" s="102" t="s">
        <v>284</v>
      </c>
      <c r="C73" s="93" t="s">
        <v>466</v>
      </c>
      <c r="D73" s="10" t="s">
        <v>467</v>
      </c>
      <c r="E73" s="53"/>
      <c r="F73" s="34"/>
      <c r="G73" s="26" t="s">
        <v>73</v>
      </c>
      <c r="H73" s="35"/>
      <c r="I73" s="35"/>
      <c r="J73" s="35"/>
      <c r="K73" s="35"/>
      <c r="L73" s="35"/>
      <c r="M73" s="35"/>
      <c r="N73" s="35"/>
      <c r="O73" s="35"/>
      <c r="P73" s="35"/>
      <c r="Q73" s="35"/>
      <c r="R73" s="35"/>
      <c r="S73" s="35"/>
      <c r="T73" s="35"/>
      <c r="U73" s="35"/>
      <c r="V73" s="35"/>
      <c r="W73" s="35"/>
      <c r="X73" s="35"/>
      <c r="Y73" s="35"/>
      <c r="Z73" s="35"/>
      <c r="AA73" s="35"/>
    </row>
    <row r="74" hidden="1">
      <c r="A74" s="23" t="s">
        <v>201</v>
      </c>
      <c r="B74" s="102" t="s">
        <v>468</v>
      </c>
      <c r="C74" s="93" t="s">
        <v>469</v>
      </c>
      <c r="D74" s="10" t="s">
        <v>470</v>
      </c>
      <c r="E74" s="53"/>
      <c r="F74" s="34"/>
      <c r="G74" s="26" t="s">
        <v>73</v>
      </c>
      <c r="H74" s="35"/>
      <c r="I74" s="35"/>
      <c r="J74" s="35"/>
      <c r="K74" s="35"/>
      <c r="L74" s="35"/>
      <c r="M74" s="35"/>
      <c r="N74" s="35"/>
      <c r="O74" s="35"/>
      <c r="P74" s="35"/>
      <c r="Q74" s="35"/>
      <c r="R74" s="35"/>
      <c r="S74" s="35"/>
      <c r="T74" s="35"/>
      <c r="U74" s="35"/>
      <c r="V74" s="35"/>
      <c r="W74" s="35"/>
      <c r="X74" s="35"/>
      <c r="Y74" s="35"/>
      <c r="Z74" s="35"/>
      <c r="AA74" s="35"/>
    </row>
    <row r="75" hidden="1">
      <c r="A75" s="23" t="s">
        <v>197</v>
      </c>
      <c r="B75" s="26"/>
      <c r="C75" s="26" t="s">
        <v>473</v>
      </c>
      <c r="D75" s="26" t="s">
        <v>474</v>
      </c>
      <c r="E75" s="33" t="s">
        <v>475</v>
      </c>
      <c r="F75" s="26" t="s">
        <v>476</v>
      </c>
      <c r="G75" s="26" t="s">
        <v>73</v>
      </c>
      <c r="H75" s="35"/>
      <c r="I75" s="35"/>
      <c r="J75" s="35"/>
      <c r="K75" s="35"/>
      <c r="L75" s="35"/>
      <c r="M75" s="35"/>
      <c r="N75" s="35"/>
      <c r="O75" s="35"/>
      <c r="P75" s="35"/>
      <c r="Q75" s="35"/>
      <c r="R75" s="35"/>
      <c r="S75" s="35"/>
      <c r="T75" s="35"/>
      <c r="U75" s="35"/>
      <c r="V75" s="35"/>
      <c r="W75" s="35"/>
      <c r="X75" s="35"/>
      <c r="Y75" s="35"/>
      <c r="Z75" s="35"/>
      <c r="AA75" s="35"/>
    </row>
    <row r="76">
      <c r="A76" s="23" t="s">
        <v>197</v>
      </c>
      <c r="B76" s="26"/>
      <c r="C76" s="26" t="s">
        <v>477</v>
      </c>
      <c r="D76" s="26" t="s">
        <v>478</v>
      </c>
      <c r="E76" s="53"/>
      <c r="F76" s="26" t="s">
        <v>479</v>
      </c>
      <c r="G76" s="26" t="s">
        <v>76</v>
      </c>
      <c r="H76" s="65" t="s">
        <v>480</v>
      </c>
      <c r="I76" s="35"/>
      <c r="J76" s="35"/>
      <c r="K76" s="35"/>
      <c r="L76" s="35"/>
      <c r="M76" s="35"/>
      <c r="N76" s="35"/>
      <c r="O76" s="35"/>
      <c r="P76" s="35"/>
      <c r="Q76" s="35"/>
      <c r="R76" s="35"/>
      <c r="S76" s="35"/>
      <c r="T76" s="35"/>
      <c r="U76" s="35"/>
      <c r="V76" s="35"/>
      <c r="W76" s="35"/>
      <c r="X76" s="35"/>
      <c r="Y76" s="35"/>
      <c r="Z76" s="35"/>
      <c r="AA76" s="35"/>
    </row>
    <row r="77" hidden="1">
      <c r="A77" s="23" t="s">
        <v>176</v>
      </c>
      <c r="B77" s="26"/>
      <c r="C77" s="26" t="s">
        <v>481</v>
      </c>
      <c r="D77" s="26" t="s">
        <v>482</v>
      </c>
      <c r="E77" s="53"/>
      <c r="F77" s="53"/>
      <c r="G77" s="26" t="s">
        <v>73</v>
      </c>
      <c r="H77" s="35"/>
      <c r="I77" s="35"/>
      <c r="J77" s="35"/>
      <c r="K77" s="35"/>
      <c r="L77" s="35"/>
      <c r="M77" s="35"/>
      <c r="N77" s="35"/>
      <c r="O77" s="35"/>
      <c r="P77" s="35"/>
      <c r="Q77" s="35"/>
      <c r="R77" s="35"/>
      <c r="S77" s="35"/>
      <c r="T77" s="35"/>
      <c r="U77" s="35"/>
      <c r="V77" s="35"/>
      <c r="W77" s="35"/>
      <c r="X77" s="35"/>
      <c r="Y77" s="35"/>
      <c r="Z77" s="35"/>
      <c r="AA77" s="35"/>
    </row>
    <row r="78" hidden="1">
      <c r="A78" s="23" t="s">
        <v>124</v>
      </c>
      <c r="B78" s="26"/>
      <c r="C78" s="26" t="s">
        <v>484</v>
      </c>
      <c r="D78" s="26" t="s">
        <v>485</v>
      </c>
      <c r="E78" s="53"/>
      <c r="F78" s="97" t="s">
        <v>486</v>
      </c>
      <c r="G78" s="26" t="s">
        <v>73</v>
      </c>
      <c r="H78" s="35"/>
      <c r="I78" s="35"/>
      <c r="J78" s="35"/>
      <c r="K78" s="35"/>
      <c r="L78" s="35"/>
      <c r="M78" s="35"/>
      <c r="N78" s="35"/>
      <c r="O78" s="35"/>
      <c r="P78" s="35"/>
      <c r="Q78" s="35"/>
      <c r="R78" s="35"/>
      <c r="S78" s="35"/>
      <c r="T78" s="35"/>
      <c r="U78" s="35"/>
      <c r="V78" s="35"/>
      <c r="W78" s="35"/>
      <c r="X78" s="35"/>
      <c r="Y78" s="35"/>
      <c r="Z78" s="35"/>
      <c r="AA78" s="35"/>
    </row>
    <row r="79">
      <c r="A79" s="23" t="s">
        <v>124</v>
      </c>
      <c r="B79" s="26"/>
      <c r="C79" s="26" t="s">
        <v>490</v>
      </c>
      <c r="D79" s="26" t="s">
        <v>492</v>
      </c>
      <c r="E79" s="53"/>
      <c r="F79" s="97" t="s">
        <v>486</v>
      </c>
      <c r="G79" s="26" t="s">
        <v>77</v>
      </c>
      <c r="H79" s="35"/>
      <c r="I79" s="35"/>
      <c r="J79" s="35"/>
      <c r="K79" s="35"/>
      <c r="L79" s="35"/>
      <c r="M79" s="35"/>
      <c r="N79" s="35"/>
      <c r="O79" s="35"/>
      <c r="P79" s="35"/>
      <c r="Q79" s="35"/>
      <c r="R79" s="35"/>
      <c r="S79" s="35"/>
      <c r="T79" s="35"/>
      <c r="U79" s="35"/>
      <c r="V79" s="35"/>
      <c r="W79" s="35"/>
      <c r="X79" s="35"/>
      <c r="Y79" s="35"/>
      <c r="Z79" s="35"/>
      <c r="AA79" s="35"/>
    </row>
    <row r="80">
      <c r="A80" s="23" t="s">
        <v>124</v>
      </c>
      <c r="B80" s="26"/>
      <c r="C80" s="26" t="s">
        <v>494</v>
      </c>
      <c r="D80" s="26" t="s">
        <v>495</v>
      </c>
      <c r="E80" s="53"/>
      <c r="F80" s="97" t="s">
        <v>486</v>
      </c>
      <c r="G80" s="26" t="s">
        <v>77</v>
      </c>
      <c r="H80" s="35"/>
      <c r="I80" s="35"/>
      <c r="J80" s="35"/>
      <c r="K80" s="35"/>
      <c r="L80" s="35"/>
      <c r="M80" s="35"/>
      <c r="N80" s="35"/>
      <c r="O80" s="35"/>
      <c r="P80" s="35"/>
      <c r="Q80" s="35"/>
      <c r="R80" s="35"/>
      <c r="S80" s="35"/>
      <c r="T80" s="35"/>
      <c r="U80" s="35"/>
      <c r="V80" s="35"/>
      <c r="W80" s="35"/>
      <c r="X80" s="35"/>
      <c r="Y80" s="35"/>
      <c r="Z80" s="35"/>
      <c r="AA80" s="35"/>
    </row>
    <row r="81">
      <c r="A81" s="23" t="s">
        <v>124</v>
      </c>
      <c r="B81" s="26"/>
      <c r="C81" s="26" t="s">
        <v>496</v>
      </c>
      <c r="D81" s="26" t="s">
        <v>497</v>
      </c>
      <c r="E81" s="53"/>
      <c r="F81" s="97" t="s">
        <v>486</v>
      </c>
      <c r="G81" s="26" t="s">
        <v>77</v>
      </c>
      <c r="H81" s="35"/>
      <c r="I81" s="35"/>
      <c r="J81" s="35"/>
      <c r="K81" s="35"/>
      <c r="L81" s="35"/>
      <c r="M81" s="35"/>
      <c r="N81" s="35"/>
      <c r="O81" s="35"/>
      <c r="P81" s="35"/>
      <c r="Q81" s="35"/>
      <c r="R81" s="35"/>
      <c r="S81" s="35"/>
      <c r="T81" s="35"/>
      <c r="U81" s="35"/>
      <c r="V81" s="35"/>
      <c r="W81" s="35"/>
      <c r="X81" s="35"/>
      <c r="Y81" s="35"/>
      <c r="Z81" s="35"/>
      <c r="AA81" s="35"/>
    </row>
    <row r="82">
      <c r="A82" s="23" t="s">
        <v>167</v>
      </c>
      <c r="B82" s="23" t="s">
        <v>201</v>
      </c>
      <c r="C82" s="26" t="s">
        <v>498</v>
      </c>
      <c r="D82" s="26" t="s">
        <v>499</v>
      </c>
      <c r="E82" s="53"/>
      <c r="F82" s="34"/>
      <c r="G82" s="26" t="s">
        <v>77</v>
      </c>
      <c r="H82" s="35"/>
      <c r="I82" s="35"/>
      <c r="J82" s="35"/>
      <c r="K82" s="35"/>
      <c r="L82" s="35"/>
      <c r="M82" s="35"/>
      <c r="N82" s="35"/>
      <c r="O82" s="35"/>
      <c r="P82" s="35"/>
      <c r="Q82" s="35"/>
      <c r="R82" s="35"/>
      <c r="S82" s="35"/>
      <c r="T82" s="35"/>
      <c r="U82" s="35"/>
      <c r="V82" s="35"/>
      <c r="W82" s="35"/>
      <c r="X82" s="35"/>
      <c r="Y82" s="35"/>
      <c r="Z82" s="35"/>
      <c r="AA82" s="35"/>
    </row>
    <row r="83" hidden="1">
      <c r="A83" s="23" t="s">
        <v>167</v>
      </c>
      <c r="B83" s="23" t="s">
        <v>201</v>
      </c>
      <c r="C83" s="26" t="s">
        <v>500</v>
      </c>
      <c r="D83" s="26" t="s">
        <v>501</v>
      </c>
      <c r="E83" s="53"/>
      <c r="F83" s="34"/>
      <c r="G83" s="26" t="s">
        <v>73</v>
      </c>
      <c r="H83" s="35"/>
      <c r="I83" s="35"/>
      <c r="J83" s="35"/>
      <c r="K83" s="35"/>
      <c r="L83" s="35"/>
      <c r="M83" s="35"/>
      <c r="N83" s="35"/>
      <c r="O83" s="35"/>
      <c r="P83" s="35"/>
      <c r="Q83" s="35"/>
      <c r="R83" s="35"/>
      <c r="S83" s="35"/>
      <c r="T83" s="35"/>
      <c r="U83" s="35"/>
      <c r="V83" s="35"/>
      <c r="W83" s="35"/>
      <c r="X83" s="35"/>
      <c r="Y83" s="35"/>
      <c r="Z83" s="35"/>
      <c r="AA83" s="35"/>
    </row>
    <row r="84" hidden="1">
      <c r="A84" s="23" t="s">
        <v>167</v>
      </c>
      <c r="B84" s="23" t="s">
        <v>201</v>
      </c>
      <c r="C84" s="26" t="s">
        <v>502</v>
      </c>
      <c r="D84" s="26" t="s">
        <v>503</v>
      </c>
      <c r="E84" s="53"/>
      <c r="F84" s="34"/>
      <c r="G84" s="26" t="s">
        <v>73</v>
      </c>
      <c r="H84" s="35"/>
      <c r="I84" s="35"/>
      <c r="J84" s="35"/>
      <c r="K84" s="35"/>
      <c r="L84" s="35"/>
      <c r="M84" s="35"/>
      <c r="N84" s="35"/>
      <c r="O84" s="35"/>
      <c r="P84" s="35"/>
      <c r="Q84" s="35"/>
      <c r="R84" s="35"/>
      <c r="S84" s="35"/>
      <c r="T84" s="35"/>
      <c r="U84" s="35"/>
      <c r="V84" s="35"/>
      <c r="W84" s="35"/>
      <c r="X84" s="35"/>
      <c r="Y84" s="35"/>
      <c r="Z84" s="35"/>
      <c r="AA84" s="35"/>
    </row>
    <row r="85" hidden="1">
      <c r="A85" s="23" t="s">
        <v>167</v>
      </c>
      <c r="B85" s="23" t="s">
        <v>201</v>
      </c>
      <c r="C85" s="26" t="s">
        <v>206</v>
      </c>
      <c r="D85" s="26" t="s">
        <v>504</v>
      </c>
      <c r="E85" s="53"/>
      <c r="F85" s="34"/>
      <c r="G85" s="26" t="s">
        <v>73</v>
      </c>
      <c r="H85" s="35"/>
      <c r="I85" s="35"/>
      <c r="J85" s="35"/>
      <c r="K85" s="35"/>
      <c r="L85" s="35"/>
      <c r="M85" s="35"/>
      <c r="N85" s="35"/>
      <c r="O85" s="35"/>
      <c r="P85" s="35"/>
      <c r="Q85" s="35"/>
      <c r="R85" s="35"/>
      <c r="S85" s="35"/>
      <c r="T85" s="35"/>
      <c r="U85" s="35"/>
      <c r="V85" s="35"/>
      <c r="W85" s="35"/>
      <c r="X85" s="35"/>
      <c r="Y85" s="35"/>
      <c r="Z85" s="35"/>
      <c r="AA85" s="35"/>
    </row>
    <row r="86">
      <c r="A86" s="23" t="s">
        <v>167</v>
      </c>
      <c r="B86" s="23" t="s">
        <v>201</v>
      </c>
      <c r="C86" s="26" t="s">
        <v>505</v>
      </c>
      <c r="D86" s="26" t="s">
        <v>506</v>
      </c>
      <c r="E86" s="53"/>
      <c r="F86" s="34"/>
      <c r="G86" s="26" t="s">
        <v>77</v>
      </c>
      <c r="H86" s="35"/>
      <c r="I86" s="35"/>
      <c r="J86" s="35"/>
      <c r="K86" s="35"/>
      <c r="L86" s="35"/>
      <c r="M86" s="35"/>
      <c r="N86" s="35"/>
      <c r="O86" s="35"/>
      <c r="P86" s="35"/>
      <c r="Q86" s="35"/>
      <c r="R86" s="35"/>
      <c r="S86" s="35"/>
      <c r="T86" s="35"/>
      <c r="U86" s="35"/>
      <c r="V86" s="35"/>
      <c r="W86" s="35"/>
      <c r="X86" s="35"/>
      <c r="Y86" s="35"/>
      <c r="Z86" s="35"/>
      <c r="AA86" s="35"/>
    </row>
    <row r="87">
      <c r="A87" s="23" t="s">
        <v>167</v>
      </c>
      <c r="B87" s="23" t="s">
        <v>201</v>
      </c>
      <c r="C87" s="26" t="s">
        <v>507</v>
      </c>
      <c r="D87" s="26" t="s">
        <v>508</v>
      </c>
      <c r="E87" s="53"/>
      <c r="F87" s="34"/>
      <c r="G87" s="26" t="s">
        <v>77</v>
      </c>
      <c r="H87" s="35"/>
      <c r="I87" s="35"/>
      <c r="J87" s="35"/>
      <c r="K87" s="35"/>
      <c r="L87" s="35"/>
      <c r="M87" s="35"/>
      <c r="N87" s="35"/>
      <c r="O87" s="35"/>
      <c r="P87" s="35"/>
      <c r="Q87" s="35"/>
      <c r="R87" s="35"/>
      <c r="S87" s="35"/>
      <c r="T87" s="35"/>
      <c r="U87" s="35"/>
      <c r="V87" s="35"/>
      <c r="W87" s="35"/>
      <c r="X87" s="35"/>
      <c r="Y87" s="35"/>
      <c r="Z87" s="35"/>
      <c r="AA87" s="35"/>
    </row>
    <row r="88" hidden="1">
      <c r="A88" s="23" t="s">
        <v>167</v>
      </c>
      <c r="B88" s="23" t="s">
        <v>201</v>
      </c>
      <c r="C88" s="26" t="s">
        <v>509</v>
      </c>
      <c r="D88" s="26" t="s">
        <v>510</v>
      </c>
      <c r="E88" s="53"/>
      <c r="F88" s="34"/>
      <c r="G88" s="26" t="s">
        <v>73</v>
      </c>
      <c r="H88" s="35"/>
      <c r="I88" s="35"/>
      <c r="J88" s="35"/>
      <c r="K88" s="35"/>
      <c r="L88" s="35"/>
      <c r="M88" s="35"/>
      <c r="N88" s="35"/>
      <c r="O88" s="35"/>
      <c r="P88" s="35"/>
      <c r="Q88" s="35"/>
      <c r="R88" s="35"/>
      <c r="S88" s="35"/>
      <c r="T88" s="35"/>
      <c r="U88" s="35"/>
      <c r="V88" s="35"/>
      <c r="W88" s="35"/>
      <c r="X88" s="35"/>
      <c r="Y88" s="35"/>
      <c r="Z88" s="35"/>
      <c r="AA88" s="35"/>
    </row>
    <row r="89" hidden="1">
      <c r="A89" s="23" t="s">
        <v>167</v>
      </c>
      <c r="B89" s="23" t="s">
        <v>201</v>
      </c>
      <c r="C89" s="26" t="s">
        <v>512</v>
      </c>
      <c r="D89" s="26" t="s">
        <v>513</v>
      </c>
      <c r="E89" s="53"/>
      <c r="F89" s="34"/>
      <c r="G89" s="26" t="s">
        <v>73</v>
      </c>
      <c r="H89" s="35"/>
      <c r="I89" s="35"/>
      <c r="J89" s="35"/>
      <c r="K89" s="35"/>
      <c r="L89" s="35"/>
      <c r="M89" s="35"/>
      <c r="N89" s="35"/>
      <c r="O89" s="35"/>
      <c r="P89" s="35"/>
      <c r="Q89" s="35"/>
      <c r="R89" s="35"/>
      <c r="S89" s="35"/>
      <c r="T89" s="35"/>
      <c r="U89" s="35"/>
      <c r="V89" s="35"/>
      <c r="W89" s="35"/>
      <c r="X89" s="35"/>
      <c r="Y89" s="35"/>
      <c r="Z89" s="35"/>
      <c r="AA89" s="35"/>
    </row>
    <row r="90">
      <c r="A90" s="23" t="s">
        <v>167</v>
      </c>
      <c r="B90" s="23" t="s">
        <v>201</v>
      </c>
      <c r="C90" s="26" t="s">
        <v>514</v>
      </c>
      <c r="D90" s="26" t="s">
        <v>515</v>
      </c>
      <c r="E90" s="53"/>
      <c r="F90" s="34"/>
      <c r="G90" s="26" t="s">
        <v>77</v>
      </c>
      <c r="H90" s="35"/>
      <c r="I90" s="35"/>
      <c r="J90" s="35"/>
      <c r="K90" s="35"/>
      <c r="L90" s="35"/>
      <c r="M90" s="35"/>
      <c r="N90" s="35"/>
      <c r="O90" s="35"/>
      <c r="P90" s="35"/>
      <c r="Q90" s="35"/>
      <c r="R90" s="35"/>
      <c r="S90" s="35"/>
      <c r="T90" s="35"/>
      <c r="U90" s="35"/>
      <c r="V90" s="35"/>
      <c r="W90" s="35"/>
      <c r="X90" s="35"/>
      <c r="Y90" s="35"/>
      <c r="Z90" s="35"/>
      <c r="AA90" s="35"/>
    </row>
    <row r="91">
      <c r="A91" s="23" t="s">
        <v>167</v>
      </c>
      <c r="B91" s="23" t="s">
        <v>201</v>
      </c>
      <c r="C91" s="26" t="s">
        <v>516</v>
      </c>
      <c r="D91" s="26" t="s">
        <v>517</v>
      </c>
      <c r="E91" s="53"/>
      <c r="F91" s="34"/>
      <c r="G91" s="26" t="s">
        <v>77</v>
      </c>
      <c r="H91" s="35"/>
      <c r="I91" s="35"/>
      <c r="J91" s="35"/>
      <c r="K91" s="35"/>
      <c r="L91" s="35"/>
      <c r="M91" s="35"/>
      <c r="N91" s="35"/>
      <c r="O91" s="35"/>
      <c r="P91" s="35"/>
      <c r="Q91" s="35"/>
      <c r="R91" s="35"/>
      <c r="S91" s="35"/>
      <c r="T91" s="35"/>
      <c r="U91" s="35"/>
      <c r="V91" s="35"/>
      <c r="W91" s="35"/>
      <c r="X91" s="35"/>
      <c r="Y91" s="35"/>
      <c r="Z91" s="35"/>
      <c r="AA91" s="35"/>
    </row>
    <row r="92">
      <c r="A92" s="23" t="s">
        <v>167</v>
      </c>
      <c r="B92" s="23" t="s">
        <v>201</v>
      </c>
      <c r="C92" s="26" t="s">
        <v>518</v>
      </c>
      <c r="D92" s="26" t="s">
        <v>519</v>
      </c>
      <c r="E92" s="53"/>
      <c r="F92" s="34"/>
      <c r="G92" s="26" t="s">
        <v>77</v>
      </c>
      <c r="H92" s="35"/>
      <c r="I92" s="35"/>
      <c r="J92" s="35"/>
      <c r="K92" s="35"/>
      <c r="L92" s="35"/>
      <c r="M92" s="35"/>
      <c r="N92" s="35"/>
      <c r="O92" s="35"/>
      <c r="P92" s="35"/>
      <c r="Q92" s="35"/>
      <c r="R92" s="35"/>
      <c r="S92" s="35"/>
      <c r="T92" s="35"/>
      <c r="U92" s="35"/>
      <c r="V92" s="35"/>
      <c r="W92" s="35"/>
      <c r="X92" s="35"/>
      <c r="Y92" s="35"/>
      <c r="Z92" s="35"/>
      <c r="AA92" s="35"/>
    </row>
    <row r="93" hidden="1">
      <c r="A93" s="23" t="s">
        <v>131</v>
      </c>
      <c r="B93" s="23" t="s">
        <v>284</v>
      </c>
      <c r="C93" s="93" t="s">
        <v>520</v>
      </c>
      <c r="D93" s="26" t="s">
        <v>521</v>
      </c>
      <c r="E93" s="33" t="s">
        <v>522</v>
      </c>
      <c r="F93" s="34"/>
      <c r="G93" s="26" t="s">
        <v>73</v>
      </c>
      <c r="H93" s="35"/>
      <c r="I93" s="35"/>
      <c r="J93" s="35"/>
      <c r="K93" s="35"/>
      <c r="L93" s="35"/>
      <c r="M93" s="35"/>
      <c r="N93" s="35"/>
      <c r="O93" s="35"/>
      <c r="P93" s="35"/>
      <c r="Q93" s="35"/>
      <c r="R93" s="35"/>
      <c r="S93" s="35"/>
      <c r="T93" s="35"/>
      <c r="U93" s="35"/>
      <c r="V93" s="35"/>
      <c r="W93" s="35"/>
      <c r="X93" s="35"/>
      <c r="Y93" s="35"/>
      <c r="Z93" s="35"/>
      <c r="AA93" s="35"/>
    </row>
    <row r="94">
      <c r="A94" s="23" t="s">
        <v>131</v>
      </c>
      <c r="B94" s="23" t="s">
        <v>284</v>
      </c>
      <c r="C94" s="93" t="s">
        <v>524</v>
      </c>
      <c r="D94" s="26" t="s">
        <v>525</v>
      </c>
      <c r="E94" s="33" t="s">
        <v>526</v>
      </c>
      <c r="F94" s="34"/>
      <c r="G94" s="26" t="s">
        <v>77</v>
      </c>
      <c r="H94" s="35"/>
      <c r="I94" s="35"/>
      <c r="J94" s="35"/>
      <c r="K94" s="35"/>
      <c r="L94" s="35"/>
      <c r="M94" s="35"/>
      <c r="N94" s="35"/>
      <c r="O94" s="35"/>
      <c r="P94" s="35"/>
      <c r="Q94" s="35"/>
      <c r="R94" s="35"/>
      <c r="S94" s="35"/>
      <c r="T94" s="35"/>
      <c r="U94" s="35"/>
      <c r="V94" s="35"/>
      <c r="W94" s="35"/>
      <c r="X94" s="35"/>
      <c r="Y94" s="35"/>
      <c r="Z94" s="35"/>
      <c r="AA94" s="35"/>
    </row>
    <row r="95">
      <c r="A95" s="62" t="s">
        <v>131</v>
      </c>
      <c r="B95" s="62" t="s">
        <v>32</v>
      </c>
      <c r="C95" s="98" t="s">
        <v>527</v>
      </c>
      <c r="D95" s="62" t="s">
        <v>528</v>
      </c>
      <c r="E95" s="63"/>
      <c r="F95" s="100"/>
      <c r="G95" s="62" t="s">
        <v>76</v>
      </c>
      <c r="H95" s="35"/>
      <c r="I95" s="35"/>
      <c r="J95" s="35"/>
      <c r="K95" s="35"/>
      <c r="L95" s="35"/>
      <c r="M95" s="35"/>
      <c r="N95" s="35"/>
      <c r="O95" s="35"/>
      <c r="P95" s="35"/>
      <c r="Q95" s="35"/>
      <c r="R95" s="35"/>
      <c r="S95" s="35"/>
      <c r="T95" s="35"/>
      <c r="U95" s="35"/>
      <c r="V95" s="35"/>
      <c r="W95" s="35"/>
      <c r="X95" s="35"/>
      <c r="Y95" s="35"/>
      <c r="Z95" s="35"/>
      <c r="AA95" s="35"/>
    </row>
    <row r="96">
      <c r="A96" s="62" t="s">
        <v>131</v>
      </c>
      <c r="B96" s="62" t="s">
        <v>529</v>
      </c>
      <c r="C96" s="98" t="s">
        <v>532</v>
      </c>
      <c r="D96" s="62" t="s">
        <v>533</v>
      </c>
      <c r="E96" s="53"/>
      <c r="F96" s="34"/>
      <c r="G96" s="26" t="s">
        <v>76</v>
      </c>
      <c r="H96" s="35"/>
      <c r="I96" s="35"/>
      <c r="J96" s="35"/>
      <c r="K96" s="35"/>
      <c r="L96" s="35"/>
      <c r="M96" s="35"/>
      <c r="N96" s="35"/>
      <c r="O96" s="35"/>
      <c r="P96" s="35"/>
      <c r="Q96" s="35"/>
      <c r="R96" s="35"/>
      <c r="S96" s="35"/>
      <c r="T96" s="35"/>
      <c r="U96" s="35"/>
      <c r="V96" s="35"/>
      <c r="W96" s="35"/>
      <c r="X96" s="35"/>
      <c r="Y96" s="35"/>
      <c r="Z96" s="35"/>
      <c r="AA96" s="35"/>
    </row>
    <row r="97" hidden="1">
      <c r="A97" s="23" t="s">
        <v>131</v>
      </c>
      <c r="B97" s="23" t="s">
        <v>284</v>
      </c>
      <c r="C97" s="93" t="s">
        <v>536</v>
      </c>
      <c r="D97" s="26" t="s">
        <v>537</v>
      </c>
      <c r="E97" s="53"/>
      <c r="F97" s="34"/>
      <c r="G97" s="26" t="s">
        <v>73</v>
      </c>
      <c r="H97" s="35"/>
      <c r="I97" s="35"/>
      <c r="J97" s="35"/>
      <c r="K97" s="35"/>
      <c r="L97" s="35"/>
      <c r="M97" s="35"/>
      <c r="N97" s="35"/>
      <c r="O97" s="35"/>
      <c r="P97" s="35"/>
      <c r="Q97" s="35"/>
      <c r="R97" s="35"/>
      <c r="S97" s="35"/>
      <c r="T97" s="35"/>
      <c r="U97" s="35"/>
      <c r="V97" s="35"/>
      <c r="W97" s="35"/>
      <c r="X97" s="35"/>
      <c r="Y97" s="35"/>
      <c r="Z97" s="35"/>
      <c r="AA97" s="35"/>
    </row>
    <row r="98">
      <c r="A98" s="23" t="s">
        <v>131</v>
      </c>
      <c r="B98" s="23" t="s">
        <v>201</v>
      </c>
      <c r="C98" s="93" t="s">
        <v>540</v>
      </c>
      <c r="D98" s="26" t="s">
        <v>541</v>
      </c>
      <c r="E98" s="53"/>
      <c r="F98" s="34"/>
      <c r="G98" s="26" t="s">
        <v>77</v>
      </c>
      <c r="H98" s="35"/>
      <c r="I98" s="35"/>
      <c r="J98" s="35"/>
      <c r="K98" s="35"/>
      <c r="L98" s="35"/>
      <c r="M98" s="35"/>
      <c r="N98" s="35"/>
      <c r="O98" s="35"/>
      <c r="P98" s="35"/>
      <c r="Q98" s="35"/>
      <c r="R98" s="35"/>
      <c r="S98" s="35"/>
      <c r="T98" s="35"/>
      <c r="U98" s="35"/>
      <c r="V98" s="35"/>
      <c r="W98" s="35"/>
      <c r="X98" s="35"/>
      <c r="Y98" s="35"/>
      <c r="Z98" s="35"/>
      <c r="AA98" s="35"/>
    </row>
    <row r="99">
      <c r="A99" s="23" t="s">
        <v>131</v>
      </c>
      <c r="B99" s="23" t="s">
        <v>284</v>
      </c>
      <c r="C99" s="93" t="s">
        <v>543</v>
      </c>
      <c r="D99" s="26" t="s">
        <v>544</v>
      </c>
      <c r="E99" s="53"/>
      <c r="F99" s="34"/>
      <c r="G99" s="26" t="s">
        <v>77</v>
      </c>
      <c r="H99" s="35"/>
      <c r="I99" s="35"/>
      <c r="J99" s="35"/>
      <c r="K99" s="35"/>
      <c r="L99" s="35"/>
      <c r="M99" s="35"/>
      <c r="N99" s="35"/>
      <c r="O99" s="35"/>
      <c r="P99" s="35"/>
      <c r="Q99" s="35"/>
      <c r="R99" s="35"/>
      <c r="S99" s="35"/>
      <c r="T99" s="35"/>
      <c r="U99" s="35"/>
      <c r="V99" s="35"/>
      <c r="W99" s="35"/>
      <c r="X99" s="35"/>
      <c r="Y99" s="35"/>
      <c r="Z99" s="35"/>
      <c r="AA99" s="35"/>
    </row>
    <row r="100">
      <c r="A100" s="26" t="s">
        <v>133</v>
      </c>
      <c r="B100" s="93"/>
      <c r="C100" s="93" t="s">
        <v>545</v>
      </c>
      <c r="D100" s="26" t="s">
        <v>546</v>
      </c>
      <c r="E100" s="33" t="s">
        <v>548</v>
      </c>
      <c r="F100" s="34"/>
      <c r="G100" s="26" t="s">
        <v>77</v>
      </c>
      <c r="H100" s="35"/>
      <c r="I100" s="35"/>
      <c r="J100" s="35"/>
      <c r="K100" s="35"/>
      <c r="L100" s="35"/>
      <c r="M100" s="35"/>
      <c r="N100" s="35"/>
      <c r="O100" s="35"/>
      <c r="P100" s="35"/>
      <c r="Q100" s="35"/>
      <c r="R100" s="35"/>
      <c r="S100" s="35"/>
      <c r="T100" s="35"/>
      <c r="U100" s="35"/>
      <c r="V100" s="35"/>
      <c r="W100" s="35"/>
      <c r="X100" s="35"/>
      <c r="Y100" s="35"/>
      <c r="Z100" s="35"/>
      <c r="AA100" s="35"/>
    </row>
    <row r="101">
      <c r="A101" s="23" t="s">
        <v>131</v>
      </c>
      <c r="B101" s="23" t="s">
        <v>284</v>
      </c>
      <c r="C101" s="93" t="s">
        <v>549</v>
      </c>
      <c r="D101" s="26" t="s">
        <v>551</v>
      </c>
      <c r="E101" s="33" t="s">
        <v>552</v>
      </c>
      <c r="F101" s="34"/>
      <c r="G101" s="26" t="s">
        <v>77</v>
      </c>
      <c r="H101" s="35"/>
      <c r="I101" s="35"/>
      <c r="J101" s="35"/>
      <c r="K101" s="35"/>
      <c r="L101" s="35"/>
      <c r="M101" s="35"/>
      <c r="N101" s="35"/>
      <c r="O101" s="35"/>
      <c r="P101" s="35"/>
      <c r="Q101" s="35"/>
      <c r="R101" s="35"/>
      <c r="S101" s="35"/>
      <c r="T101" s="35"/>
      <c r="U101" s="35"/>
      <c r="V101" s="35"/>
      <c r="W101" s="35"/>
      <c r="X101" s="35"/>
      <c r="Y101" s="35"/>
      <c r="Z101" s="35"/>
      <c r="AA101" s="35"/>
    </row>
    <row r="102" hidden="1">
      <c r="A102" s="23" t="s">
        <v>131</v>
      </c>
      <c r="B102" s="93"/>
      <c r="C102" s="93" t="s">
        <v>553</v>
      </c>
      <c r="D102" s="26" t="s">
        <v>554</v>
      </c>
      <c r="E102" s="33" t="s">
        <v>555</v>
      </c>
      <c r="F102" s="34"/>
      <c r="G102" s="26" t="s">
        <v>73</v>
      </c>
      <c r="H102" s="35"/>
      <c r="I102" s="35"/>
      <c r="J102" s="35"/>
      <c r="K102" s="35"/>
      <c r="L102" s="35"/>
      <c r="M102" s="35"/>
      <c r="N102" s="35"/>
      <c r="O102" s="35"/>
      <c r="P102" s="35"/>
      <c r="Q102" s="35"/>
      <c r="R102" s="35"/>
      <c r="S102" s="35"/>
      <c r="T102" s="35"/>
      <c r="U102" s="35"/>
      <c r="V102" s="35"/>
      <c r="W102" s="35"/>
      <c r="X102" s="35"/>
      <c r="Y102" s="35"/>
      <c r="Z102" s="35"/>
      <c r="AA102" s="35"/>
    </row>
    <row r="103">
      <c r="A103" s="23" t="s">
        <v>131</v>
      </c>
      <c r="B103" s="98"/>
      <c r="C103" s="98" t="s">
        <v>556</v>
      </c>
      <c r="D103" s="62" t="s">
        <v>557</v>
      </c>
      <c r="E103" s="99" t="s">
        <v>555</v>
      </c>
      <c r="F103" s="100"/>
      <c r="G103" s="26" t="s">
        <v>76</v>
      </c>
      <c r="H103" s="35"/>
      <c r="I103" s="35"/>
      <c r="J103" s="35"/>
      <c r="K103" s="35"/>
      <c r="L103" s="35"/>
      <c r="M103" s="35"/>
      <c r="N103" s="35"/>
      <c r="O103" s="35"/>
      <c r="P103" s="35"/>
      <c r="Q103" s="35"/>
      <c r="R103" s="35"/>
      <c r="S103" s="35"/>
      <c r="T103" s="35"/>
      <c r="U103" s="35"/>
      <c r="V103" s="35"/>
      <c r="W103" s="35"/>
      <c r="X103" s="35"/>
      <c r="Y103" s="35"/>
      <c r="Z103" s="35"/>
      <c r="AA103" s="35"/>
    </row>
    <row r="104">
      <c r="A104" s="62" t="s">
        <v>131</v>
      </c>
      <c r="B104" s="98"/>
      <c r="C104" s="98" t="s">
        <v>558</v>
      </c>
      <c r="D104" s="62" t="s">
        <v>559</v>
      </c>
      <c r="E104" s="99" t="s">
        <v>560</v>
      </c>
      <c r="F104" s="100"/>
      <c r="G104" s="26" t="s">
        <v>76</v>
      </c>
      <c r="H104" s="35"/>
      <c r="I104" s="35"/>
      <c r="J104" s="35"/>
      <c r="K104" s="35"/>
      <c r="L104" s="35"/>
      <c r="M104" s="35"/>
      <c r="N104" s="35"/>
      <c r="O104" s="35"/>
      <c r="P104" s="35"/>
      <c r="Q104" s="35"/>
      <c r="R104" s="35"/>
      <c r="S104" s="35"/>
      <c r="T104" s="35"/>
      <c r="U104" s="35"/>
      <c r="V104" s="35"/>
      <c r="W104" s="35"/>
      <c r="X104" s="35"/>
      <c r="Y104" s="35"/>
      <c r="Z104" s="35"/>
      <c r="AA104" s="35"/>
    </row>
    <row r="105" hidden="1">
      <c r="A105" s="23" t="s">
        <v>131</v>
      </c>
      <c r="B105" s="23" t="s">
        <v>32</v>
      </c>
      <c r="C105" s="93" t="s">
        <v>561</v>
      </c>
      <c r="D105" s="26" t="s">
        <v>563</v>
      </c>
      <c r="E105" s="33" t="s">
        <v>555</v>
      </c>
      <c r="F105" s="34"/>
      <c r="G105" s="26" t="s">
        <v>73</v>
      </c>
      <c r="H105" s="35"/>
      <c r="I105" s="35"/>
      <c r="J105" s="35"/>
      <c r="K105" s="35"/>
      <c r="L105" s="35"/>
      <c r="M105" s="35"/>
      <c r="N105" s="35"/>
      <c r="O105" s="35"/>
      <c r="P105" s="35"/>
      <c r="Q105" s="35"/>
      <c r="R105" s="35"/>
      <c r="S105" s="35"/>
      <c r="T105" s="35"/>
      <c r="U105" s="35"/>
      <c r="V105" s="35"/>
      <c r="W105" s="35"/>
      <c r="X105" s="35"/>
      <c r="Y105" s="35"/>
      <c r="Z105" s="35"/>
      <c r="AA105" s="35"/>
    </row>
    <row r="106">
      <c r="A106" s="62" t="s">
        <v>81</v>
      </c>
      <c r="B106" s="98"/>
      <c r="C106" s="98" t="s">
        <v>565</v>
      </c>
      <c r="D106" s="62" t="s">
        <v>567</v>
      </c>
      <c r="E106" s="99" t="s">
        <v>555</v>
      </c>
      <c r="F106" s="105" t="s">
        <v>568</v>
      </c>
      <c r="G106" s="26" t="s">
        <v>76</v>
      </c>
      <c r="H106" s="35"/>
      <c r="I106" s="35"/>
      <c r="J106" s="35"/>
      <c r="K106" s="35"/>
      <c r="L106" s="35"/>
      <c r="M106" s="35"/>
      <c r="N106" s="35"/>
      <c r="O106" s="35"/>
      <c r="P106" s="35"/>
      <c r="Q106" s="35"/>
      <c r="R106" s="35"/>
      <c r="S106" s="35"/>
      <c r="T106" s="35"/>
      <c r="U106" s="35"/>
      <c r="V106" s="35"/>
      <c r="W106" s="35"/>
      <c r="X106" s="35"/>
      <c r="Y106" s="35"/>
      <c r="Z106" s="35"/>
      <c r="AA106" s="35"/>
    </row>
    <row r="107">
      <c r="A107" s="23" t="s">
        <v>81</v>
      </c>
      <c r="B107" s="26"/>
      <c r="C107" s="26" t="s">
        <v>570</v>
      </c>
      <c r="D107" s="26" t="s">
        <v>571</v>
      </c>
      <c r="E107" s="33" t="s">
        <v>555</v>
      </c>
      <c r="F107" s="10" t="s">
        <v>572</v>
      </c>
      <c r="G107" s="26" t="s">
        <v>76</v>
      </c>
      <c r="H107" s="35"/>
      <c r="I107" s="35"/>
      <c r="J107" s="35"/>
      <c r="K107" s="35"/>
      <c r="L107" s="35"/>
      <c r="M107" s="35"/>
      <c r="N107" s="35"/>
      <c r="O107" s="35"/>
      <c r="P107" s="35"/>
      <c r="Q107" s="35"/>
      <c r="R107" s="35"/>
      <c r="S107" s="35"/>
      <c r="T107" s="35"/>
      <c r="U107" s="35"/>
      <c r="V107" s="35"/>
      <c r="W107" s="35"/>
      <c r="X107" s="35"/>
      <c r="Y107" s="35"/>
      <c r="Z107" s="35"/>
      <c r="AA107" s="35"/>
    </row>
    <row r="108" hidden="1">
      <c r="A108" s="23" t="s">
        <v>162</v>
      </c>
      <c r="B108" s="26"/>
      <c r="C108" s="26" t="s">
        <v>576</v>
      </c>
      <c r="D108" s="34"/>
      <c r="E108" s="53"/>
      <c r="F108" s="34"/>
      <c r="G108" s="26" t="s">
        <v>79</v>
      </c>
      <c r="H108" s="35"/>
      <c r="I108" s="35"/>
      <c r="J108" s="35"/>
      <c r="K108" s="35"/>
      <c r="L108" s="35"/>
      <c r="M108" s="35"/>
      <c r="N108" s="35"/>
      <c r="O108" s="35"/>
      <c r="P108" s="35"/>
      <c r="Q108" s="35"/>
      <c r="R108" s="35"/>
      <c r="S108" s="35"/>
      <c r="T108" s="35"/>
      <c r="U108" s="35"/>
      <c r="V108" s="35"/>
      <c r="W108" s="35"/>
      <c r="X108" s="35"/>
      <c r="Y108" s="35"/>
      <c r="Z108" s="35"/>
      <c r="AA108" s="35"/>
    </row>
    <row r="109" hidden="1">
      <c r="A109" s="23" t="s">
        <v>176</v>
      </c>
      <c r="B109" s="26"/>
      <c r="C109" s="26" t="s">
        <v>287</v>
      </c>
      <c r="D109" s="26" t="s">
        <v>482</v>
      </c>
      <c r="E109" s="53"/>
      <c r="F109" s="34"/>
      <c r="G109" s="26" t="s">
        <v>73</v>
      </c>
      <c r="H109" s="35"/>
      <c r="I109" s="35"/>
      <c r="J109" s="35"/>
      <c r="K109" s="35"/>
      <c r="L109" s="35"/>
      <c r="M109" s="35"/>
      <c r="N109" s="35"/>
      <c r="O109" s="35"/>
      <c r="P109" s="35"/>
      <c r="Q109" s="35"/>
      <c r="R109" s="35"/>
      <c r="S109" s="35"/>
      <c r="T109" s="35"/>
      <c r="U109" s="35"/>
      <c r="V109" s="35"/>
      <c r="W109" s="35"/>
      <c r="X109" s="35"/>
      <c r="Y109" s="35"/>
      <c r="Z109" s="35"/>
      <c r="AA109" s="35"/>
    </row>
    <row r="110">
      <c r="A110" s="23" t="s">
        <v>174</v>
      </c>
      <c r="B110" s="23" t="s">
        <v>120</v>
      </c>
      <c r="C110" s="26" t="s">
        <v>578</v>
      </c>
      <c r="D110" s="26" t="s">
        <v>579</v>
      </c>
      <c r="E110" s="53"/>
      <c r="F110" s="34"/>
      <c r="G110" s="26" t="s">
        <v>77</v>
      </c>
      <c r="H110" s="35"/>
      <c r="I110" s="35"/>
      <c r="J110" s="35"/>
      <c r="K110" s="35"/>
      <c r="L110" s="35"/>
      <c r="M110" s="35"/>
      <c r="N110" s="35"/>
      <c r="O110" s="35"/>
      <c r="P110" s="35"/>
      <c r="Q110" s="35"/>
      <c r="R110" s="35"/>
      <c r="S110" s="35"/>
      <c r="T110" s="35"/>
      <c r="U110" s="35"/>
      <c r="V110" s="35"/>
      <c r="W110" s="35"/>
      <c r="X110" s="35"/>
      <c r="Y110" s="35"/>
      <c r="Z110" s="35"/>
      <c r="AA110" s="35"/>
    </row>
    <row r="111" hidden="1">
      <c r="A111" s="23" t="s">
        <v>32</v>
      </c>
      <c r="B111" s="23" t="s">
        <v>343</v>
      </c>
      <c r="C111" s="26" t="s">
        <v>580</v>
      </c>
      <c r="D111" s="26" t="s">
        <v>581</v>
      </c>
      <c r="E111" s="53"/>
      <c r="F111" s="26" t="s">
        <v>582</v>
      </c>
      <c r="G111" s="26" t="s">
        <v>80</v>
      </c>
      <c r="H111" s="35"/>
      <c r="I111" s="35"/>
      <c r="J111" s="35"/>
      <c r="K111" s="35"/>
      <c r="L111" s="35"/>
      <c r="M111" s="35"/>
      <c r="N111" s="35"/>
      <c r="O111" s="35"/>
      <c r="P111" s="35"/>
      <c r="Q111" s="35"/>
      <c r="R111" s="35"/>
      <c r="S111" s="35"/>
      <c r="T111" s="35"/>
      <c r="U111" s="35"/>
      <c r="V111" s="35"/>
      <c r="W111" s="35"/>
      <c r="X111" s="35"/>
      <c r="Y111" s="35"/>
      <c r="Z111" s="35"/>
      <c r="AA111" s="35"/>
    </row>
    <row r="112" hidden="1">
      <c r="A112" s="26" t="s">
        <v>115</v>
      </c>
      <c r="B112" s="26"/>
      <c r="C112" s="26" t="s">
        <v>583</v>
      </c>
      <c r="D112" s="33" t="s">
        <v>584</v>
      </c>
      <c r="E112" s="53"/>
      <c r="F112" s="34"/>
      <c r="G112" s="26" t="s">
        <v>80</v>
      </c>
      <c r="H112" s="35"/>
      <c r="I112" s="35"/>
      <c r="J112" s="35"/>
      <c r="K112" s="35"/>
      <c r="L112" s="35"/>
      <c r="M112" s="35"/>
      <c r="N112" s="35"/>
      <c r="O112" s="35"/>
      <c r="P112" s="35"/>
      <c r="Q112" s="35"/>
      <c r="R112" s="35"/>
      <c r="S112" s="35"/>
      <c r="T112" s="35"/>
      <c r="U112" s="35"/>
      <c r="V112" s="35"/>
      <c r="W112" s="35"/>
      <c r="X112" s="35"/>
      <c r="Y112" s="35"/>
      <c r="Z112" s="35"/>
      <c r="AA112" s="35"/>
    </row>
    <row r="113" hidden="1">
      <c r="A113" s="26" t="s">
        <v>115</v>
      </c>
      <c r="B113" s="47"/>
      <c r="C113" s="10" t="s">
        <v>585</v>
      </c>
      <c r="D113" s="106" t="s">
        <v>586</v>
      </c>
      <c r="E113" s="53"/>
      <c r="F113" s="34"/>
      <c r="G113" s="26" t="s">
        <v>79</v>
      </c>
      <c r="H113" s="35"/>
      <c r="I113" s="35"/>
      <c r="J113" s="35"/>
      <c r="K113" s="35"/>
      <c r="L113" s="35"/>
      <c r="M113" s="35"/>
      <c r="N113" s="35"/>
      <c r="O113" s="35"/>
      <c r="P113" s="35"/>
      <c r="Q113" s="35"/>
      <c r="R113" s="35"/>
      <c r="S113" s="35"/>
      <c r="T113" s="35"/>
      <c r="U113" s="35"/>
      <c r="V113" s="35"/>
      <c r="W113" s="35"/>
      <c r="X113" s="35"/>
      <c r="Y113" s="35"/>
      <c r="Z113" s="35"/>
      <c r="AA113" s="35"/>
    </row>
    <row r="114" hidden="1">
      <c r="A114" s="26" t="s">
        <v>115</v>
      </c>
      <c r="B114" s="26"/>
      <c r="C114" s="26" t="s">
        <v>587</v>
      </c>
      <c r="D114" s="106" t="s">
        <v>588</v>
      </c>
      <c r="E114" s="53"/>
      <c r="F114" s="34"/>
      <c r="G114" s="26" t="s">
        <v>79</v>
      </c>
      <c r="H114" s="35"/>
      <c r="I114" s="35"/>
      <c r="J114" s="35"/>
      <c r="K114" s="35"/>
      <c r="L114" s="35"/>
      <c r="M114" s="35"/>
      <c r="N114" s="35"/>
      <c r="O114" s="35"/>
      <c r="P114" s="35"/>
      <c r="Q114" s="35"/>
      <c r="R114" s="35"/>
      <c r="S114" s="35"/>
      <c r="T114" s="35"/>
      <c r="U114" s="35"/>
      <c r="V114" s="35"/>
      <c r="W114" s="35"/>
      <c r="X114" s="35"/>
      <c r="Y114" s="35"/>
      <c r="Z114" s="35"/>
      <c r="AA114" s="35"/>
    </row>
    <row r="115">
      <c r="A115" s="35"/>
      <c r="B115" s="35"/>
      <c r="C115" s="35"/>
      <c r="D115" s="35"/>
      <c r="E115" s="107"/>
      <c r="F115" s="35"/>
      <c r="G115" s="35"/>
      <c r="H115" s="35"/>
      <c r="I115" s="35"/>
      <c r="J115" s="35"/>
      <c r="K115" s="35"/>
      <c r="L115" s="35"/>
      <c r="M115" s="35"/>
      <c r="N115" s="35"/>
      <c r="O115" s="35"/>
      <c r="P115" s="35"/>
      <c r="Q115" s="35"/>
      <c r="R115" s="35"/>
      <c r="S115" s="35"/>
      <c r="T115" s="35"/>
      <c r="U115" s="35"/>
      <c r="V115" s="35"/>
      <c r="W115" s="35"/>
      <c r="X115" s="35"/>
      <c r="Y115" s="35"/>
      <c r="Z115" s="35"/>
      <c r="AA115" s="35"/>
    </row>
    <row r="116">
      <c r="A116" s="35"/>
      <c r="B116" s="35"/>
      <c r="C116" s="35"/>
      <c r="D116" s="35"/>
      <c r="E116" s="107"/>
      <c r="F116" s="35"/>
      <c r="G116" s="35"/>
      <c r="H116" s="35"/>
      <c r="I116" s="35"/>
      <c r="J116" s="35"/>
      <c r="K116" s="35"/>
      <c r="L116" s="35"/>
      <c r="M116" s="35"/>
      <c r="N116" s="35"/>
      <c r="O116" s="35"/>
      <c r="P116" s="35"/>
      <c r="Q116" s="35"/>
      <c r="R116" s="35"/>
      <c r="S116" s="35"/>
      <c r="T116" s="35"/>
      <c r="U116" s="35"/>
      <c r="V116" s="35"/>
      <c r="W116" s="35"/>
      <c r="X116" s="35"/>
      <c r="Y116" s="35"/>
      <c r="Z116" s="35"/>
      <c r="AA116" s="35"/>
    </row>
    <row r="117">
      <c r="A117" s="35"/>
      <c r="B117" s="35"/>
      <c r="C117" s="35"/>
      <c r="D117" s="35"/>
      <c r="E117" s="107"/>
      <c r="F117" s="35"/>
      <c r="G117" s="35"/>
      <c r="H117" s="35"/>
      <c r="I117" s="35"/>
      <c r="J117" s="35"/>
      <c r="K117" s="35"/>
      <c r="L117" s="35"/>
      <c r="M117" s="35"/>
      <c r="N117" s="35"/>
      <c r="O117" s="35"/>
      <c r="P117" s="35"/>
      <c r="Q117" s="35"/>
      <c r="R117" s="35"/>
      <c r="S117" s="35"/>
      <c r="T117" s="35"/>
      <c r="U117" s="35"/>
      <c r="V117" s="35"/>
      <c r="W117" s="35"/>
      <c r="X117" s="35"/>
      <c r="Y117" s="35"/>
      <c r="Z117" s="35"/>
      <c r="AA117" s="35"/>
    </row>
    <row r="118">
      <c r="A118" s="35"/>
      <c r="B118" s="35"/>
      <c r="C118" s="35"/>
      <c r="D118" s="35"/>
      <c r="E118" s="107"/>
      <c r="F118" s="35"/>
      <c r="G118" s="35"/>
      <c r="H118" s="35"/>
      <c r="I118" s="35"/>
      <c r="J118" s="35"/>
      <c r="K118" s="35"/>
      <c r="L118" s="35"/>
      <c r="M118" s="35"/>
      <c r="N118" s="35"/>
      <c r="O118" s="35"/>
      <c r="P118" s="35"/>
      <c r="Q118" s="35"/>
      <c r="R118" s="35"/>
      <c r="S118" s="35"/>
      <c r="T118" s="35"/>
      <c r="U118" s="35"/>
      <c r="V118" s="35"/>
      <c r="W118" s="35"/>
      <c r="X118" s="35"/>
      <c r="Y118" s="35"/>
      <c r="Z118" s="35"/>
      <c r="AA118" s="35"/>
    </row>
    <row r="119">
      <c r="A119" s="35"/>
      <c r="B119" s="35"/>
      <c r="C119" s="35"/>
      <c r="D119" s="35"/>
      <c r="E119" s="107"/>
      <c r="F119" s="35"/>
      <c r="G119" s="35"/>
      <c r="H119" s="35"/>
      <c r="I119" s="35"/>
      <c r="J119" s="35"/>
      <c r="K119" s="35"/>
      <c r="L119" s="35"/>
      <c r="M119" s="35"/>
      <c r="N119" s="35"/>
      <c r="O119" s="35"/>
      <c r="P119" s="35"/>
      <c r="Q119" s="35"/>
      <c r="R119" s="35"/>
      <c r="S119" s="35"/>
      <c r="T119" s="35"/>
      <c r="U119" s="35"/>
      <c r="V119" s="35"/>
      <c r="W119" s="35"/>
      <c r="X119" s="35"/>
      <c r="Y119" s="35"/>
      <c r="Z119" s="35"/>
      <c r="AA119" s="35"/>
    </row>
    <row r="120">
      <c r="A120" s="35"/>
      <c r="B120" s="35"/>
      <c r="C120" s="35"/>
      <c r="D120" s="35"/>
      <c r="E120" s="107"/>
      <c r="F120" s="35"/>
      <c r="G120" s="35"/>
      <c r="H120" s="35"/>
      <c r="I120" s="35"/>
      <c r="J120" s="35"/>
      <c r="K120" s="35"/>
      <c r="L120" s="35"/>
      <c r="M120" s="35"/>
      <c r="N120" s="35"/>
      <c r="O120" s="35"/>
      <c r="P120" s="35"/>
      <c r="Q120" s="35"/>
      <c r="R120" s="35"/>
      <c r="S120" s="35"/>
      <c r="T120" s="35"/>
      <c r="U120" s="35"/>
      <c r="V120" s="35"/>
      <c r="W120" s="35"/>
      <c r="X120" s="35"/>
      <c r="Y120" s="35"/>
      <c r="Z120" s="35"/>
      <c r="AA120" s="35"/>
    </row>
    <row r="121">
      <c r="A121" s="35"/>
      <c r="B121" s="35"/>
      <c r="C121" s="35"/>
      <c r="D121" s="35"/>
      <c r="E121" s="107"/>
      <c r="F121" s="35"/>
      <c r="G121" s="35"/>
      <c r="H121" s="35"/>
      <c r="I121" s="35"/>
      <c r="J121" s="35"/>
      <c r="K121" s="35"/>
      <c r="L121" s="35"/>
      <c r="M121" s="35"/>
      <c r="N121" s="35"/>
      <c r="O121" s="35"/>
      <c r="P121" s="35"/>
      <c r="Q121" s="35"/>
      <c r="R121" s="35"/>
      <c r="S121" s="35"/>
      <c r="T121" s="35"/>
      <c r="U121" s="35"/>
      <c r="V121" s="35"/>
      <c r="W121" s="35"/>
      <c r="X121" s="35"/>
      <c r="Y121" s="35"/>
      <c r="Z121" s="35"/>
      <c r="AA121" s="35"/>
    </row>
    <row r="122">
      <c r="A122" s="35"/>
      <c r="B122" s="35"/>
      <c r="C122" s="35"/>
      <c r="D122" s="35"/>
      <c r="E122" s="107"/>
      <c r="F122" s="35"/>
      <c r="G122" s="35"/>
      <c r="H122" s="35"/>
      <c r="I122" s="35"/>
      <c r="J122" s="35"/>
      <c r="K122" s="35"/>
      <c r="L122" s="35"/>
      <c r="M122" s="35"/>
      <c r="N122" s="35"/>
      <c r="O122" s="35"/>
      <c r="P122" s="35"/>
      <c r="Q122" s="35"/>
      <c r="R122" s="35"/>
      <c r="S122" s="35"/>
      <c r="T122" s="35"/>
      <c r="U122" s="35"/>
      <c r="V122" s="35"/>
      <c r="W122" s="35"/>
      <c r="X122" s="35"/>
      <c r="Y122" s="35"/>
      <c r="Z122" s="35"/>
      <c r="AA122" s="35"/>
    </row>
    <row r="123">
      <c r="A123" s="35"/>
      <c r="B123" s="35"/>
      <c r="C123" s="35"/>
      <c r="D123" s="35"/>
      <c r="E123" s="107"/>
      <c r="F123" s="35"/>
      <c r="G123" s="35"/>
      <c r="H123" s="35"/>
      <c r="I123" s="35"/>
      <c r="J123" s="35"/>
      <c r="K123" s="35"/>
      <c r="L123" s="35"/>
      <c r="M123" s="35"/>
      <c r="N123" s="35"/>
      <c r="O123" s="35"/>
      <c r="P123" s="35"/>
      <c r="Q123" s="35"/>
      <c r="R123" s="35"/>
      <c r="S123" s="35"/>
      <c r="T123" s="35"/>
      <c r="U123" s="35"/>
      <c r="V123" s="35"/>
      <c r="W123" s="35"/>
      <c r="X123" s="35"/>
      <c r="Y123" s="35"/>
      <c r="Z123" s="35"/>
      <c r="AA123" s="35"/>
    </row>
    <row r="124">
      <c r="A124" s="35"/>
      <c r="B124" s="35"/>
      <c r="C124" s="35"/>
      <c r="D124" s="35"/>
      <c r="E124" s="107"/>
      <c r="F124" s="35"/>
      <c r="G124" s="35"/>
      <c r="H124" s="35"/>
      <c r="I124" s="35"/>
      <c r="J124" s="35"/>
      <c r="K124" s="35"/>
      <c r="L124" s="35"/>
      <c r="M124" s="35"/>
      <c r="N124" s="35"/>
      <c r="O124" s="35"/>
      <c r="P124" s="35"/>
      <c r="Q124" s="35"/>
      <c r="R124" s="35"/>
      <c r="S124" s="35"/>
      <c r="T124" s="35"/>
      <c r="U124" s="35"/>
      <c r="V124" s="35"/>
      <c r="W124" s="35"/>
      <c r="X124" s="35"/>
      <c r="Y124" s="35"/>
      <c r="Z124" s="35"/>
      <c r="AA124" s="35"/>
    </row>
    <row r="125">
      <c r="A125" s="35"/>
      <c r="B125" s="35"/>
      <c r="C125" s="35"/>
      <c r="D125" s="35"/>
      <c r="E125" s="107"/>
      <c r="F125" s="35"/>
      <c r="G125" s="35"/>
      <c r="H125" s="35"/>
      <c r="I125" s="35"/>
      <c r="J125" s="35"/>
      <c r="K125" s="35"/>
      <c r="L125" s="35"/>
      <c r="M125" s="35"/>
      <c r="N125" s="35"/>
      <c r="O125" s="35"/>
      <c r="P125" s="35"/>
      <c r="Q125" s="35"/>
      <c r="R125" s="35"/>
      <c r="S125" s="35"/>
      <c r="T125" s="35"/>
      <c r="U125" s="35"/>
      <c r="V125" s="35"/>
      <c r="W125" s="35"/>
      <c r="X125" s="35"/>
      <c r="Y125" s="35"/>
      <c r="Z125" s="35"/>
      <c r="AA125" s="35"/>
    </row>
    <row r="126">
      <c r="A126" s="35"/>
      <c r="B126" s="35"/>
      <c r="C126" s="35"/>
      <c r="D126" s="35"/>
      <c r="E126" s="107"/>
      <c r="F126" s="35"/>
      <c r="G126" s="35"/>
      <c r="H126" s="35"/>
      <c r="I126" s="35"/>
      <c r="J126" s="35"/>
      <c r="K126" s="35"/>
      <c r="L126" s="35"/>
      <c r="M126" s="35"/>
      <c r="N126" s="35"/>
      <c r="O126" s="35"/>
      <c r="P126" s="35"/>
      <c r="Q126" s="35"/>
      <c r="R126" s="35"/>
      <c r="S126" s="35"/>
      <c r="T126" s="35"/>
      <c r="U126" s="35"/>
      <c r="V126" s="35"/>
      <c r="W126" s="35"/>
      <c r="X126" s="35"/>
      <c r="Y126" s="35"/>
      <c r="Z126" s="35"/>
      <c r="AA126" s="35"/>
    </row>
    <row r="127">
      <c r="A127" s="35"/>
      <c r="B127" s="35"/>
      <c r="C127" s="35"/>
      <c r="D127" s="35"/>
      <c r="E127" s="107"/>
      <c r="F127" s="35"/>
      <c r="G127" s="35"/>
      <c r="H127" s="35"/>
      <c r="I127" s="35"/>
      <c r="J127" s="35"/>
      <c r="K127" s="35"/>
      <c r="L127" s="35"/>
      <c r="M127" s="35"/>
      <c r="N127" s="35"/>
      <c r="O127" s="35"/>
      <c r="P127" s="35"/>
      <c r="Q127" s="35"/>
      <c r="R127" s="35"/>
      <c r="S127" s="35"/>
      <c r="T127" s="35"/>
      <c r="U127" s="35"/>
      <c r="V127" s="35"/>
      <c r="W127" s="35"/>
      <c r="X127" s="35"/>
      <c r="Y127" s="35"/>
      <c r="Z127" s="35"/>
      <c r="AA127" s="35"/>
    </row>
    <row r="128">
      <c r="A128" s="35"/>
      <c r="B128" s="35"/>
      <c r="C128" s="35"/>
      <c r="D128" s="35"/>
      <c r="E128" s="107"/>
      <c r="F128" s="35"/>
      <c r="G128" s="35"/>
      <c r="H128" s="35"/>
      <c r="I128" s="35"/>
      <c r="J128" s="35"/>
      <c r="K128" s="35"/>
      <c r="L128" s="35"/>
      <c r="M128" s="35"/>
      <c r="N128" s="35"/>
      <c r="O128" s="35"/>
      <c r="P128" s="35"/>
      <c r="Q128" s="35"/>
      <c r="R128" s="35"/>
      <c r="S128" s="35"/>
      <c r="T128" s="35"/>
      <c r="U128" s="35"/>
      <c r="V128" s="35"/>
      <c r="W128" s="35"/>
      <c r="X128" s="35"/>
      <c r="Y128" s="35"/>
      <c r="Z128" s="35"/>
      <c r="AA128" s="35"/>
    </row>
    <row r="129">
      <c r="A129" s="35"/>
      <c r="B129" s="35"/>
      <c r="C129" s="35"/>
      <c r="D129" s="35"/>
      <c r="E129" s="107"/>
      <c r="F129" s="35"/>
      <c r="G129" s="35"/>
      <c r="H129" s="35"/>
      <c r="I129" s="35"/>
      <c r="J129" s="35"/>
      <c r="K129" s="35"/>
      <c r="L129" s="35"/>
      <c r="M129" s="35"/>
      <c r="N129" s="35"/>
      <c r="O129" s="35"/>
      <c r="P129" s="35"/>
      <c r="Q129" s="35"/>
      <c r="R129" s="35"/>
      <c r="S129" s="35"/>
      <c r="T129" s="35"/>
      <c r="U129" s="35"/>
      <c r="V129" s="35"/>
      <c r="W129" s="35"/>
      <c r="X129" s="35"/>
      <c r="Y129" s="35"/>
      <c r="Z129" s="35"/>
      <c r="AA129" s="35"/>
    </row>
    <row r="130">
      <c r="A130" s="35"/>
      <c r="B130" s="35"/>
      <c r="C130" s="35"/>
      <c r="D130" s="35"/>
      <c r="E130" s="107"/>
      <c r="F130" s="35"/>
      <c r="G130" s="35"/>
      <c r="H130" s="35"/>
      <c r="I130" s="35"/>
      <c r="J130" s="35"/>
      <c r="K130" s="35"/>
      <c r="L130" s="35"/>
      <c r="M130" s="35"/>
      <c r="N130" s="35"/>
      <c r="O130" s="35"/>
      <c r="P130" s="35"/>
      <c r="Q130" s="35"/>
      <c r="R130" s="35"/>
      <c r="S130" s="35"/>
      <c r="T130" s="35"/>
      <c r="U130" s="35"/>
      <c r="V130" s="35"/>
      <c r="W130" s="35"/>
      <c r="X130" s="35"/>
      <c r="Y130" s="35"/>
      <c r="Z130" s="35"/>
      <c r="AA130" s="35"/>
    </row>
    <row r="131">
      <c r="A131" s="35"/>
      <c r="B131" s="35"/>
      <c r="C131" s="35"/>
      <c r="D131" s="35"/>
      <c r="E131" s="107"/>
      <c r="F131" s="35"/>
      <c r="G131" s="35"/>
      <c r="H131" s="35"/>
      <c r="I131" s="35"/>
      <c r="J131" s="35"/>
      <c r="K131" s="35"/>
      <c r="L131" s="35"/>
      <c r="M131" s="35"/>
      <c r="N131" s="35"/>
      <c r="O131" s="35"/>
      <c r="P131" s="35"/>
      <c r="Q131" s="35"/>
      <c r="R131" s="35"/>
      <c r="S131" s="35"/>
      <c r="T131" s="35"/>
      <c r="U131" s="35"/>
      <c r="V131" s="35"/>
      <c r="W131" s="35"/>
      <c r="X131" s="35"/>
      <c r="Y131" s="35"/>
      <c r="Z131" s="35"/>
      <c r="AA131" s="35"/>
    </row>
    <row r="132">
      <c r="A132" s="35"/>
      <c r="B132" s="35"/>
      <c r="C132" s="35"/>
      <c r="D132" s="35"/>
      <c r="E132" s="107"/>
      <c r="F132" s="35"/>
      <c r="G132" s="35"/>
      <c r="H132" s="35"/>
      <c r="I132" s="35"/>
      <c r="J132" s="35"/>
      <c r="K132" s="35"/>
      <c r="L132" s="35"/>
      <c r="M132" s="35"/>
      <c r="N132" s="35"/>
      <c r="O132" s="35"/>
      <c r="P132" s="35"/>
      <c r="Q132" s="35"/>
      <c r="R132" s="35"/>
      <c r="S132" s="35"/>
      <c r="T132" s="35"/>
      <c r="U132" s="35"/>
      <c r="V132" s="35"/>
      <c r="W132" s="35"/>
      <c r="X132" s="35"/>
      <c r="Y132" s="35"/>
      <c r="Z132" s="35"/>
      <c r="AA132" s="35"/>
    </row>
    <row r="133">
      <c r="A133" s="35"/>
      <c r="B133" s="35"/>
      <c r="C133" s="35"/>
      <c r="D133" s="35"/>
      <c r="E133" s="107"/>
      <c r="F133" s="35"/>
      <c r="G133" s="35"/>
      <c r="H133" s="35"/>
      <c r="I133" s="35"/>
      <c r="J133" s="35"/>
      <c r="K133" s="35"/>
      <c r="L133" s="35"/>
      <c r="M133" s="35"/>
      <c r="N133" s="35"/>
      <c r="O133" s="35"/>
      <c r="P133" s="35"/>
      <c r="Q133" s="35"/>
      <c r="R133" s="35"/>
      <c r="S133" s="35"/>
      <c r="T133" s="35"/>
      <c r="U133" s="35"/>
      <c r="V133" s="35"/>
      <c r="W133" s="35"/>
      <c r="X133" s="35"/>
      <c r="Y133" s="35"/>
      <c r="Z133" s="35"/>
      <c r="AA133" s="35"/>
    </row>
    <row r="134">
      <c r="A134" s="35"/>
      <c r="B134" s="35"/>
      <c r="C134" s="35"/>
      <c r="D134" s="35"/>
      <c r="E134" s="107"/>
      <c r="F134" s="35"/>
      <c r="G134" s="35"/>
      <c r="H134" s="35"/>
      <c r="I134" s="35"/>
      <c r="J134" s="35"/>
      <c r="K134" s="35"/>
      <c r="L134" s="35"/>
      <c r="M134" s="35"/>
      <c r="N134" s="35"/>
      <c r="O134" s="35"/>
      <c r="P134" s="35"/>
      <c r="Q134" s="35"/>
      <c r="R134" s="35"/>
      <c r="S134" s="35"/>
      <c r="T134" s="35"/>
      <c r="U134" s="35"/>
      <c r="V134" s="35"/>
      <c r="W134" s="35"/>
      <c r="X134" s="35"/>
      <c r="Y134" s="35"/>
      <c r="Z134" s="35"/>
      <c r="AA134" s="35"/>
    </row>
    <row r="135">
      <c r="A135" s="35"/>
      <c r="B135" s="35"/>
      <c r="C135" s="35"/>
      <c r="D135" s="35"/>
      <c r="E135" s="107"/>
      <c r="F135" s="35"/>
      <c r="G135" s="35"/>
      <c r="H135" s="35"/>
      <c r="I135" s="35"/>
      <c r="J135" s="35"/>
      <c r="K135" s="35"/>
      <c r="L135" s="35"/>
      <c r="M135" s="35"/>
      <c r="N135" s="35"/>
      <c r="O135" s="35"/>
      <c r="P135" s="35"/>
      <c r="Q135" s="35"/>
      <c r="R135" s="35"/>
      <c r="S135" s="35"/>
      <c r="T135" s="35"/>
      <c r="U135" s="35"/>
      <c r="V135" s="35"/>
      <c r="W135" s="35"/>
      <c r="X135" s="35"/>
      <c r="Y135" s="35"/>
      <c r="Z135" s="35"/>
      <c r="AA135" s="35"/>
    </row>
    <row r="136">
      <c r="A136" s="35"/>
      <c r="B136" s="35"/>
      <c r="C136" s="35"/>
      <c r="D136" s="35"/>
      <c r="E136" s="107"/>
      <c r="F136" s="35"/>
      <c r="G136" s="35"/>
      <c r="H136" s="35"/>
      <c r="I136" s="35"/>
      <c r="J136" s="35"/>
      <c r="K136" s="35"/>
      <c r="L136" s="35"/>
      <c r="M136" s="35"/>
      <c r="N136" s="35"/>
      <c r="O136" s="35"/>
      <c r="P136" s="35"/>
      <c r="Q136" s="35"/>
      <c r="R136" s="35"/>
      <c r="S136" s="35"/>
      <c r="T136" s="35"/>
      <c r="U136" s="35"/>
      <c r="V136" s="35"/>
      <c r="W136" s="35"/>
      <c r="X136" s="35"/>
      <c r="Y136" s="35"/>
      <c r="Z136" s="35"/>
      <c r="AA136" s="35"/>
    </row>
    <row r="137">
      <c r="A137" s="35"/>
      <c r="B137" s="35"/>
      <c r="C137" s="35"/>
      <c r="D137" s="35"/>
      <c r="E137" s="107"/>
      <c r="F137" s="35"/>
      <c r="G137" s="35"/>
      <c r="H137" s="35"/>
      <c r="I137" s="35"/>
      <c r="J137" s="35"/>
      <c r="K137" s="35"/>
      <c r="L137" s="35"/>
      <c r="M137" s="35"/>
      <c r="N137" s="35"/>
      <c r="O137" s="35"/>
      <c r="P137" s="35"/>
      <c r="Q137" s="35"/>
      <c r="R137" s="35"/>
      <c r="S137" s="35"/>
      <c r="T137" s="35"/>
      <c r="U137" s="35"/>
      <c r="V137" s="35"/>
      <c r="W137" s="35"/>
      <c r="X137" s="35"/>
      <c r="Y137" s="35"/>
      <c r="Z137" s="35"/>
      <c r="AA137" s="35"/>
    </row>
    <row r="138">
      <c r="A138" s="35"/>
      <c r="B138" s="35"/>
      <c r="C138" s="35"/>
      <c r="D138" s="35"/>
      <c r="E138" s="107"/>
      <c r="F138" s="35"/>
      <c r="G138" s="35"/>
      <c r="H138" s="35"/>
      <c r="I138" s="35"/>
      <c r="J138" s="35"/>
      <c r="K138" s="35"/>
      <c r="L138" s="35"/>
      <c r="M138" s="35"/>
      <c r="N138" s="35"/>
      <c r="O138" s="35"/>
      <c r="P138" s="35"/>
      <c r="Q138" s="35"/>
      <c r="R138" s="35"/>
      <c r="S138" s="35"/>
      <c r="T138" s="35"/>
      <c r="U138" s="35"/>
      <c r="V138" s="35"/>
      <c r="W138" s="35"/>
      <c r="X138" s="35"/>
      <c r="Y138" s="35"/>
      <c r="Z138" s="35"/>
      <c r="AA138" s="35"/>
    </row>
    <row r="139">
      <c r="A139" s="35"/>
      <c r="B139" s="35"/>
      <c r="C139" s="35"/>
      <c r="D139" s="35"/>
      <c r="E139" s="107"/>
      <c r="F139" s="35"/>
      <c r="G139" s="35"/>
      <c r="H139" s="35"/>
      <c r="I139" s="35"/>
      <c r="J139" s="35"/>
      <c r="K139" s="35"/>
      <c r="L139" s="35"/>
      <c r="M139" s="35"/>
      <c r="N139" s="35"/>
      <c r="O139" s="35"/>
      <c r="P139" s="35"/>
      <c r="Q139" s="35"/>
      <c r="R139" s="35"/>
      <c r="S139" s="35"/>
      <c r="T139" s="35"/>
      <c r="U139" s="35"/>
      <c r="V139" s="35"/>
      <c r="W139" s="35"/>
      <c r="X139" s="35"/>
      <c r="Y139" s="35"/>
      <c r="Z139" s="35"/>
      <c r="AA139" s="35"/>
    </row>
    <row r="140">
      <c r="A140" s="35"/>
      <c r="B140" s="35"/>
      <c r="C140" s="35"/>
      <c r="D140" s="35"/>
      <c r="E140" s="107"/>
      <c r="F140" s="35"/>
      <c r="G140" s="35"/>
      <c r="H140" s="35"/>
      <c r="I140" s="35"/>
      <c r="J140" s="35"/>
      <c r="K140" s="35"/>
      <c r="L140" s="35"/>
      <c r="M140" s="35"/>
      <c r="N140" s="35"/>
      <c r="O140" s="35"/>
      <c r="P140" s="35"/>
      <c r="Q140" s="35"/>
      <c r="R140" s="35"/>
      <c r="S140" s="35"/>
      <c r="T140" s="35"/>
      <c r="U140" s="35"/>
      <c r="V140" s="35"/>
      <c r="W140" s="35"/>
      <c r="X140" s="35"/>
      <c r="Y140" s="35"/>
      <c r="Z140" s="35"/>
      <c r="AA140" s="35"/>
    </row>
    <row r="141">
      <c r="A141" s="35"/>
      <c r="B141" s="35"/>
      <c r="C141" s="35"/>
      <c r="D141" s="35"/>
      <c r="E141" s="107"/>
      <c r="F141" s="35"/>
      <c r="G141" s="35"/>
      <c r="H141" s="35"/>
      <c r="I141" s="35"/>
      <c r="J141" s="35"/>
      <c r="K141" s="35"/>
      <c r="L141" s="35"/>
      <c r="M141" s="35"/>
      <c r="N141" s="35"/>
      <c r="O141" s="35"/>
      <c r="P141" s="35"/>
      <c r="Q141" s="35"/>
      <c r="R141" s="35"/>
      <c r="S141" s="35"/>
      <c r="T141" s="35"/>
      <c r="U141" s="35"/>
      <c r="V141" s="35"/>
      <c r="W141" s="35"/>
      <c r="X141" s="35"/>
      <c r="Y141" s="35"/>
      <c r="Z141" s="35"/>
      <c r="AA141" s="35"/>
    </row>
    <row r="142">
      <c r="A142" s="35"/>
      <c r="B142" s="35"/>
      <c r="C142" s="35"/>
      <c r="D142" s="35"/>
      <c r="E142" s="107"/>
      <c r="F142" s="35"/>
      <c r="G142" s="35"/>
      <c r="H142" s="35"/>
      <c r="I142" s="35"/>
      <c r="J142" s="35"/>
      <c r="K142" s="35"/>
      <c r="L142" s="35"/>
      <c r="M142" s="35"/>
      <c r="N142" s="35"/>
      <c r="O142" s="35"/>
      <c r="P142" s="35"/>
      <c r="Q142" s="35"/>
      <c r="R142" s="35"/>
      <c r="S142" s="35"/>
      <c r="T142" s="35"/>
      <c r="U142" s="35"/>
      <c r="V142" s="35"/>
      <c r="W142" s="35"/>
      <c r="X142" s="35"/>
      <c r="Y142" s="35"/>
      <c r="Z142" s="35"/>
      <c r="AA142" s="35"/>
    </row>
    <row r="143">
      <c r="A143" s="35"/>
      <c r="B143" s="35"/>
      <c r="C143" s="35"/>
      <c r="D143" s="35"/>
      <c r="E143" s="107"/>
      <c r="F143" s="35"/>
      <c r="G143" s="35"/>
      <c r="H143" s="35"/>
      <c r="I143" s="35"/>
      <c r="J143" s="35"/>
      <c r="K143" s="35"/>
      <c r="L143" s="35"/>
      <c r="M143" s="35"/>
      <c r="N143" s="35"/>
      <c r="O143" s="35"/>
      <c r="P143" s="35"/>
      <c r="Q143" s="35"/>
      <c r="R143" s="35"/>
      <c r="S143" s="35"/>
      <c r="T143" s="35"/>
      <c r="U143" s="35"/>
      <c r="V143" s="35"/>
      <c r="W143" s="35"/>
      <c r="X143" s="35"/>
      <c r="Y143" s="35"/>
      <c r="Z143" s="35"/>
      <c r="AA143" s="35"/>
    </row>
    <row r="144">
      <c r="A144" s="35"/>
      <c r="B144" s="35"/>
      <c r="C144" s="35"/>
      <c r="D144" s="35"/>
      <c r="E144" s="107"/>
      <c r="F144" s="35"/>
      <c r="G144" s="35"/>
      <c r="H144" s="35"/>
      <c r="I144" s="35"/>
      <c r="J144" s="35"/>
      <c r="K144" s="35"/>
      <c r="L144" s="35"/>
      <c r="M144" s="35"/>
      <c r="N144" s="35"/>
      <c r="O144" s="35"/>
      <c r="P144" s="35"/>
      <c r="Q144" s="35"/>
      <c r="R144" s="35"/>
      <c r="S144" s="35"/>
      <c r="T144" s="35"/>
      <c r="U144" s="35"/>
      <c r="V144" s="35"/>
      <c r="W144" s="35"/>
      <c r="X144" s="35"/>
      <c r="Y144" s="35"/>
      <c r="Z144" s="35"/>
      <c r="AA144" s="35"/>
    </row>
    <row r="145">
      <c r="A145" s="35"/>
      <c r="B145" s="35"/>
      <c r="C145" s="35"/>
      <c r="D145" s="35"/>
      <c r="E145" s="107"/>
      <c r="F145" s="35"/>
      <c r="G145" s="35"/>
      <c r="H145" s="35"/>
      <c r="I145" s="35"/>
      <c r="J145" s="35"/>
      <c r="K145" s="35"/>
      <c r="L145" s="35"/>
      <c r="M145" s="35"/>
      <c r="N145" s="35"/>
      <c r="O145" s="35"/>
      <c r="P145" s="35"/>
      <c r="Q145" s="35"/>
      <c r="R145" s="35"/>
      <c r="S145" s="35"/>
      <c r="T145" s="35"/>
      <c r="U145" s="35"/>
      <c r="V145" s="35"/>
      <c r="W145" s="35"/>
      <c r="X145" s="35"/>
      <c r="Y145" s="35"/>
      <c r="Z145" s="35"/>
      <c r="AA145" s="35"/>
    </row>
    <row r="146">
      <c r="A146" s="35"/>
      <c r="B146" s="35"/>
      <c r="C146" s="35"/>
      <c r="D146" s="35"/>
      <c r="E146" s="107"/>
      <c r="F146" s="35"/>
      <c r="G146" s="35"/>
      <c r="H146" s="35"/>
      <c r="I146" s="35"/>
      <c r="J146" s="35"/>
      <c r="K146" s="35"/>
      <c r="L146" s="35"/>
      <c r="M146" s="35"/>
      <c r="N146" s="35"/>
      <c r="O146" s="35"/>
      <c r="P146" s="35"/>
      <c r="Q146" s="35"/>
      <c r="R146" s="35"/>
      <c r="S146" s="35"/>
      <c r="T146" s="35"/>
      <c r="U146" s="35"/>
      <c r="V146" s="35"/>
      <c r="W146" s="35"/>
      <c r="X146" s="35"/>
      <c r="Y146" s="35"/>
      <c r="Z146" s="35"/>
      <c r="AA146" s="35"/>
    </row>
    <row r="147">
      <c r="A147" s="35"/>
      <c r="B147" s="35"/>
      <c r="C147" s="35"/>
      <c r="D147" s="35"/>
      <c r="E147" s="107"/>
      <c r="F147" s="35"/>
      <c r="G147" s="35"/>
      <c r="H147" s="35"/>
      <c r="I147" s="35"/>
      <c r="J147" s="35"/>
      <c r="K147" s="35"/>
      <c r="L147" s="35"/>
      <c r="M147" s="35"/>
      <c r="N147" s="35"/>
      <c r="O147" s="35"/>
      <c r="P147" s="35"/>
      <c r="Q147" s="35"/>
      <c r="R147" s="35"/>
      <c r="S147" s="35"/>
      <c r="T147" s="35"/>
      <c r="U147" s="35"/>
      <c r="V147" s="35"/>
      <c r="W147" s="35"/>
      <c r="X147" s="35"/>
      <c r="Y147" s="35"/>
      <c r="Z147" s="35"/>
      <c r="AA147" s="35"/>
    </row>
    <row r="148">
      <c r="A148" s="35"/>
      <c r="B148" s="35"/>
      <c r="C148" s="35"/>
      <c r="D148" s="35"/>
      <c r="E148" s="107"/>
      <c r="F148" s="35"/>
      <c r="G148" s="35"/>
      <c r="H148" s="35"/>
      <c r="I148" s="35"/>
      <c r="J148" s="35"/>
      <c r="K148" s="35"/>
      <c r="L148" s="35"/>
      <c r="M148" s="35"/>
      <c r="N148" s="35"/>
      <c r="O148" s="35"/>
      <c r="P148" s="35"/>
      <c r="Q148" s="35"/>
      <c r="R148" s="35"/>
      <c r="S148" s="35"/>
      <c r="T148" s="35"/>
      <c r="U148" s="35"/>
      <c r="V148" s="35"/>
      <c r="W148" s="35"/>
      <c r="X148" s="35"/>
      <c r="Y148" s="35"/>
      <c r="Z148" s="35"/>
      <c r="AA148" s="35"/>
    </row>
    <row r="149">
      <c r="A149" s="35"/>
      <c r="B149" s="35"/>
      <c r="C149" s="35"/>
      <c r="D149" s="35"/>
      <c r="E149" s="107"/>
      <c r="F149" s="35"/>
      <c r="G149" s="35"/>
      <c r="H149" s="35"/>
      <c r="I149" s="35"/>
      <c r="J149" s="35"/>
      <c r="K149" s="35"/>
      <c r="L149" s="35"/>
      <c r="M149" s="35"/>
      <c r="N149" s="35"/>
      <c r="O149" s="35"/>
      <c r="P149" s="35"/>
      <c r="Q149" s="35"/>
      <c r="R149" s="35"/>
      <c r="S149" s="35"/>
      <c r="T149" s="35"/>
      <c r="U149" s="35"/>
      <c r="V149" s="35"/>
      <c r="W149" s="35"/>
      <c r="X149" s="35"/>
      <c r="Y149" s="35"/>
      <c r="Z149" s="35"/>
      <c r="AA149" s="35"/>
    </row>
    <row r="150">
      <c r="A150" s="35"/>
      <c r="B150" s="35"/>
      <c r="C150" s="35"/>
      <c r="D150" s="35"/>
      <c r="E150" s="107"/>
      <c r="F150" s="35"/>
      <c r="G150" s="35"/>
      <c r="H150" s="35"/>
      <c r="I150" s="35"/>
      <c r="J150" s="35"/>
      <c r="K150" s="35"/>
      <c r="L150" s="35"/>
      <c r="M150" s="35"/>
      <c r="N150" s="35"/>
      <c r="O150" s="35"/>
      <c r="P150" s="35"/>
      <c r="Q150" s="35"/>
      <c r="R150" s="35"/>
      <c r="S150" s="35"/>
      <c r="T150" s="35"/>
      <c r="U150" s="35"/>
      <c r="V150" s="35"/>
      <c r="W150" s="35"/>
      <c r="X150" s="35"/>
      <c r="Y150" s="35"/>
      <c r="Z150" s="35"/>
      <c r="AA150" s="35"/>
    </row>
    <row r="151">
      <c r="A151" s="35"/>
      <c r="B151" s="35"/>
      <c r="C151" s="35"/>
      <c r="D151" s="35"/>
      <c r="E151" s="107"/>
      <c r="F151" s="35"/>
      <c r="G151" s="35"/>
      <c r="H151" s="35"/>
      <c r="I151" s="35"/>
      <c r="J151" s="35"/>
      <c r="K151" s="35"/>
      <c r="L151" s="35"/>
      <c r="M151" s="35"/>
      <c r="N151" s="35"/>
      <c r="O151" s="35"/>
      <c r="P151" s="35"/>
      <c r="Q151" s="35"/>
      <c r="R151" s="35"/>
      <c r="S151" s="35"/>
      <c r="T151" s="35"/>
      <c r="U151" s="35"/>
      <c r="V151" s="35"/>
      <c r="W151" s="35"/>
      <c r="X151" s="35"/>
      <c r="Y151" s="35"/>
      <c r="Z151" s="35"/>
      <c r="AA151" s="35"/>
    </row>
    <row r="152">
      <c r="A152" s="35"/>
      <c r="B152" s="35"/>
      <c r="C152" s="35"/>
      <c r="D152" s="35"/>
      <c r="E152" s="107"/>
      <c r="F152" s="35"/>
      <c r="G152" s="35"/>
      <c r="H152" s="35"/>
      <c r="I152" s="35"/>
      <c r="J152" s="35"/>
      <c r="K152" s="35"/>
      <c r="L152" s="35"/>
      <c r="M152" s="35"/>
      <c r="N152" s="35"/>
      <c r="O152" s="35"/>
      <c r="P152" s="35"/>
      <c r="Q152" s="35"/>
      <c r="R152" s="35"/>
      <c r="S152" s="35"/>
      <c r="T152" s="35"/>
      <c r="U152" s="35"/>
      <c r="V152" s="35"/>
      <c r="W152" s="35"/>
      <c r="X152" s="35"/>
      <c r="Y152" s="35"/>
      <c r="Z152" s="35"/>
      <c r="AA152" s="35"/>
    </row>
    <row r="153">
      <c r="A153" s="35"/>
      <c r="B153" s="35"/>
      <c r="C153" s="35"/>
      <c r="D153" s="35"/>
      <c r="E153" s="107"/>
      <c r="F153" s="35"/>
      <c r="G153" s="35"/>
      <c r="H153" s="35"/>
      <c r="I153" s="35"/>
      <c r="J153" s="35"/>
      <c r="K153" s="35"/>
      <c r="L153" s="35"/>
      <c r="M153" s="35"/>
      <c r="N153" s="35"/>
      <c r="O153" s="35"/>
      <c r="P153" s="35"/>
      <c r="Q153" s="35"/>
      <c r="R153" s="35"/>
      <c r="S153" s="35"/>
      <c r="T153" s="35"/>
      <c r="U153" s="35"/>
      <c r="V153" s="35"/>
      <c r="W153" s="35"/>
      <c r="X153" s="35"/>
      <c r="Y153" s="35"/>
      <c r="Z153" s="35"/>
      <c r="AA153" s="35"/>
    </row>
    <row r="154">
      <c r="A154" s="35"/>
      <c r="B154" s="35"/>
      <c r="C154" s="35"/>
      <c r="D154" s="35"/>
      <c r="E154" s="107"/>
      <c r="F154" s="35"/>
      <c r="G154" s="35"/>
      <c r="H154" s="35"/>
      <c r="I154" s="35"/>
      <c r="J154" s="35"/>
      <c r="K154" s="35"/>
      <c r="L154" s="35"/>
      <c r="M154" s="35"/>
      <c r="N154" s="35"/>
      <c r="O154" s="35"/>
      <c r="P154" s="35"/>
      <c r="Q154" s="35"/>
      <c r="R154" s="35"/>
      <c r="S154" s="35"/>
      <c r="T154" s="35"/>
      <c r="U154" s="35"/>
      <c r="V154" s="35"/>
      <c r="W154" s="35"/>
      <c r="X154" s="35"/>
      <c r="Y154" s="35"/>
      <c r="Z154" s="35"/>
      <c r="AA154" s="35"/>
    </row>
    <row r="155">
      <c r="A155" s="35"/>
      <c r="B155" s="35"/>
      <c r="C155" s="35"/>
      <c r="D155" s="35"/>
      <c r="E155" s="107"/>
      <c r="F155" s="35"/>
      <c r="G155" s="35"/>
      <c r="H155" s="35"/>
      <c r="I155" s="35"/>
      <c r="J155" s="35"/>
      <c r="K155" s="35"/>
      <c r="L155" s="35"/>
      <c r="M155" s="35"/>
      <c r="N155" s="35"/>
      <c r="O155" s="35"/>
      <c r="P155" s="35"/>
      <c r="Q155" s="35"/>
      <c r="R155" s="35"/>
      <c r="S155" s="35"/>
      <c r="T155" s="35"/>
      <c r="U155" s="35"/>
      <c r="V155" s="35"/>
      <c r="W155" s="35"/>
      <c r="X155" s="35"/>
      <c r="Y155" s="35"/>
      <c r="Z155" s="35"/>
      <c r="AA155" s="35"/>
    </row>
    <row r="156">
      <c r="A156" s="35"/>
      <c r="B156" s="35"/>
      <c r="C156" s="35"/>
      <c r="D156" s="35"/>
      <c r="E156" s="107"/>
      <c r="F156" s="35"/>
      <c r="G156" s="35"/>
      <c r="H156" s="35"/>
      <c r="I156" s="35"/>
      <c r="J156" s="35"/>
      <c r="K156" s="35"/>
      <c r="L156" s="35"/>
      <c r="M156" s="35"/>
      <c r="N156" s="35"/>
      <c r="O156" s="35"/>
      <c r="P156" s="35"/>
      <c r="Q156" s="35"/>
      <c r="R156" s="35"/>
      <c r="S156" s="35"/>
      <c r="T156" s="35"/>
      <c r="U156" s="35"/>
      <c r="V156" s="35"/>
      <c r="W156" s="35"/>
      <c r="X156" s="35"/>
      <c r="Y156" s="35"/>
      <c r="Z156" s="35"/>
      <c r="AA156" s="35"/>
    </row>
    <row r="157">
      <c r="A157" s="35"/>
      <c r="B157" s="35"/>
      <c r="C157" s="35"/>
      <c r="D157" s="35"/>
      <c r="E157" s="107"/>
      <c r="F157" s="35"/>
      <c r="G157" s="35"/>
      <c r="H157" s="35"/>
      <c r="I157" s="35"/>
      <c r="J157" s="35"/>
      <c r="K157" s="35"/>
      <c r="L157" s="35"/>
      <c r="M157" s="35"/>
      <c r="N157" s="35"/>
      <c r="O157" s="35"/>
      <c r="P157" s="35"/>
      <c r="Q157" s="35"/>
      <c r="R157" s="35"/>
      <c r="S157" s="35"/>
      <c r="T157" s="35"/>
      <c r="U157" s="35"/>
      <c r="V157" s="35"/>
      <c r="W157" s="35"/>
      <c r="X157" s="35"/>
      <c r="Y157" s="35"/>
      <c r="Z157" s="35"/>
      <c r="AA157" s="35"/>
    </row>
    <row r="158">
      <c r="A158" s="35"/>
      <c r="B158" s="35"/>
      <c r="C158" s="35"/>
      <c r="D158" s="35"/>
      <c r="E158" s="107"/>
      <c r="F158" s="35"/>
      <c r="G158" s="35"/>
      <c r="H158" s="35"/>
      <c r="I158" s="35"/>
      <c r="J158" s="35"/>
      <c r="K158" s="35"/>
      <c r="L158" s="35"/>
      <c r="M158" s="35"/>
      <c r="N158" s="35"/>
      <c r="O158" s="35"/>
      <c r="P158" s="35"/>
      <c r="Q158" s="35"/>
      <c r="R158" s="35"/>
      <c r="S158" s="35"/>
      <c r="T158" s="35"/>
      <c r="U158" s="35"/>
      <c r="V158" s="35"/>
      <c r="W158" s="35"/>
      <c r="X158" s="35"/>
      <c r="Y158" s="35"/>
      <c r="Z158" s="35"/>
      <c r="AA158" s="35"/>
    </row>
    <row r="159">
      <c r="A159" s="35"/>
      <c r="B159" s="35"/>
      <c r="C159" s="35"/>
      <c r="D159" s="35"/>
      <c r="E159" s="107"/>
      <c r="F159" s="35"/>
      <c r="G159" s="35"/>
      <c r="H159" s="35"/>
      <c r="I159" s="35"/>
      <c r="J159" s="35"/>
      <c r="K159" s="35"/>
      <c r="L159" s="35"/>
      <c r="M159" s="35"/>
      <c r="N159" s="35"/>
      <c r="O159" s="35"/>
      <c r="P159" s="35"/>
      <c r="Q159" s="35"/>
      <c r="R159" s="35"/>
      <c r="S159" s="35"/>
      <c r="T159" s="35"/>
      <c r="U159" s="35"/>
      <c r="V159" s="35"/>
      <c r="W159" s="35"/>
      <c r="X159" s="35"/>
      <c r="Y159" s="35"/>
      <c r="Z159" s="35"/>
      <c r="AA159" s="35"/>
    </row>
    <row r="160">
      <c r="A160" s="35"/>
      <c r="B160" s="35"/>
      <c r="C160" s="35"/>
      <c r="D160" s="35"/>
      <c r="E160" s="107"/>
      <c r="F160" s="35"/>
      <c r="G160" s="35"/>
      <c r="H160" s="35"/>
      <c r="I160" s="35"/>
      <c r="J160" s="35"/>
      <c r="K160" s="35"/>
      <c r="L160" s="35"/>
      <c r="M160" s="35"/>
      <c r="N160" s="35"/>
      <c r="O160" s="35"/>
      <c r="P160" s="35"/>
      <c r="Q160" s="35"/>
      <c r="R160" s="35"/>
      <c r="S160" s="35"/>
      <c r="T160" s="35"/>
      <c r="U160" s="35"/>
      <c r="V160" s="35"/>
      <c r="W160" s="35"/>
      <c r="X160" s="35"/>
      <c r="Y160" s="35"/>
      <c r="Z160" s="35"/>
      <c r="AA160" s="35"/>
    </row>
    <row r="161">
      <c r="A161" s="35"/>
      <c r="B161" s="35"/>
      <c r="C161" s="35"/>
      <c r="D161" s="35"/>
      <c r="E161" s="107"/>
      <c r="F161" s="35"/>
      <c r="G161" s="35"/>
      <c r="H161" s="35"/>
      <c r="I161" s="35"/>
      <c r="J161" s="35"/>
      <c r="K161" s="35"/>
      <c r="L161" s="35"/>
      <c r="M161" s="35"/>
      <c r="N161" s="35"/>
      <c r="O161" s="35"/>
      <c r="P161" s="35"/>
      <c r="Q161" s="35"/>
      <c r="R161" s="35"/>
      <c r="S161" s="35"/>
      <c r="T161" s="35"/>
      <c r="U161" s="35"/>
      <c r="V161" s="35"/>
      <c r="W161" s="35"/>
      <c r="X161" s="35"/>
      <c r="Y161" s="35"/>
      <c r="Z161" s="35"/>
      <c r="AA161" s="35"/>
    </row>
    <row r="162">
      <c r="A162" s="35"/>
      <c r="B162" s="35"/>
      <c r="C162" s="35"/>
      <c r="D162" s="35"/>
      <c r="E162" s="107"/>
      <c r="F162" s="35"/>
      <c r="G162" s="35"/>
      <c r="H162" s="35"/>
      <c r="I162" s="35"/>
      <c r="J162" s="35"/>
      <c r="K162" s="35"/>
      <c r="L162" s="35"/>
      <c r="M162" s="35"/>
      <c r="N162" s="35"/>
      <c r="O162" s="35"/>
      <c r="P162" s="35"/>
      <c r="Q162" s="35"/>
      <c r="R162" s="35"/>
      <c r="S162" s="35"/>
      <c r="T162" s="35"/>
      <c r="U162" s="35"/>
      <c r="V162" s="35"/>
      <c r="W162" s="35"/>
      <c r="X162" s="35"/>
      <c r="Y162" s="35"/>
      <c r="Z162" s="35"/>
      <c r="AA162" s="35"/>
    </row>
    <row r="163">
      <c r="A163" s="35"/>
      <c r="B163" s="35"/>
      <c r="C163" s="35"/>
      <c r="D163" s="35"/>
      <c r="E163" s="107"/>
      <c r="F163" s="35"/>
      <c r="G163" s="35"/>
      <c r="H163" s="35"/>
      <c r="I163" s="35"/>
      <c r="J163" s="35"/>
      <c r="K163" s="35"/>
      <c r="L163" s="35"/>
      <c r="M163" s="35"/>
      <c r="N163" s="35"/>
      <c r="O163" s="35"/>
      <c r="P163" s="35"/>
      <c r="Q163" s="35"/>
      <c r="R163" s="35"/>
      <c r="S163" s="35"/>
      <c r="T163" s="35"/>
      <c r="U163" s="35"/>
      <c r="V163" s="35"/>
      <c r="W163" s="35"/>
      <c r="X163" s="35"/>
      <c r="Y163" s="35"/>
      <c r="Z163" s="35"/>
      <c r="AA163" s="35"/>
    </row>
    <row r="164">
      <c r="A164" s="35"/>
      <c r="B164" s="35"/>
      <c r="C164" s="35"/>
      <c r="D164" s="35"/>
      <c r="E164" s="107"/>
      <c r="F164" s="35"/>
      <c r="G164" s="35"/>
      <c r="H164" s="35"/>
      <c r="I164" s="35"/>
      <c r="J164" s="35"/>
      <c r="K164" s="35"/>
      <c r="L164" s="35"/>
      <c r="M164" s="35"/>
      <c r="N164" s="35"/>
      <c r="O164" s="35"/>
      <c r="P164" s="35"/>
      <c r="Q164" s="35"/>
      <c r="R164" s="35"/>
      <c r="S164" s="35"/>
      <c r="T164" s="35"/>
      <c r="U164" s="35"/>
      <c r="V164" s="35"/>
      <c r="W164" s="35"/>
      <c r="X164" s="35"/>
      <c r="Y164" s="35"/>
      <c r="Z164" s="35"/>
      <c r="AA164" s="35"/>
    </row>
    <row r="165">
      <c r="A165" s="35"/>
      <c r="B165" s="35"/>
      <c r="C165" s="35"/>
      <c r="D165" s="35"/>
      <c r="E165" s="107"/>
      <c r="F165" s="35"/>
      <c r="G165" s="35"/>
      <c r="H165" s="35"/>
      <c r="I165" s="35"/>
      <c r="J165" s="35"/>
      <c r="K165" s="35"/>
      <c r="L165" s="35"/>
      <c r="M165" s="35"/>
      <c r="N165" s="35"/>
      <c r="O165" s="35"/>
      <c r="P165" s="35"/>
      <c r="Q165" s="35"/>
      <c r="R165" s="35"/>
      <c r="S165" s="35"/>
      <c r="T165" s="35"/>
      <c r="U165" s="35"/>
      <c r="V165" s="35"/>
      <c r="W165" s="35"/>
      <c r="X165" s="35"/>
      <c r="Y165" s="35"/>
      <c r="Z165" s="35"/>
      <c r="AA165" s="35"/>
    </row>
    <row r="166">
      <c r="A166" s="35"/>
      <c r="B166" s="35"/>
      <c r="C166" s="35"/>
      <c r="D166" s="35"/>
      <c r="E166" s="107"/>
      <c r="F166" s="35"/>
      <c r="G166" s="35"/>
      <c r="H166" s="35"/>
      <c r="I166" s="35"/>
      <c r="J166" s="35"/>
      <c r="K166" s="35"/>
      <c r="L166" s="35"/>
      <c r="M166" s="35"/>
      <c r="N166" s="35"/>
      <c r="O166" s="35"/>
      <c r="P166" s="35"/>
      <c r="Q166" s="35"/>
      <c r="R166" s="35"/>
      <c r="S166" s="35"/>
      <c r="T166" s="35"/>
      <c r="U166" s="35"/>
      <c r="V166" s="35"/>
      <c r="W166" s="35"/>
      <c r="X166" s="35"/>
      <c r="Y166" s="35"/>
      <c r="Z166" s="35"/>
      <c r="AA166" s="35"/>
    </row>
    <row r="167">
      <c r="A167" s="35"/>
      <c r="B167" s="35"/>
      <c r="C167" s="35"/>
      <c r="D167" s="35"/>
      <c r="E167" s="107"/>
      <c r="F167" s="35"/>
      <c r="G167" s="35"/>
      <c r="H167" s="35"/>
      <c r="I167" s="35"/>
      <c r="J167" s="35"/>
      <c r="K167" s="35"/>
      <c r="L167" s="35"/>
      <c r="M167" s="35"/>
      <c r="N167" s="35"/>
      <c r="O167" s="35"/>
      <c r="P167" s="35"/>
      <c r="Q167" s="35"/>
      <c r="R167" s="35"/>
      <c r="S167" s="35"/>
      <c r="T167" s="35"/>
      <c r="U167" s="35"/>
      <c r="V167" s="35"/>
      <c r="W167" s="35"/>
      <c r="X167" s="35"/>
      <c r="Y167" s="35"/>
      <c r="Z167" s="35"/>
      <c r="AA167" s="35"/>
    </row>
    <row r="168">
      <c r="A168" s="35"/>
      <c r="B168" s="35"/>
      <c r="C168" s="35"/>
      <c r="D168" s="35"/>
      <c r="E168" s="107"/>
      <c r="F168" s="35"/>
      <c r="G168" s="35"/>
      <c r="H168" s="35"/>
      <c r="I168" s="35"/>
      <c r="J168" s="35"/>
      <c r="K168" s="35"/>
      <c r="L168" s="35"/>
      <c r="M168" s="35"/>
      <c r="N168" s="35"/>
      <c r="O168" s="35"/>
      <c r="P168" s="35"/>
      <c r="Q168" s="35"/>
      <c r="R168" s="35"/>
      <c r="S168" s="35"/>
      <c r="T168" s="35"/>
      <c r="U168" s="35"/>
      <c r="V168" s="35"/>
      <c r="W168" s="35"/>
      <c r="X168" s="35"/>
      <c r="Y168" s="35"/>
      <c r="Z168" s="35"/>
      <c r="AA168" s="35"/>
    </row>
    <row r="169">
      <c r="A169" s="35"/>
      <c r="B169" s="35"/>
      <c r="C169" s="35"/>
      <c r="D169" s="35"/>
      <c r="E169" s="107"/>
      <c r="F169" s="35"/>
      <c r="G169" s="35"/>
      <c r="H169" s="35"/>
      <c r="I169" s="35"/>
      <c r="J169" s="35"/>
      <c r="K169" s="35"/>
      <c r="L169" s="35"/>
      <c r="M169" s="35"/>
      <c r="N169" s="35"/>
      <c r="O169" s="35"/>
      <c r="P169" s="35"/>
      <c r="Q169" s="35"/>
      <c r="R169" s="35"/>
      <c r="S169" s="35"/>
      <c r="T169" s="35"/>
      <c r="U169" s="35"/>
      <c r="V169" s="35"/>
      <c r="W169" s="35"/>
      <c r="X169" s="35"/>
      <c r="Y169" s="35"/>
      <c r="Z169" s="35"/>
      <c r="AA169" s="35"/>
    </row>
    <row r="170">
      <c r="A170" s="35"/>
      <c r="B170" s="35"/>
      <c r="C170" s="35"/>
      <c r="D170" s="35"/>
      <c r="E170" s="107"/>
      <c r="F170" s="35"/>
      <c r="G170" s="35"/>
      <c r="H170" s="35"/>
      <c r="I170" s="35"/>
      <c r="J170" s="35"/>
      <c r="K170" s="35"/>
      <c r="L170" s="35"/>
      <c r="M170" s="35"/>
      <c r="N170" s="35"/>
      <c r="O170" s="35"/>
      <c r="P170" s="35"/>
      <c r="Q170" s="35"/>
      <c r="R170" s="35"/>
      <c r="S170" s="35"/>
      <c r="T170" s="35"/>
      <c r="U170" s="35"/>
      <c r="V170" s="35"/>
      <c r="W170" s="35"/>
      <c r="X170" s="35"/>
      <c r="Y170" s="35"/>
      <c r="Z170" s="35"/>
      <c r="AA170" s="35"/>
    </row>
    <row r="171">
      <c r="A171" s="35"/>
      <c r="B171" s="35"/>
      <c r="C171" s="35"/>
      <c r="D171" s="35"/>
      <c r="E171" s="107"/>
      <c r="F171" s="35"/>
      <c r="G171" s="35"/>
      <c r="H171" s="35"/>
      <c r="I171" s="35"/>
      <c r="J171" s="35"/>
      <c r="K171" s="35"/>
      <c r="L171" s="35"/>
      <c r="M171" s="35"/>
      <c r="N171" s="35"/>
      <c r="O171" s="35"/>
      <c r="P171" s="35"/>
      <c r="Q171" s="35"/>
      <c r="R171" s="35"/>
      <c r="S171" s="35"/>
      <c r="T171" s="35"/>
      <c r="U171" s="35"/>
      <c r="V171" s="35"/>
      <c r="W171" s="35"/>
      <c r="X171" s="35"/>
      <c r="Y171" s="35"/>
      <c r="Z171" s="35"/>
      <c r="AA171" s="35"/>
    </row>
    <row r="172">
      <c r="A172" s="35"/>
      <c r="B172" s="35"/>
      <c r="C172" s="35"/>
      <c r="D172" s="35"/>
      <c r="E172" s="107"/>
      <c r="F172" s="35"/>
      <c r="G172" s="35"/>
      <c r="H172" s="35"/>
      <c r="I172" s="35"/>
      <c r="J172" s="35"/>
      <c r="K172" s="35"/>
      <c r="L172" s="35"/>
      <c r="M172" s="35"/>
      <c r="N172" s="35"/>
      <c r="O172" s="35"/>
      <c r="P172" s="35"/>
      <c r="Q172" s="35"/>
      <c r="R172" s="35"/>
      <c r="S172" s="35"/>
      <c r="T172" s="35"/>
      <c r="U172" s="35"/>
      <c r="V172" s="35"/>
      <c r="W172" s="35"/>
      <c r="X172" s="35"/>
      <c r="Y172" s="35"/>
      <c r="Z172" s="35"/>
      <c r="AA172" s="35"/>
    </row>
    <row r="173">
      <c r="A173" s="35"/>
      <c r="B173" s="35"/>
      <c r="C173" s="35"/>
      <c r="D173" s="35"/>
      <c r="E173" s="107"/>
      <c r="F173" s="35"/>
      <c r="G173" s="35"/>
      <c r="H173" s="35"/>
      <c r="I173" s="35"/>
      <c r="J173" s="35"/>
      <c r="K173" s="35"/>
      <c r="L173" s="35"/>
      <c r="M173" s="35"/>
      <c r="N173" s="35"/>
      <c r="O173" s="35"/>
      <c r="P173" s="35"/>
      <c r="Q173" s="35"/>
      <c r="R173" s="35"/>
      <c r="S173" s="35"/>
      <c r="T173" s="35"/>
      <c r="U173" s="35"/>
      <c r="V173" s="35"/>
      <c r="W173" s="35"/>
      <c r="X173" s="35"/>
      <c r="Y173" s="35"/>
      <c r="Z173" s="35"/>
      <c r="AA173" s="35"/>
    </row>
    <row r="174">
      <c r="A174" s="35"/>
      <c r="B174" s="35"/>
      <c r="C174" s="35"/>
      <c r="D174" s="35"/>
      <c r="E174" s="107"/>
      <c r="F174" s="35"/>
      <c r="G174" s="35"/>
      <c r="H174" s="35"/>
      <c r="I174" s="35"/>
      <c r="J174" s="35"/>
      <c r="K174" s="35"/>
      <c r="L174" s="35"/>
      <c r="M174" s="35"/>
      <c r="N174" s="35"/>
      <c r="O174" s="35"/>
      <c r="P174" s="35"/>
      <c r="Q174" s="35"/>
      <c r="R174" s="35"/>
      <c r="S174" s="35"/>
      <c r="T174" s="35"/>
      <c r="U174" s="35"/>
      <c r="V174" s="35"/>
      <c r="W174" s="35"/>
      <c r="X174" s="35"/>
      <c r="Y174" s="35"/>
      <c r="Z174" s="35"/>
      <c r="AA174" s="35"/>
    </row>
    <row r="175">
      <c r="A175" s="35"/>
      <c r="B175" s="35"/>
      <c r="C175" s="35"/>
      <c r="D175" s="35"/>
      <c r="E175" s="107"/>
      <c r="F175" s="35"/>
      <c r="G175" s="35"/>
      <c r="H175" s="35"/>
      <c r="I175" s="35"/>
      <c r="J175" s="35"/>
      <c r="K175" s="35"/>
      <c r="L175" s="35"/>
      <c r="M175" s="35"/>
      <c r="N175" s="35"/>
      <c r="O175" s="35"/>
      <c r="P175" s="35"/>
      <c r="Q175" s="35"/>
      <c r="R175" s="35"/>
      <c r="S175" s="35"/>
      <c r="T175" s="35"/>
      <c r="U175" s="35"/>
      <c r="V175" s="35"/>
      <c r="W175" s="35"/>
      <c r="X175" s="35"/>
      <c r="Y175" s="35"/>
      <c r="Z175" s="35"/>
      <c r="AA175" s="35"/>
    </row>
    <row r="176">
      <c r="A176" s="35"/>
      <c r="B176" s="35"/>
      <c r="C176" s="35"/>
      <c r="D176" s="35"/>
      <c r="E176" s="107"/>
      <c r="F176" s="35"/>
      <c r="G176" s="35"/>
      <c r="H176" s="35"/>
      <c r="I176" s="35"/>
      <c r="J176" s="35"/>
      <c r="K176" s="35"/>
      <c r="L176" s="35"/>
      <c r="M176" s="35"/>
      <c r="N176" s="35"/>
      <c r="O176" s="35"/>
      <c r="P176" s="35"/>
      <c r="Q176" s="35"/>
      <c r="R176" s="35"/>
      <c r="S176" s="35"/>
      <c r="T176" s="35"/>
      <c r="U176" s="35"/>
      <c r="V176" s="35"/>
      <c r="W176" s="35"/>
      <c r="X176" s="35"/>
      <c r="Y176" s="35"/>
      <c r="Z176" s="35"/>
      <c r="AA176" s="35"/>
    </row>
    <row r="177">
      <c r="A177" s="35"/>
      <c r="B177" s="35"/>
      <c r="C177" s="35"/>
      <c r="D177" s="35"/>
      <c r="E177" s="107"/>
      <c r="F177" s="35"/>
      <c r="G177" s="35"/>
      <c r="H177" s="35"/>
      <c r="I177" s="35"/>
      <c r="J177" s="35"/>
      <c r="K177" s="35"/>
      <c r="L177" s="35"/>
      <c r="M177" s="35"/>
      <c r="N177" s="35"/>
      <c r="O177" s="35"/>
      <c r="P177" s="35"/>
      <c r="Q177" s="35"/>
      <c r="R177" s="35"/>
      <c r="S177" s="35"/>
      <c r="T177" s="35"/>
      <c r="U177" s="35"/>
      <c r="V177" s="35"/>
      <c r="W177" s="35"/>
      <c r="X177" s="35"/>
      <c r="Y177" s="35"/>
      <c r="Z177" s="35"/>
      <c r="AA177" s="35"/>
    </row>
    <row r="178">
      <c r="A178" s="35"/>
      <c r="B178" s="35"/>
      <c r="C178" s="35"/>
      <c r="D178" s="35"/>
      <c r="E178" s="107"/>
      <c r="F178" s="35"/>
      <c r="G178" s="35"/>
      <c r="H178" s="35"/>
      <c r="I178" s="35"/>
      <c r="J178" s="35"/>
      <c r="K178" s="35"/>
      <c r="L178" s="35"/>
      <c r="M178" s="35"/>
      <c r="N178" s="35"/>
      <c r="O178" s="35"/>
      <c r="P178" s="35"/>
      <c r="Q178" s="35"/>
      <c r="R178" s="35"/>
      <c r="S178" s="35"/>
      <c r="T178" s="35"/>
      <c r="U178" s="35"/>
      <c r="V178" s="35"/>
      <c r="W178" s="35"/>
      <c r="X178" s="35"/>
      <c r="Y178" s="35"/>
      <c r="Z178" s="35"/>
      <c r="AA178" s="35"/>
    </row>
    <row r="179">
      <c r="A179" s="35"/>
      <c r="B179" s="35"/>
      <c r="C179" s="35"/>
      <c r="D179" s="35"/>
      <c r="E179" s="107"/>
      <c r="F179" s="35"/>
      <c r="G179" s="35"/>
      <c r="H179" s="35"/>
      <c r="I179" s="35"/>
      <c r="J179" s="35"/>
      <c r="K179" s="35"/>
      <c r="L179" s="35"/>
      <c r="M179" s="35"/>
      <c r="N179" s="35"/>
      <c r="O179" s="35"/>
      <c r="P179" s="35"/>
      <c r="Q179" s="35"/>
      <c r="R179" s="35"/>
      <c r="S179" s="35"/>
      <c r="T179" s="35"/>
      <c r="U179" s="35"/>
      <c r="V179" s="35"/>
      <c r="W179" s="35"/>
      <c r="X179" s="35"/>
      <c r="Y179" s="35"/>
      <c r="Z179" s="35"/>
      <c r="AA179" s="35"/>
    </row>
    <row r="180">
      <c r="A180" s="35"/>
      <c r="B180" s="35"/>
      <c r="C180" s="35"/>
      <c r="D180" s="35"/>
      <c r="E180" s="107"/>
      <c r="F180" s="35"/>
      <c r="G180" s="35"/>
      <c r="H180" s="35"/>
      <c r="I180" s="35"/>
      <c r="J180" s="35"/>
      <c r="K180" s="35"/>
      <c r="L180" s="35"/>
      <c r="M180" s="35"/>
      <c r="N180" s="35"/>
      <c r="O180" s="35"/>
      <c r="P180" s="35"/>
      <c r="Q180" s="35"/>
      <c r="R180" s="35"/>
      <c r="S180" s="35"/>
      <c r="T180" s="35"/>
      <c r="U180" s="35"/>
      <c r="V180" s="35"/>
      <c r="W180" s="35"/>
      <c r="X180" s="35"/>
      <c r="Y180" s="35"/>
      <c r="Z180" s="35"/>
      <c r="AA180" s="35"/>
    </row>
    <row r="181">
      <c r="A181" s="35"/>
      <c r="B181" s="35"/>
      <c r="C181" s="35"/>
      <c r="D181" s="35"/>
      <c r="E181" s="107"/>
      <c r="F181" s="35"/>
      <c r="G181" s="35"/>
      <c r="H181" s="35"/>
      <c r="I181" s="35"/>
      <c r="J181" s="35"/>
      <c r="K181" s="35"/>
      <c r="L181" s="35"/>
      <c r="M181" s="35"/>
      <c r="N181" s="35"/>
      <c r="O181" s="35"/>
      <c r="P181" s="35"/>
      <c r="Q181" s="35"/>
      <c r="R181" s="35"/>
      <c r="S181" s="35"/>
      <c r="T181" s="35"/>
      <c r="U181" s="35"/>
      <c r="V181" s="35"/>
      <c r="W181" s="35"/>
      <c r="X181" s="35"/>
      <c r="Y181" s="35"/>
      <c r="Z181" s="35"/>
      <c r="AA181" s="35"/>
    </row>
    <row r="182">
      <c r="A182" s="35"/>
      <c r="B182" s="35"/>
      <c r="C182" s="35"/>
      <c r="D182" s="35"/>
      <c r="E182" s="107"/>
      <c r="F182" s="35"/>
      <c r="G182" s="35"/>
      <c r="H182" s="35"/>
      <c r="I182" s="35"/>
      <c r="J182" s="35"/>
      <c r="K182" s="35"/>
      <c r="L182" s="35"/>
      <c r="M182" s="35"/>
      <c r="N182" s="35"/>
      <c r="O182" s="35"/>
      <c r="P182" s="35"/>
      <c r="Q182" s="35"/>
      <c r="R182" s="35"/>
      <c r="S182" s="35"/>
      <c r="T182" s="35"/>
      <c r="U182" s="35"/>
      <c r="V182" s="35"/>
      <c r="W182" s="35"/>
      <c r="X182" s="35"/>
      <c r="Y182" s="35"/>
      <c r="Z182" s="35"/>
      <c r="AA182" s="35"/>
    </row>
    <row r="183">
      <c r="A183" s="35"/>
      <c r="B183" s="35"/>
      <c r="C183" s="35"/>
      <c r="D183" s="35"/>
      <c r="E183" s="107"/>
      <c r="F183" s="35"/>
      <c r="G183" s="35"/>
      <c r="H183" s="35"/>
      <c r="I183" s="35"/>
      <c r="J183" s="35"/>
      <c r="K183" s="35"/>
      <c r="L183" s="35"/>
      <c r="M183" s="35"/>
      <c r="N183" s="35"/>
      <c r="O183" s="35"/>
      <c r="P183" s="35"/>
      <c r="Q183" s="35"/>
      <c r="R183" s="35"/>
      <c r="S183" s="35"/>
      <c r="T183" s="35"/>
      <c r="U183" s="35"/>
      <c r="V183" s="35"/>
      <c r="W183" s="35"/>
      <c r="X183" s="35"/>
      <c r="Y183" s="35"/>
      <c r="Z183" s="35"/>
      <c r="AA183" s="35"/>
    </row>
    <row r="184">
      <c r="A184" s="35"/>
      <c r="B184" s="35"/>
      <c r="C184" s="35"/>
      <c r="D184" s="35"/>
      <c r="E184" s="107"/>
      <c r="F184" s="35"/>
      <c r="G184" s="35"/>
      <c r="H184" s="35"/>
      <c r="I184" s="35"/>
      <c r="J184" s="35"/>
      <c r="K184" s="35"/>
      <c r="L184" s="35"/>
      <c r="M184" s="35"/>
      <c r="N184" s="35"/>
      <c r="O184" s="35"/>
      <c r="P184" s="35"/>
      <c r="Q184" s="35"/>
      <c r="R184" s="35"/>
      <c r="S184" s="35"/>
      <c r="T184" s="35"/>
      <c r="U184" s="35"/>
      <c r="V184" s="35"/>
      <c r="W184" s="35"/>
      <c r="X184" s="35"/>
      <c r="Y184" s="35"/>
      <c r="Z184" s="35"/>
      <c r="AA184" s="35"/>
    </row>
    <row r="185">
      <c r="A185" s="35"/>
      <c r="B185" s="35"/>
      <c r="C185" s="35"/>
      <c r="D185" s="35"/>
      <c r="E185" s="107"/>
      <c r="F185" s="35"/>
      <c r="G185" s="35"/>
      <c r="H185" s="35"/>
      <c r="I185" s="35"/>
      <c r="J185" s="35"/>
      <c r="K185" s="35"/>
      <c r="L185" s="35"/>
      <c r="M185" s="35"/>
      <c r="N185" s="35"/>
      <c r="O185" s="35"/>
      <c r="P185" s="35"/>
      <c r="Q185" s="35"/>
      <c r="R185" s="35"/>
      <c r="S185" s="35"/>
      <c r="T185" s="35"/>
      <c r="U185" s="35"/>
      <c r="V185" s="35"/>
      <c r="W185" s="35"/>
      <c r="X185" s="35"/>
      <c r="Y185" s="35"/>
      <c r="Z185" s="35"/>
      <c r="AA185" s="35"/>
    </row>
    <row r="186">
      <c r="A186" s="35"/>
      <c r="B186" s="35"/>
      <c r="C186" s="35"/>
      <c r="D186" s="35"/>
      <c r="E186" s="107"/>
      <c r="F186" s="35"/>
      <c r="G186" s="35"/>
      <c r="H186" s="35"/>
      <c r="I186" s="35"/>
      <c r="J186" s="35"/>
      <c r="K186" s="35"/>
      <c r="L186" s="35"/>
      <c r="M186" s="35"/>
      <c r="N186" s="35"/>
      <c r="O186" s="35"/>
      <c r="P186" s="35"/>
      <c r="Q186" s="35"/>
      <c r="R186" s="35"/>
      <c r="S186" s="35"/>
      <c r="T186" s="35"/>
      <c r="U186" s="35"/>
      <c r="V186" s="35"/>
      <c r="W186" s="35"/>
      <c r="X186" s="35"/>
      <c r="Y186" s="35"/>
      <c r="Z186" s="35"/>
      <c r="AA186" s="35"/>
    </row>
    <row r="187">
      <c r="A187" s="35"/>
      <c r="B187" s="35"/>
      <c r="C187" s="35"/>
      <c r="D187" s="35"/>
      <c r="E187" s="107"/>
      <c r="F187" s="35"/>
      <c r="G187" s="35"/>
      <c r="H187" s="35"/>
      <c r="I187" s="35"/>
      <c r="J187" s="35"/>
      <c r="K187" s="35"/>
      <c r="L187" s="35"/>
      <c r="M187" s="35"/>
      <c r="N187" s="35"/>
      <c r="O187" s="35"/>
      <c r="P187" s="35"/>
      <c r="Q187" s="35"/>
      <c r="R187" s="35"/>
      <c r="S187" s="35"/>
      <c r="T187" s="35"/>
      <c r="U187" s="35"/>
      <c r="V187" s="35"/>
      <c r="W187" s="35"/>
      <c r="X187" s="35"/>
      <c r="Y187" s="35"/>
      <c r="Z187" s="35"/>
      <c r="AA187" s="35"/>
    </row>
    <row r="188">
      <c r="A188" s="35"/>
      <c r="B188" s="35"/>
      <c r="C188" s="35"/>
      <c r="D188" s="35"/>
      <c r="E188" s="107"/>
      <c r="F188" s="35"/>
      <c r="G188" s="35"/>
      <c r="H188" s="35"/>
      <c r="I188" s="35"/>
      <c r="J188" s="35"/>
      <c r="K188" s="35"/>
      <c r="L188" s="35"/>
      <c r="M188" s="35"/>
      <c r="N188" s="35"/>
      <c r="O188" s="35"/>
      <c r="P188" s="35"/>
      <c r="Q188" s="35"/>
      <c r="R188" s="35"/>
      <c r="S188" s="35"/>
      <c r="T188" s="35"/>
      <c r="U188" s="35"/>
      <c r="V188" s="35"/>
      <c r="W188" s="35"/>
      <c r="X188" s="35"/>
      <c r="Y188" s="35"/>
      <c r="Z188" s="35"/>
      <c r="AA188" s="35"/>
    </row>
    <row r="189">
      <c r="A189" s="35"/>
      <c r="B189" s="35"/>
      <c r="C189" s="35"/>
      <c r="D189" s="35"/>
      <c r="E189" s="107"/>
      <c r="F189" s="35"/>
      <c r="G189" s="35"/>
      <c r="H189" s="35"/>
      <c r="I189" s="35"/>
      <c r="J189" s="35"/>
      <c r="K189" s="35"/>
      <c r="L189" s="35"/>
      <c r="M189" s="35"/>
      <c r="N189" s="35"/>
      <c r="O189" s="35"/>
      <c r="P189" s="35"/>
      <c r="Q189" s="35"/>
      <c r="R189" s="35"/>
      <c r="S189" s="35"/>
      <c r="T189" s="35"/>
      <c r="U189" s="35"/>
      <c r="V189" s="35"/>
      <c r="W189" s="35"/>
      <c r="X189" s="35"/>
      <c r="Y189" s="35"/>
      <c r="Z189" s="35"/>
      <c r="AA189" s="35"/>
    </row>
    <row r="190">
      <c r="A190" s="35"/>
      <c r="B190" s="35"/>
      <c r="C190" s="35"/>
      <c r="D190" s="35"/>
      <c r="E190" s="107"/>
      <c r="F190" s="35"/>
      <c r="G190" s="35"/>
      <c r="H190" s="35"/>
      <c r="I190" s="35"/>
      <c r="J190" s="35"/>
      <c r="K190" s="35"/>
      <c r="L190" s="35"/>
      <c r="M190" s="35"/>
      <c r="N190" s="35"/>
      <c r="O190" s="35"/>
      <c r="P190" s="35"/>
      <c r="Q190" s="35"/>
      <c r="R190" s="35"/>
      <c r="S190" s="35"/>
      <c r="T190" s="35"/>
      <c r="U190" s="35"/>
      <c r="V190" s="35"/>
      <c r="W190" s="35"/>
      <c r="X190" s="35"/>
      <c r="Y190" s="35"/>
      <c r="Z190" s="35"/>
      <c r="AA190" s="35"/>
    </row>
    <row r="191">
      <c r="A191" s="35"/>
      <c r="B191" s="35"/>
      <c r="C191" s="35"/>
      <c r="D191" s="35"/>
      <c r="E191" s="107"/>
      <c r="F191" s="35"/>
      <c r="G191" s="35"/>
      <c r="H191" s="35"/>
      <c r="I191" s="35"/>
      <c r="J191" s="35"/>
      <c r="K191" s="35"/>
      <c r="L191" s="35"/>
      <c r="M191" s="35"/>
      <c r="N191" s="35"/>
      <c r="O191" s="35"/>
      <c r="P191" s="35"/>
      <c r="Q191" s="35"/>
      <c r="R191" s="35"/>
      <c r="S191" s="35"/>
      <c r="T191" s="35"/>
      <c r="U191" s="35"/>
      <c r="V191" s="35"/>
      <c r="W191" s="35"/>
      <c r="X191" s="35"/>
      <c r="Y191" s="35"/>
      <c r="Z191" s="35"/>
      <c r="AA191" s="35"/>
    </row>
    <row r="192">
      <c r="A192" s="35"/>
      <c r="B192" s="35"/>
      <c r="C192" s="35"/>
      <c r="D192" s="35"/>
      <c r="E192" s="107"/>
      <c r="F192" s="35"/>
      <c r="G192" s="35"/>
      <c r="H192" s="35"/>
      <c r="I192" s="35"/>
      <c r="J192" s="35"/>
      <c r="K192" s="35"/>
      <c r="L192" s="35"/>
      <c r="M192" s="35"/>
      <c r="N192" s="35"/>
      <c r="O192" s="35"/>
      <c r="P192" s="35"/>
      <c r="Q192" s="35"/>
      <c r="R192" s="35"/>
      <c r="S192" s="35"/>
      <c r="T192" s="35"/>
      <c r="U192" s="35"/>
      <c r="V192" s="35"/>
      <c r="W192" s="35"/>
      <c r="X192" s="35"/>
      <c r="Y192" s="35"/>
      <c r="Z192" s="35"/>
      <c r="AA192" s="35"/>
    </row>
    <row r="193">
      <c r="A193" s="35"/>
      <c r="B193" s="35"/>
      <c r="C193" s="35"/>
      <c r="D193" s="35"/>
      <c r="E193" s="107"/>
      <c r="F193" s="35"/>
      <c r="G193" s="35"/>
      <c r="H193" s="35"/>
      <c r="I193" s="35"/>
      <c r="J193" s="35"/>
      <c r="K193" s="35"/>
      <c r="L193" s="35"/>
      <c r="M193" s="35"/>
      <c r="N193" s="35"/>
      <c r="O193" s="35"/>
      <c r="P193" s="35"/>
      <c r="Q193" s="35"/>
      <c r="R193" s="35"/>
      <c r="S193" s="35"/>
      <c r="T193" s="35"/>
      <c r="U193" s="35"/>
      <c r="V193" s="35"/>
      <c r="W193" s="35"/>
      <c r="X193" s="35"/>
      <c r="Y193" s="35"/>
      <c r="Z193" s="35"/>
      <c r="AA193" s="35"/>
    </row>
    <row r="194">
      <c r="A194" s="35"/>
      <c r="B194" s="35"/>
      <c r="C194" s="35"/>
      <c r="D194" s="35"/>
      <c r="E194" s="107"/>
      <c r="F194" s="35"/>
      <c r="G194" s="35"/>
      <c r="H194" s="35"/>
      <c r="I194" s="35"/>
      <c r="J194" s="35"/>
      <c r="K194" s="35"/>
      <c r="L194" s="35"/>
      <c r="M194" s="35"/>
      <c r="N194" s="35"/>
      <c r="O194" s="35"/>
      <c r="P194" s="35"/>
      <c r="Q194" s="35"/>
      <c r="R194" s="35"/>
      <c r="S194" s="35"/>
      <c r="T194" s="35"/>
      <c r="U194" s="35"/>
      <c r="V194" s="35"/>
      <c r="W194" s="35"/>
      <c r="X194" s="35"/>
      <c r="Y194" s="35"/>
      <c r="Z194" s="35"/>
      <c r="AA194" s="35"/>
    </row>
    <row r="195">
      <c r="A195" s="35"/>
      <c r="B195" s="35"/>
      <c r="C195" s="35"/>
      <c r="D195" s="35"/>
      <c r="E195" s="107"/>
      <c r="F195" s="35"/>
      <c r="G195" s="35"/>
      <c r="H195" s="35"/>
      <c r="I195" s="35"/>
      <c r="J195" s="35"/>
      <c r="K195" s="35"/>
      <c r="L195" s="35"/>
      <c r="M195" s="35"/>
      <c r="N195" s="35"/>
      <c r="O195" s="35"/>
      <c r="P195" s="35"/>
      <c r="Q195" s="35"/>
      <c r="R195" s="35"/>
      <c r="S195" s="35"/>
      <c r="T195" s="35"/>
      <c r="U195" s="35"/>
      <c r="V195" s="35"/>
      <c r="W195" s="35"/>
      <c r="X195" s="35"/>
      <c r="Y195" s="35"/>
      <c r="Z195" s="35"/>
      <c r="AA195" s="35"/>
    </row>
    <row r="196">
      <c r="A196" s="35"/>
      <c r="B196" s="35"/>
      <c r="C196" s="35"/>
      <c r="D196" s="35"/>
      <c r="E196" s="107"/>
      <c r="F196" s="35"/>
      <c r="G196" s="35"/>
      <c r="H196" s="35"/>
      <c r="I196" s="35"/>
      <c r="J196" s="35"/>
      <c r="K196" s="35"/>
      <c r="L196" s="35"/>
      <c r="M196" s="35"/>
      <c r="N196" s="35"/>
      <c r="O196" s="35"/>
      <c r="P196" s="35"/>
      <c r="Q196" s="35"/>
      <c r="R196" s="35"/>
      <c r="S196" s="35"/>
      <c r="T196" s="35"/>
      <c r="U196" s="35"/>
      <c r="V196" s="35"/>
      <c r="W196" s="35"/>
      <c r="X196" s="35"/>
      <c r="Y196" s="35"/>
      <c r="Z196" s="35"/>
      <c r="AA196" s="35"/>
    </row>
    <row r="197">
      <c r="A197" s="35"/>
      <c r="B197" s="35"/>
      <c r="C197" s="35"/>
      <c r="D197" s="35"/>
      <c r="E197" s="107"/>
      <c r="F197" s="35"/>
      <c r="G197" s="35"/>
      <c r="H197" s="35"/>
      <c r="I197" s="35"/>
      <c r="J197" s="35"/>
      <c r="K197" s="35"/>
      <c r="L197" s="35"/>
      <c r="M197" s="35"/>
      <c r="N197" s="35"/>
      <c r="O197" s="35"/>
      <c r="P197" s="35"/>
      <c r="Q197" s="35"/>
      <c r="R197" s="35"/>
      <c r="S197" s="35"/>
      <c r="T197" s="35"/>
      <c r="U197" s="35"/>
      <c r="V197" s="35"/>
      <c r="W197" s="35"/>
      <c r="X197" s="35"/>
      <c r="Y197" s="35"/>
      <c r="Z197" s="35"/>
      <c r="AA197" s="35"/>
    </row>
    <row r="198">
      <c r="A198" s="35"/>
      <c r="B198" s="35"/>
      <c r="C198" s="35"/>
      <c r="D198" s="35"/>
      <c r="E198" s="107"/>
      <c r="F198" s="35"/>
      <c r="G198" s="35"/>
      <c r="H198" s="35"/>
      <c r="I198" s="35"/>
      <c r="J198" s="35"/>
      <c r="K198" s="35"/>
      <c r="L198" s="35"/>
      <c r="M198" s="35"/>
      <c r="N198" s="35"/>
      <c r="O198" s="35"/>
      <c r="P198" s="35"/>
      <c r="Q198" s="35"/>
      <c r="R198" s="35"/>
      <c r="S198" s="35"/>
      <c r="T198" s="35"/>
      <c r="U198" s="35"/>
      <c r="V198" s="35"/>
      <c r="W198" s="35"/>
      <c r="X198" s="35"/>
      <c r="Y198" s="35"/>
      <c r="Z198" s="35"/>
      <c r="AA198" s="35"/>
    </row>
    <row r="199">
      <c r="A199" s="35"/>
      <c r="B199" s="35"/>
      <c r="C199" s="35"/>
      <c r="D199" s="35"/>
      <c r="E199" s="107"/>
      <c r="F199" s="35"/>
      <c r="G199" s="35"/>
      <c r="H199" s="35"/>
      <c r="I199" s="35"/>
      <c r="J199" s="35"/>
      <c r="K199" s="35"/>
      <c r="L199" s="35"/>
      <c r="M199" s="35"/>
      <c r="N199" s="35"/>
      <c r="O199" s="35"/>
      <c r="P199" s="35"/>
      <c r="Q199" s="35"/>
      <c r="R199" s="35"/>
      <c r="S199" s="35"/>
      <c r="T199" s="35"/>
      <c r="U199" s="35"/>
      <c r="V199" s="35"/>
      <c r="W199" s="35"/>
      <c r="X199" s="35"/>
      <c r="Y199" s="35"/>
      <c r="Z199" s="35"/>
      <c r="AA199" s="35"/>
    </row>
    <row r="200">
      <c r="A200" s="35"/>
      <c r="B200" s="35"/>
      <c r="C200" s="35"/>
      <c r="D200" s="35"/>
      <c r="E200" s="107"/>
      <c r="F200" s="35"/>
      <c r="G200" s="35"/>
      <c r="H200" s="35"/>
      <c r="I200" s="35"/>
      <c r="J200" s="35"/>
      <c r="K200" s="35"/>
      <c r="L200" s="35"/>
      <c r="M200" s="35"/>
      <c r="N200" s="35"/>
      <c r="O200" s="35"/>
      <c r="P200" s="35"/>
      <c r="Q200" s="35"/>
      <c r="R200" s="35"/>
      <c r="S200" s="35"/>
      <c r="T200" s="35"/>
      <c r="U200" s="35"/>
      <c r="V200" s="35"/>
      <c r="W200" s="35"/>
      <c r="X200" s="35"/>
      <c r="Y200" s="35"/>
      <c r="Z200" s="35"/>
      <c r="AA200" s="35"/>
    </row>
    <row r="201">
      <c r="A201" s="35"/>
      <c r="B201" s="35"/>
      <c r="C201" s="35"/>
      <c r="D201" s="35"/>
      <c r="E201" s="107"/>
      <c r="F201" s="35"/>
      <c r="G201" s="35"/>
      <c r="H201" s="35"/>
      <c r="I201" s="35"/>
      <c r="J201" s="35"/>
      <c r="K201" s="35"/>
      <c r="L201" s="35"/>
      <c r="M201" s="35"/>
      <c r="N201" s="35"/>
      <c r="O201" s="35"/>
      <c r="P201" s="35"/>
      <c r="Q201" s="35"/>
      <c r="R201" s="35"/>
      <c r="S201" s="35"/>
      <c r="T201" s="35"/>
      <c r="U201" s="35"/>
      <c r="V201" s="35"/>
      <c r="W201" s="35"/>
      <c r="X201" s="35"/>
      <c r="Y201" s="35"/>
      <c r="Z201" s="35"/>
      <c r="AA201" s="35"/>
    </row>
    <row r="202">
      <c r="A202" s="35"/>
      <c r="B202" s="35"/>
      <c r="C202" s="35"/>
      <c r="D202" s="35"/>
      <c r="E202" s="107"/>
      <c r="F202" s="35"/>
      <c r="G202" s="35"/>
      <c r="H202" s="35"/>
      <c r="I202" s="35"/>
      <c r="J202" s="35"/>
      <c r="K202" s="35"/>
      <c r="L202" s="35"/>
      <c r="M202" s="35"/>
      <c r="N202" s="35"/>
      <c r="O202" s="35"/>
      <c r="P202" s="35"/>
      <c r="Q202" s="35"/>
      <c r="R202" s="35"/>
      <c r="S202" s="35"/>
      <c r="T202" s="35"/>
      <c r="U202" s="35"/>
      <c r="V202" s="35"/>
      <c r="W202" s="35"/>
      <c r="X202" s="35"/>
      <c r="Y202" s="35"/>
      <c r="Z202" s="35"/>
      <c r="AA202" s="35"/>
    </row>
    <row r="203">
      <c r="A203" s="35"/>
      <c r="B203" s="35"/>
      <c r="C203" s="35"/>
      <c r="D203" s="35"/>
      <c r="E203" s="107"/>
      <c r="F203" s="35"/>
      <c r="G203" s="35"/>
      <c r="H203" s="35"/>
      <c r="I203" s="35"/>
      <c r="J203" s="35"/>
      <c r="K203" s="35"/>
      <c r="L203" s="35"/>
      <c r="M203" s="35"/>
      <c r="N203" s="35"/>
      <c r="O203" s="35"/>
      <c r="P203" s="35"/>
      <c r="Q203" s="35"/>
      <c r="R203" s="35"/>
      <c r="S203" s="35"/>
      <c r="T203" s="35"/>
      <c r="U203" s="35"/>
      <c r="V203" s="35"/>
      <c r="W203" s="35"/>
      <c r="X203" s="35"/>
      <c r="Y203" s="35"/>
      <c r="Z203" s="35"/>
      <c r="AA203" s="35"/>
    </row>
    <row r="204">
      <c r="A204" s="35"/>
      <c r="B204" s="35"/>
      <c r="C204" s="35"/>
      <c r="D204" s="35"/>
      <c r="E204" s="107"/>
      <c r="F204" s="35"/>
      <c r="G204" s="35"/>
      <c r="H204" s="35"/>
      <c r="I204" s="35"/>
      <c r="J204" s="35"/>
      <c r="K204" s="35"/>
      <c r="L204" s="35"/>
      <c r="M204" s="35"/>
      <c r="N204" s="35"/>
      <c r="O204" s="35"/>
      <c r="P204" s="35"/>
      <c r="Q204" s="35"/>
      <c r="R204" s="35"/>
      <c r="S204" s="35"/>
      <c r="T204" s="35"/>
      <c r="U204" s="35"/>
      <c r="V204" s="35"/>
      <c r="W204" s="35"/>
      <c r="X204" s="35"/>
      <c r="Y204" s="35"/>
      <c r="Z204" s="35"/>
      <c r="AA204" s="35"/>
    </row>
    <row r="205">
      <c r="A205" s="35"/>
      <c r="B205" s="35"/>
      <c r="C205" s="35"/>
      <c r="D205" s="35"/>
      <c r="E205" s="107"/>
      <c r="F205" s="35"/>
      <c r="G205" s="35"/>
      <c r="H205" s="35"/>
      <c r="I205" s="35"/>
      <c r="J205" s="35"/>
      <c r="K205" s="35"/>
      <c r="L205" s="35"/>
      <c r="M205" s="35"/>
      <c r="N205" s="35"/>
      <c r="O205" s="35"/>
      <c r="P205" s="35"/>
      <c r="Q205" s="35"/>
      <c r="R205" s="35"/>
      <c r="S205" s="35"/>
      <c r="T205" s="35"/>
      <c r="U205" s="35"/>
      <c r="V205" s="35"/>
      <c r="W205" s="35"/>
      <c r="X205" s="35"/>
      <c r="Y205" s="35"/>
      <c r="Z205" s="35"/>
      <c r="AA205" s="35"/>
    </row>
    <row r="206">
      <c r="A206" s="35"/>
      <c r="B206" s="35"/>
      <c r="C206" s="35"/>
      <c r="D206" s="35"/>
      <c r="E206" s="107"/>
      <c r="F206" s="35"/>
      <c r="G206" s="35"/>
      <c r="H206" s="35"/>
      <c r="I206" s="35"/>
      <c r="J206" s="35"/>
      <c r="K206" s="35"/>
      <c r="L206" s="35"/>
      <c r="M206" s="35"/>
      <c r="N206" s="35"/>
      <c r="O206" s="35"/>
      <c r="P206" s="35"/>
      <c r="Q206" s="35"/>
      <c r="R206" s="35"/>
      <c r="S206" s="35"/>
      <c r="T206" s="35"/>
      <c r="U206" s="35"/>
      <c r="V206" s="35"/>
      <c r="W206" s="35"/>
      <c r="X206" s="35"/>
      <c r="Y206" s="35"/>
      <c r="Z206" s="35"/>
      <c r="AA206" s="35"/>
    </row>
    <row r="207">
      <c r="A207" s="35"/>
      <c r="B207" s="35"/>
      <c r="C207" s="35"/>
      <c r="D207" s="35"/>
      <c r="E207" s="107"/>
      <c r="F207" s="35"/>
      <c r="G207" s="35"/>
      <c r="H207" s="35"/>
      <c r="I207" s="35"/>
      <c r="J207" s="35"/>
      <c r="K207" s="35"/>
      <c r="L207" s="35"/>
      <c r="M207" s="35"/>
      <c r="N207" s="35"/>
      <c r="O207" s="35"/>
      <c r="P207" s="35"/>
      <c r="Q207" s="35"/>
      <c r="R207" s="35"/>
      <c r="S207" s="35"/>
      <c r="T207" s="35"/>
      <c r="U207" s="35"/>
      <c r="V207" s="35"/>
      <c r="W207" s="35"/>
      <c r="X207" s="35"/>
      <c r="Y207" s="35"/>
      <c r="Z207" s="35"/>
      <c r="AA207" s="35"/>
    </row>
    <row r="208">
      <c r="A208" s="35"/>
      <c r="B208" s="35"/>
      <c r="C208" s="35"/>
      <c r="D208" s="35"/>
      <c r="E208" s="107"/>
      <c r="F208" s="35"/>
      <c r="G208" s="35"/>
      <c r="H208" s="35"/>
      <c r="I208" s="35"/>
      <c r="J208" s="35"/>
      <c r="K208" s="35"/>
      <c r="L208" s="35"/>
      <c r="M208" s="35"/>
      <c r="N208" s="35"/>
      <c r="O208" s="35"/>
      <c r="P208" s="35"/>
      <c r="Q208" s="35"/>
      <c r="R208" s="35"/>
      <c r="S208" s="35"/>
      <c r="T208" s="35"/>
      <c r="U208" s="35"/>
      <c r="V208" s="35"/>
      <c r="W208" s="35"/>
      <c r="X208" s="35"/>
      <c r="Y208" s="35"/>
      <c r="Z208" s="35"/>
      <c r="AA208" s="35"/>
    </row>
    <row r="209">
      <c r="A209" s="35"/>
      <c r="B209" s="35"/>
      <c r="C209" s="35"/>
      <c r="D209" s="35"/>
      <c r="E209" s="107"/>
      <c r="F209" s="35"/>
      <c r="G209" s="35"/>
      <c r="H209" s="35"/>
      <c r="I209" s="35"/>
      <c r="J209" s="35"/>
      <c r="K209" s="35"/>
      <c r="L209" s="35"/>
      <c r="M209" s="35"/>
      <c r="N209" s="35"/>
      <c r="O209" s="35"/>
      <c r="P209" s="35"/>
      <c r="Q209" s="35"/>
      <c r="R209" s="35"/>
      <c r="S209" s="35"/>
      <c r="T209" s="35"/>
      <c r="U209" s="35"/>
      <c r="V209" s="35"/>
      <c r="W209" s="35"/>
      <c r="X209" s="35"/>
      <c r="Y209" s="35"/>
      <c r="Z209" s="35"/>
      <c r="AA209" s="35"/>
    </row>
    <row r="210">
      <c r="A210" s="35"/>
      <c r="B210" s="35"/>
      <c r="C210" s="35"/>
      <c r="D210" s="35"/>
      <c r="E210" s="107"/>
      <c r="F210" s="35"/>
      <c r="G210" s="35"/>
      <c r="H210" s="35"/>
      <c r="I210" s="35"/>
      <c r="J210" s="35"/>
      <c r="K210" s="35"/>
      <c r="L210" s="35"/>
      <c r="M210" s="35"/>
      <c r="N210" s="35"/>
      <c r="O210" s="35"/>
      <c r="P210" s="35"/>
      <c r="Q210" s="35"/>
      <c r="R210" s="35"/>
      <c r="S210" s="35"/>
      <c r="T210" s="35"/>
      <c r="U210" s="35"/>
      <c r="V210" s="35"/>
      <c r="W210" s="35"/>
      <c r="X210" s="35"/>
      <c r="Y210" s="35"/>
      <c r="Z210" s="35"/>
      <c r="AA210" s="35"/>
    </row>
    <row r="211">
      <c r="A211" s="35"/>
      <c r="B211" s="35"/>
      <c r="C211" s="35"/>
      <c r="D211" s="35"/>
      <c r="E211" s="107"/>
      <c r="F211" s="35"/>
      <c r="G211" s="35"/>
      <c r="H211" s="35"/>
      <c r="I211" s="35"/>
      <c r="J211" s="35"/>
      <c r="K211" s="35"/>
      <c r="L211" s="35"/>
      <c r="M211" s="35"/>
      <c r="N211" s="35"/>
      <c r="O211" s="35"/>
      <c r="P211" s="35"/>
      <c r="Q211" s="35"/>
      <c r="R211" s="35"/>
      <c r="S211" s="35"/>
      <c r="T211" s="35"/>
      <c r="U211" s="35"/>
      <c r="V211" s="35"/>
      <c r="W211" s="35"/>
      <c r="X211" s="35"/>
      <c r="Y211" s="35"/>
      <c r="Z211" s="35"/>
      <c r="AA211" s="35"/>
    </row>
    <row r="212">
      <c r="A212" s="35"/>
      <c r="B212" s="35"/>
      <c r="C212" s="35"/>
      <c r="D212" s="35"/>
      <c r="E212" s="107"/>
      <c r="F212" s="35"/>
      <c r="G212" s="35"/>
      <c r="H212" s="35"/>
      <c r="I212" s="35"/>
      <c r="J212" s="35"/>
      <c r="K212" s="35"/>
      <c r="L212" s="35"/>
      <c r="M212" s="35"/>
      <c r="N212" s="35"/>
      <c r="O212" s="35"/>
      <c r="P212" s="35"/>
      <c r="Q212" s="35"/>
      <c r="R212" s="35"/>
      <c r="S212" s="35"/>
      <c r="T212" s="35"/>
      <c r="U212" s="35"/>
      <c r="V212" s="35"/>
      <c r="W212" s="35"/>
      <c r="X212" s="35"/>
      <c r="Y212" s="35"/>
      <c r="Z212" s="35"/>
      <c r="AA212" s="35"/>
    </row>
    <row r="213">
      <c r="A213" s="35"/>
      <c r="B213" s="35"/>
      <c r="C213" s="35"/>
      <c r="D213" s="35"/>
      <c r="E213" s="107"/>
      <c r="F213" s="35"/>
      <c r="G213" s="35"/>
      <c r="H213" s="35"/>
      <c r="I213" s="35"/>
      <c r="J213" s="35"/>
      <c r="K213" s="35"/>
      <c r="L213" s="35"/>
      <c r="M213" s="35"/>
      <c r="N213" s="35"/>
      <c r="O213" s="35"/>
      <c r="P213" s="35"/>
      <c r="Q213" s="35"/>
      <c r="R213" s="35"/>
      <c r="S213" s="35"/>
      <c r="T213" s="35"/>
      <c r="U213" s="35"/>
      <c r="V213" s="35"/>
      <c r="W213" s="35"/>
      <c r="X213" s="35"/>
      <c r="Y213" s="35"/>
      <c r="Z213" s="35"/>
      <c r="AA213" s="35"/>
    </row>
    <row r="214">
      <c r="A214" s="35"/>
      <c r="B214" s="35"/>
      <c r="C214" s="35"/>
      <c r="D214" s="35"/>
      <c r="E214" s="107"/>
      <c r="F214" s="35"/>
      <c r="G214" s="35"/>
      <c r="H214" s="35"/>
      <c r="I214" s="35"/>
      <c r="J214" s="35"/>
      <c r="K214" s="35"/>
      <c r="L214" s="35"/>
      <c r="M214" s="35"/>
      <c r="N214" s="35"/>
      <c r="O214" s="35"/>
      <c r="P214" s="35"/>
      <c r="Q214" s="35"/>
      <c r="R214" s="35"/>
      <c r="S214" s="35"/>
      <c r="T214" s="35"/>
      <c r="U214" s="35"/>
      <c r="V214" s="35"/>
      <c r="W214" s="35"/>
      <c r="X214" s="35"/>
      <c r="Y214" s="35"/>
      <c r="Z214" s="35"/>
      <c r="AA214" s="35"/>
    </row>
    <row r="215">
      <c r="A215" s="35"/>
      <c r="B215" s="35"/>
      <c r="C215" s="35"/>
      <c r="D215" s="35"/>
      <c r="E215" s="107"/>
      <c r="F215" s="35"/>
      <c r="G215" s="35"/>
      <c r="H215" s="35"/>
      <c r="I215" s="35"/>
      <c r="J215" s="35"/>
      <c r="K215" s="35"/>
      <c r="L215" s="35"/>
      <c r="M215" s="35"/>
      <c r="N215" s="35"/>
      <c r="O215" s="35"/>
      <c r="P215" s="35"/>
      <c r="Q215" s="35"/>
      <c r="R215" s="35"/>
      <c r="S215" s="35"/>
      <c r="T215" s="35"/>
      <c r="U215" s="35"/>
      <c r="V215" s="35"/>
      <c r="W215" s="35"/>
      <c r="X215" s="35"/>
      <c r="Y215" s="35"/>
      <c r="Z215" s="35"/>
      <c r="AA215" s="35"/>
    </row>
    <row r="216">
      <c r="A216" s="35"/>
      <c r="B216" s="35"/>
      <c r="C216" s="35"/>
      <c r="D216" s="35"/>
      <c r="E216" s="107"/>
      <c r="F216" s="35"/>
      <c r="G216" s="35"/>
      <c r="H216" s="35"/>
      <c r="I216" s="35"/>
      <c r="J216" s="35"/>
      <c r="K216" s="35"/>
      <c r="L216" s="35"/>
      <c r="M216" s="35"/>
      <c r="N216" s="35"/>
      <c r="O216" s="35"/>
      <c r="P216" s="35"/>
      <c r="Q216" s="35"/>
      <c r="R216" s="35"/>
      <c r="S216" s="35"/>
      <c r="T216" s="35"/>
      <c r="U216" s="35"/>
      <c r="V216" s="35"/>
      <c r="W216" s="35"/>
      <c r="X216" s="35"/>
      <c r="Y216" s="35"/>
      <c r="Z216" s="35"/>
      <c r="AA216" s="35"/>
    </row>
    <row r="217">
      <c r="A217" s="35"/>
      <c r="B217" s="35"/>
      <c r="C217" s="35"/>
      <c r="D217" s="35"/>
      <c r="E217" s="107"/>
      <c r="F217" s="35"/>
      <c r="G217" s="35"/>
      <c r="H217" s="35"/>
      <c r="I217" s="35"/>
      <c r="J217" s="35"/>
      <c r="K217" s="35"/>
      <c r="L217" s="35"/>
      <c r="M217" s="35"/>
      <c r="N217" s="35"/>
      <c r="O217" s="35"/>
      <c r="P217" s="35"/>
      <c r="Q217" s="35"/>
      <c r="R217" s="35"/>
      <c r="S217" s="35"/>
      <c r="T217" s="35"/>
      <c r="U217" s="35"/>
      <c r="V217" s="35"/>
      <c r="W217" s="35"/>
      <c r="X217" s="35"/>
      <c r="Y217" s="35"/>
      <c r="Z217" s="35"/>
      <c r="AA217" s="35"/>
    </row>
    <row r="218">
      <c r="A218" s="35"/>
      <c r="B218" s="35"/>
      <c r="C218" s="35"/>
      <c r="D218" s="35"/>
      <c r="E218" s="107"/>
      <c r="F218" s="35"/>
      <c r="G218" s="35"/>
      <c r="H218" s="35"/>
      <c r="I218" s="35"/>
      <c r="J218" s="35"/>
      <c r="K218" s="35"/>
      <c r="L218" s="35"/>
      <c r="M218" s="35"/>
      <c r="N218" s="35"/>
      <c r="O218" s="35"/>
      <c r="P218" s="35"/>
      <c r="Q218" s="35"/>
      <c r="R218" s="35"/>
      <c r="S218" s="35"/>
      <c r="T218" s="35"/>
      <c r="U218" s="35"/>
      <c r="V218" s="35"/>
      <c r="W218" s="35"/>
      <c r="X218" s="35"/>
      <c r="Y218" s="35"/>
      <c r="Z218" s="35"/>
      <c r="AA218" s="35"/>
    </row>
    <row r="219">
      <c r="A219" s="35"/>
      <c r="B219" s="35"/>
      <c r="C219" s="35"/>
      <c r="D219" s="35"/>
      <c r="E219" s="107"/>
      <c r="F219" s="35"/>
      <c r="G219" s="35"/>
      <c r="H219" s="35"/>
      <c r="I219" s="35"/>
      <c r="J219" s="35"/>
      <c r="K219" s="35"/>
      <c r="L219" s="35"/>
      <c r="M219" s="35"/>
      <c r="N219" s="35"/>
      <c r="O219" s="35"/>
      <c r="P219" s="35"/>
      <c r="Q219" s="35"/>
      <c r="R219" s="35"/>
      <c r="S219" s="35"/>
      <c r="T219" s="35"/>
      <c r="U219" s="35"/>
      <c r="V219" s="35"/>
      <c r="W219" s="35"/>
      <c r="X219" s="35"/>
      <c r="Y219" s="35"/>
      <c r="Z219" s="35"/>
      <c r="AA219" s="35"/>
    </row>
    <row r="220">
      <c r="A220" s="35"/>
      <c r="B220" s="35"/>
      <c r="C220" s="35"/>
      <c r="D220" s="35"/>
      <c r="E220" s="107"/>
      <c r="F220" s="35"/>
      <c r="G220" s="35"/>
      <c r="H220" s="35"/>
      <c r="I220" s="35"/>
      <c r="J220" s="35"/>
      <c r="K220" s="35"/>
      <c r="L220" s="35"/>
      <c r="M220" s="35"/>
      <c r="N220" s="35"/>
      <c r="O220" s="35"/>
      <c r="P220" s="35"/>
      <c r="Q220" s="35"/>
      <c r="R220" s="35"/>
      <c r="S220" s="35"/>
      <c r="T220" s="35"/>
      <c r="U220" s="35"/>
      <c r="V220" s="35"/>
      <c r="W220" s="35"/>
      <c r="X220" s="35"/>
      <c r="Y220" s="35"/>
      <c r="Z220" s="35"/>
      <c r="AA220" s="35"/>
    </row>
    <row r="221">
      <c r="A221" s="35"/>
      <c r="B221" s="35"/>
      <c r="C221" s="35"/>
      <c r="D221" s="35"/>
      <c r="E221" s="107"/>
      <c r="F221" s="35"/>
      <c r="G221" s="35"/>
      <c r="H221" s="35"/>
      <c r="I221" s="35"/>
      <c r="J221" s="35"/>
      <c r="K221" s="35"/>
      <c r="L221" s="35"/>
      <c r="M221" s="35"/>
      <c r="N221" s="35"/>
      <c r="O221" s="35"/>
      <c r="P221" s="35"/>
      <c r="Q221" s="35"/>
      <c r="R221" s="35"/>
      <c r="S221" s="35"/>
      <c r="T221" s="35"/>
      <c r="U221" s="35"/>
      <c r="V221" s="35"/>
      <c r="W221" s="35"/>
      <c r="X221" s="35"/>
      <c r="Y221" s="35"/>
      <c r="Z221" s="35"/>
      <c r="AA221" s="35"/>
    </row>
    <row r="222">
      <c r="A222" s="35"/>
      <c r="B222" s="35"/>
      <c r="C222" s="35"/>
      <c r="D222" s="35"/>
      <c r="E222" s="107"/>
      <c r="F222" s="35"/>
      <c r="G222" s="35"/>
      <c r="H222" s="35"/>
      <c r="I222" s="35"/>
      <c r="J222" s="35"/>
      <c r="K222" s="35"/>
      <c r="L222" s="35"/>
      <c r="M222" s="35"/>
      <c r="N222" s="35"/>
      <c r="O222" s="35"/>
      <c r="P222" s="35"/>
      <c r="Q222" s="35"/>
      <c r="R222" s="35"/>
      <c r="S222" s="35"/>
      <c r="T222" s="35"/>
      <c r="U222" s="35"/>
      <c r="V222" s="35"/>
      <c r="W222" s="35"/>
      <c r="X222" s="35"/>
      <c r="Y222" s="35"/>
      <c r="Z222" s="35"/>
      <c r="AA222" s="35"/>
    </row>
    <row r="223">
      <c r="A223" s="35"/>
      <c r="B223" s="35"/>
      <c r="C223" s="35"/>
      <c r="D223" s="35"/>
      <c r="E223" s="107"/>
      <c r="F223" s="35"/>
      <c r="G223" s="35"/>
      <c r="H223" s="35"/>
      <c r="I223" s="35"/>
      <c r="J223" s="35"/>
      <c r="K223" s="35"/>
      <c r="L223" s="35"/>
      <c r="M223" s="35"/>
      <c r="N223" s="35"/>
      <c r="O223" s="35"/>
      <c r="P223" s="35"/>
      <c r="Q223" s="35"/>
      <c r="R223" s="35"/>
      <c r="S223" s="35"/>
      <c r="T223" s="35"/>
      <c r="U223" s="35"/>
      <c r="V223" s="35"/>
      <c r="W223" s="35"/>
      <c r="X223" s="35"/>
      <c r="Y223" s="35"/>
      <c r="Z223" s="35"/>
      <c r="AA223" s="35"/>
    </row>
    <row r="224">
      <c r="A224" s="35"/>
      <c r="B224" s="35"/>
      <c r="C224" s="35"/>
      <c r="D224" s="35"/>
      <c r="E224" s="107"/>
      <c r="F224" s="35"/>
      <c r="G224" s="35"/>
      <c r="H224" s="35"/>
      <c r="I224" s="35"/>
      <c r="J224" s="35"/>
      <c r="K224" s="35"/>
      <c r="L224" s="35"/>
      <c r="M224" s="35"/>
      <c r="N224" s="35"/>
      <c r="O224" s="35"/>
      <c r="P224" s="35"/>
      <c r="Q224" s="35"/>
      <c r="R224" s="35"/>
      <c r="S224" s="35"/>
      <c r="T224" s="35"/>
      <c r="U224" s="35"/>
      <c r="V224" s="35"/>
      <c r="W224" s="35"/>
      <c r="X224" s="35"/>
      <c r="Y224" s="35"/>
      <c r="Z224" s="35"/>
      <c r="AA224" s="35"/>
    </row>
    <row r="225">
      <c r="A225" s="35"/>
      <c r="B225" s="35"/>
      <c r="C225" s="35"/>
      <c r="D225" s="35"/>
      <c r="E225" s="107"/>
      <c r="F225" s="35"/>
      <c r="G225" s="35"/>
      <c r="H225" s="35"/>
      <c r="I225" s="35"/>
      <c r="J225" s="35"/>
      <c r="K225" s="35"/>
      <c r="L225" s="35"/>
      <c r="M225" s="35"/>
      <c r="N225" s="35"/>
      <c r="O225" s="35"/>
      <c r="P225" s="35"/>
      <c r="Q225" s="35"/>
      <c r="R225" s="35"/>
      <c r="S225" s="35"/>
      <c r="T225" s="35"/>
      <c r="U225" s="35"/>
      <c r="V225" s="35"/>
      <c r="W225" s="35"/>
      <c r="X225" s="35"/>
      <c r="Y225" s="35"/>
      <c r="Z225" s="35"/>
      <c r="AA225" s="35"/>
    </row>
    <row r="226">
      <c r="A226" s="35"/>
      <c r="B226" s="35"/>
      <c r="C226" s="35"/>
      <c r="D226" s="35"/>
      <c r="E226" s="107"/>
      <c r="F226" s="35"/>
      <c r="G226" s="35"/>
      <c r="H226" s="35"/>
      <c r="I226" s="35"/>
      <c r="J226" s="35"/>
      <c r="K226" s="35"/>
      <c r="L226" s="35"/>
      <c r="M226" s="35"/>
      <c r="N226" s="35"/>
      <c r="O226" s="35"/>
      <c r="P226" s="35"/>
      <c r="Q226" s="35"/>
      <c r="R226" s="35"/>
      <c r="S226" s="35"/>
      <c r="T226" s="35"/>
      <c r="U226" s="35"/>
      <c r="V226" s="35"/>
      <c r="W226" s="35"/>
      <c r="X226" s="35"/>
      <c r="Y226" s="35"/>
      <c r="Z226" s="35"/>
      <c r="AA226" s="35"/>
    </row>
    <row r="227">
      <c r="A227" s="35"/>
      <c r="B227" s="35"/>
      <c r="C227" s="35"/>
      <c r="D227" s="35"/>
      <c r="E227" s="107"/>
      <c r="F227" s="35"/>
      <c r="G227" s="35"/>
      <c r="H227" s="35"/>
      <c r="I227" s="35"/>
      <c r="J227" s="35"/>
      <c r="K227" s="35"/>
      <c r="L227" s="35"/>
      <c r="M227" s="35"/>
      <c r="N227" s="35"/>
      <c r="O227" s="35"/>
      <c r="P227" s="35"/>
      <c r="Q227" s="35"/>
      <c r="R227" s="35"/>
      <c r="S227" s="35"/>
      <c r="T227" s="35"/>
      <c r="U227" s="35"/>
      <c r="V227" s="35"/>
      <c r="W227" s="35"/>
      <c r="X227" s="35"/>
      <c r="Y227" s="35"/>
      <c r="Z227" s="35"/>
      <c r="AA227" s="35"/>
    </row>
    <row r="228">
      <c r="A228" s="35"/>
      <c r="B228" s="35"/>
      <c r="C228" s="35"/>
      <c r="D228" s="35"/>
      <c r="E228" s="107"/>
      <c r="F228" s="35"/>
      <c r="G228" s="35"/>
      <c r="H228" s="35"/>
      <c r="I228" s="35"/>
      <c r="J228" s="35"/>
      <c r="K228" s="35"/>
      <c r="L228" s="35"/>
      <c r="M228" s="35"/>
      <c r="N228" s="35"/>
      <c r="O228" s="35"/>
      <c r="P228" s="35"/>
      <c r="Q228" s="35"/>
      <c r="R228" s="35"/>
      <c r="S228" s="35"/>
      <c r="T228" s="35"/>
      <c r="U228" s="35"/>
      <c r="V228" s="35"/>
      <c r="W228" s="35"/>
      <c r="X228" s="35"/>
      <c r="Y228" s="35"/>
      <c r="Z228" s="35"/>
      <c r="AA228" s="35"/>
    </row>
    <row r="229">
      <c r="A229" s="35"/>
      <c r="B229" s="35"/>
      <c r="C229" s="35"/>
      <c r="D229" s="35"/>
      <c r="E229" s="107"/>
      <c r="F229" s="35"/>
      <c r="G229" s="35"/>
      <c r="H229" s="35"/>
      <c r="I229" s="35"/>
      <c r="J229" s="35"/>
      <c r="K229" s="35"/>
      <c r="L229" s="35"/>
      <c r="M229" s="35"/>
      <c r="N229" s="35"/>
      <c r="O229" s="35"/>
      <c r="P229" s="35"/>
      <c r="Q229" s="35"/>
      <c r="R229" s="35"/>
      <c r="S229" s="35"/>
      <c r="T229" s="35"/>
      <c r="U229" s="35"/>
      <c r="V229" s="35"/>
      <c r="W229" s="35"/>
      <c r="X229" s="35"/>
      <c r="Y229" s="35"/>
      <c r="Z229" s="35"/>
      <c r="AA229" s="35"/>
    </row>
    <row r="230">
      <c r="A230" s="35"/>
      <c r="B230" s="35"/>
      <c r="C230" s="35"/>
      <c r="D230" s="35"/>
      <c r="E230" s="107"/>
      <c r="F230" s="35"/>
      <c r="G230" s="35"/>
      <c r="H230" s="35"/>
      <c r="I230" s="35"/>
      <c r="J230" s="35"/>
      <c r="K230" s="35"/>
      <c r="L230" s="35"/>
      <c r="M230" s="35"/>
      <c r="N230" s="35"/>
      <c r="O230" s="35"/>
      <c r="P230" s="35"/>
      <c r="Q230" s="35"/>
      <c r="R230" s="35"/>
      <c r="S230" s="35"/>
      <c r="T230" s="35"/>
      <c r="U230" s="35"/>
      <c r="V230" s="35"/>
      <c r="W230" s="35"/>
      <c r="X230" s="35"/>
      <c r="Y230" s="35"/>
      <c r="Z230" s="35"/>
      <c r="AA230" s="35"/>
    </row>
    <row r="231">
      <c r="A231" s="35"/>
      <c r="B231" s="35"/>
      <c r="C231" s="35"/>
      <c r="D231" s="35"/>
      <c r="E231" s="107"/>
      <c r="F231" s="35"/>
      <c r="G231" s="35"/>
      <c r="H231" s="35"/>
      <c r="I231" s="35"/>
      <c r="J231" s="35"/>
      <c r="K231" s="35"/>
      <c r="L231" s="35"/>
      <c r="M231" s="35"/>
      <c r="N231" s="35"/>
      <c r="O231" s="35"/>
      <c r="P231" s="35"/>
      <c r="Q231" s="35"/>
      <c r="R231" s="35"/>
      <c r="S231" s="35"/>
      <c r="T231" s="35"/>
      <c r="U231" s="35"/>
      <c r="V231" s="35"/>
      <c r="W231" s="35"/>
      <c r="X231" s="35"/>
      <c r="Y231" s="35"/>
      <c r="Z231" s="35"/>
      <c r="AA231" s="35"/>
    </row>
    <row r="232">
      <c r="A232" s="35"/>
      <c r="B232" s="35"/>
      <c r="C232" s="35"/>
      <c r="D232" s="35"/>
      <c r="E232" s="107"/>
      <c r="F232" s="35"/>
      <c r="G232" s="35"/>
      <c r="H232" s="35"/>
      <c r="I232" s="35"/>
      <c r="J232" s="35"/>
      <c r="K232" s="35"/>
      <c r="L232" s="35"/>
      <c r="M232" s="35"/>
      <c r="N232" s="35"/>
      <c r="O232" s="35"/>
      <c r="P232" s="35"/>
      <c r="Q232" s="35"/>
      <c r="R232" s="35"/>
      <c r="S232" s="35"/>
      <c r="T232" s="35"/>
      <c r="U232" s="35"/>
      <c r="V232" s="35"/>
      <c r="W232" s="35"/>
      <c r="X232" s="35"/>
      <c r="Y232" s="35"/>
      <c r="Z232" s="35"/>
      <c r="AA232" s="35"/>
    </row>
    <row r="233">
      <c r="A233" s="35"/>
      <c r="B233" s="35"/>
      <c r="C233" s="35"/>
      <c r="D233" s="35"/>
      <c r="E233" s="107"/>
      <c r="F233" s="35"/>
      <c r="G233" s="35"/>
      <c r="H233" s="35"/>
      <c r="I233" s="35"/>
      <c r="J233" s="35"/>
      <c r="K233" s="35"/>
      <c r="L233" s="35"/>
      <c r="M233" s="35"/>
      <c r="N233" s="35"/>
      <c r="O233" s="35"/>
      <c r="P233" s="35"/>
      <c r="Q233" s="35"/>
      <c r="R233" s="35"/>
      <c r="S233" s="35"/>
      <c r="T233" s="35"/>
      <c r="U233" s="35"/>
      <c r="V233" s="35"/>
      <c r="W233" s="35"/>
      <c r="X233" s="35"/>
      <c r="Y233" s="35"/>
      <c r="Z233" s="35"/>
      <c r="AA233" s="35"/>
    </row>
    <row r="234">
      <c r="A234" s="35"/>
      <c r="B234" s="35"/>
      <c r="C234" s="35"/>
      <c r="D234" s="35"/>
      <c r="E234" s="107"/>
      <c r="F234" s="35"/>
      <c r="G234" s="35"/>
      <c r="H234" s="35"/>
      <c r="I234" s="35"/>
      <c r="J234" s="35"/>
      <c r="K234" s="35"/>
      <c r="L234" s="35"/>
      <c r="M234" s="35"/>
      <c r="N234" s="35"/>
      <c r="O234" s="35"/>
      <c r="P234" s="35"/>
      <c r="Q234" s="35"/>
      <c r="R234" s="35"/>
      <c r="S234" s="35"/>
      <c r="T234" s="35"/>
      <c r="U234" s="35"/>
      <c r="V234" s="35"/>
      <c r="W234" s="35"/>
      <c r="X234" s="35"/>
      <c r="Y234" s="35"/>
      <c r="Z234" s="35"/>
      <c r="AA234" s="35"/>
    </row>
    <row r="235">
      <c r="A235" s="35"/>
      <c r="B235" s="35"/>
      <c r="C235" s="35"/>
      <c r="D235" s="35"/>
      <c r="E235" s="107"/>
      <c r="F235" s="35"/>
      <c r="G235" s="35"/>
      <c r="H235" s="35"/>
      <c r="I235" s="35"/>
      <c r="J235" s="35"/>
      <c r="K235" s="35"/>
      <c r="L235" s="35"/>
      <c r="M235" s="35"/>
      <c r="N235" s="35"/>
      <c r="O235" s="35"/>
      <c r="P235" s="35"/>
      <c r="Q235" s="35"/>
      <c r="R235" s="35"/>
      <c r="S235" s="35"/>
      <c r="T235" s="35"/>
      <c r="U235" s="35"/>
      <c r="V235" s="35"/>
      <c r="W235" s="35"/>
      <c r="X235" s="35"/>
      <c r="Y235" s="35"/>
      <c r="Z235" s="35"/>
      <c r="AA235" s="35"/>
    </row>
    <row r="236">
      <c r="A236" s="35"/>
      <c r="B236" s="35"/>
      <c r="C236" s="35"/>
      <c r="D236" s="35"/>
      <c r="E236" s="107"/>
      <c r="F236" s="35"/>
      <c r="G236" s="35"/>
      <c r="H236" s="35"/>
      <c r="I236" s="35"/>
      <c r="J236" s="35"/>
      <c r="K236" s="35"/>
      <c r="L236" s="35"/>
      <c r="M236" s="35"/>
      <c r="N236" s="35"/>
      <c r="O236" s="35"/>
      <c r="P236" s="35"/>
      <c r="Q236" s="35"/>
      <c r="R236" s="35"/>
      <c r="S236" s="35"/>
      <c r="T236" s="35"/>
      <c r="U236" s="35"/>
      <c r="V236" s="35"/>
      <c r="W236" s="35"/>
      <c r="X236" s="35"/>
      <c r="Y236" s="35"/>
      <c r="Z236" s="35"/>
      <c r="AA236" s="35"/>
    </row>
    <row r="237">
      <c r="A237" s="35"/>
      <c r="B237" s="35"/>
      <c r="C237" s="35"/>
      <c r="D237" s="35"/>
      <c r="E237" s="107"/>
      <c r="F237" s="35"/>
      <c r="G237" s="35"/>
      <c r="H237" s="35"/>
      <c r="I237" s="35"/>
      <c r="J237" s="35"/>
      <c r="K237" s="35"/>
      <c r="L237" s="35"/>
      <c r="M237" s="35"/>
      <c r="N237" s="35"/>
      <c r="O237" s="35"/>
      <c r="P237" s="35"/>
      <c r="Q237" s="35"/>
      <c r="R237" s="35"/>
      <c r="S237" s="35"/>
      <c r="T237" s="35"/>
      <c r="U237" s="35"/>
      <c r="V237" s="35"/>
      <c r="W237" s="35"/>
      <c r="X237" s="35"/>
      <c r="Y237" s="35"/>
      <c r="Z237" s="35"/>
      <c r="AA237" s="35"/>
    </row>
    <row r="238">
      <c r="A238" s="35"/>
      <c r="B238" s="35"/>
      <c r="C238" s="35"/>
      <c r="D238" s="35"/>
      <c r="E238" s="107"/>
      <c r="F238" s="35"/>
      <c r="G238" s="35"/>
      <c r="H238" s="35"/>
      <c r="I238" s="35"/>
      <c r="J238" s="35"/>
      <c r="K238" s="35"/>
      <c r="L238" s="35"/>
      <c r="M238" s="35"/>
      <c r="N238" s="35"/>
      <c r="O238" s="35"/>
      <c r="P238" s="35"/>
      <c r="Q238" s="35"/>
      <c r="R238" s="35"/>
      <c r="S238" s="35"/>
      <c r="T238" s="35"/>
      <c r="U238" s="35"/>
      <c r="V238" s="35"/>
      <c r="W238" s="35"/>
      <c r="X238" s="35"/>
      <c r="Y238" s="35"/>
      <c r="Z238" s="35"/>
      <c r="AA238" s="35"/>
    </row>
    <row r="239">
      <c r="A239" s="35"/>
      <c r="B239" s="35"/>
      <c r="C239" s="35"/>
      <c r="D239" s="35"/>
      <c r="E239" s="107"/>
      <c r="F239" s="35"/>
      <c r="G239" s="35"/>
      <c r="H239" s="35"/>
      <c r="I239" s="35"/>
      <c r="J239" s="35"/>
      <c r="K239" s="35"/>
      <c r="L239" s="35"/>
      <c r="M239" s="35"/>
      <c r="N239" s="35"/>
      <c r="O239" s="35"/>
      <c r="P239" s="35"/>
      <c r="Q239" s="35"/>
      <c r="R239" s="35"/>
      <c r="S239" s="35"/>
      <c r="T239" s="35"/>
      <c r="U239" s="35"/>
      <c r="V239" s="35"/>
      <c r="W239" s="35"/>
      <c r="X239" s="35"/>
      <c r="Y239" s="35"/>
      <c r="Z239" s="35"/>
      <c r="AA239" s="35"/>
    </row>
    <row r="240">
      <c r="A240" s="35"/>
      <c r="B240" s="35"/>
      <c r="C240" s="35"/>
      <c r="D240" s="35"/>
      <c r="E240" s="107"/>
      <c r="F240" s="35"/>
      <c r="G240" s="35"/>
      <c r="H240" s="35"/>
      <c r="I240" s="35"/>
      <c r="J240" s="35"/>
      <c r="K240" s="35"/>
      <c r="L240" s="35"/>
      <c r="M240" s="35"/>
      <c r="N240" s="35"/>
      <c r="O240" s="35"/>
      <c r="P240" s="35"/>
      <c r="Q240" s="35"/>
      <c r="R240" s="35"/>
      <c r="S240" s="35"/>
      <c r="T240" s="35"/>
      <c r="U240" s="35"/>
      <c r="V240" s="35"/>
      <c r="W240" s="35"/>
      <c r="X240" s="35"/>
      <c r="Y240" s="35"/>
      <c r="Z240" s="35"/>
      <c r="AA240" s="35"/>
    </row>
    <row r="241">
      <c r="A241" s="35"/>
      <c r="B241" s="35"/>
      <c r="C241" s="35"/>
      <c r="D241" s="35"/>
      <c r="E241" s="107"/>
      <c r="F241" s="35"/>
      <c r="G241" s="35"/>
      <c r="H241" s="35"/>
      <c r="I241" s="35"/>
      <c r="J241" s="35"/>
      <c r="K241" s="35"/>
      <c r="L241" s="35"/>
      <c r="M241" s="35"/>
      <c r="N241" s="35"/>
      <c r="O241" s="35"/>
      <c r="P241" s="35"/>
      <c r="Q241" s="35"/>
      <c r="R241" s="35"/>
      <c r="S241" s="35"/>
      <c r="T241" s="35"/>
      <c r="U241" s="35"/>
      <c r="V241" s="35"/>
      <c r="W241" s="35"/>
      <c r="X241" s="35"/>
      <c r="Y241" s="35"/>
      <c r="Z241" s="35"/>
      <c r="AA241" s="35"/>
    </row>
    <row r="242">
      <c r="A242" s="35"/>
      <c r="B242" s="35"/>
      <c r="C242" s="35"/>
      <c r="D242" s="35"/>
      <c r="E242" s="107"/>
      <c r="F242" s="35"/>
      <c r="G242" s="35"/>
      <c r="H242" s="35"/>
      <c r="I242" s="35"/>
      <c r="J242" s="35"/>
      <c r="K242" s="35"/>
      <c r="L242" s="35"/>
      <c r="M242" s="35"/>
      <c r="N242" s="35"/>
      <c r="O242" s="35"/>
      <c r="P242" s="35"/>
      <c r="Q242" s="35"/>
      <c r="R242" s="35"/>
      <c r="S242" s="35"/>
      <c r="T242" s="35"/>
      <c r="U242" s="35"/>
      <c r="V242" s="35"/>
      <c r="W242" s="35"/>
      <c r="X242" s="35"/>
      <c r="Y242" s="35"/>
      <c r="Z242" s="35"/>
      <c r="AA242" s="35"/>
    </row>
    <row r="243">
      <c r="A243" s="35"/>
      <c r="B243" s="35"/>
      <c r="C243" s="35"/>
      <c r="D243" s="35"/>
      <c r="E243" s="107"/>
      <c r="F243" s="35"/>
      <c r="G243" s="35"/>
      <c r="H243" s="35"/>
      <c r="I243" s="35"/>
      <c r="J243" s="35"/>
      <c r="K243" s="35"/>
      <c r="L243" s="35"/>
      <c r="M243" s="35"/>
      <c r="N243" s="35"/>
      <c r="O243" s="35"/>
      <c r="P243" s="35"/>
      <c r="Q243" s="35"/>
      <c r="R243" s="35"/>
      <c r="S243" s="35"/>
      <c r="T243" s="35"/>
      <c r="U243" s="35"/>
      <c r="V243" s="35"/>
      <c r="W243" s="35"/>
      <c r="X243" s="35"/>
      <c r="Y243" s="35"/>
      <c r="Z243" s="35"/>
      <c r="AA243" s="35"/>
    </row>
    <row r="244">
      <c r="A244" s="35"/>
      <c r="B244" s="35"/>
      <c r="C244" s="35"/>
      <c r="D244" s="35"/>
      <c r="E244" s="107"/>
      <c r="F244" s="35"/>
      <c r="G244" s="35"/>
      <c r="H244" s="35"/>
      <c r="I244" s="35"/>
      <c r="J244" s="35"/>
      <c r="K244" s="35"/>
      <c r="L244" s="35"/>
      <c r="M244" s="35"/>
      <c r="N244" s="35"/>
      <c r="O244" s="35"/>
      <c r="P244" s="35"/>
      <c r="Q244" s="35"/>
      <c r="R244" s="35"/>
      <c r="S244" s="35"/>
      <c r="T244" s="35"/>
      <c r="U244" s="35"/>
      <c r="V244" s="35"/>
      <c r="W244" s="35"/>
      <c r="X244" s="35"/>
      <c r="Y244" s="35"/>
      <c r="Z244" s="35"/>
      <c r="AA244" s="35"/>
    </row>
    <row r="245">
      <c r="A245" s="35"/>
      <c r="B245" s="35"/>
      <c r="C245" s="35"/>
      <c r="D245" s="35"/>
      <c r="E245" s="107"/>
      <c r="F245" s="35"/>
      <c r="G245" s="35"/>
      <c r="H245" s="35"/>
      <c r="I245" s="35"/>
      <c r="J245" s="35"/>
      <c r="K245" s="35"/>
      <c r="L245" s="35"/>
      <c r="M245" s="35"/>
      <c r="N245" s="35"/>
      <c r="O245" s="35"/>
      <c r="P245" s="35"/>
      <c r="Q245" s="35"/>
      <c r="R245" s="35"/>
      <c r="S245" s="35"/>
      <c r="T245" s="35"/>
      <c r="U245" s="35"/>
      <c r="V245" s="35"/>
      <c r="W245" s="35"/>
      <c r="X245" s="35"/>
      <c r="Y245" s="35"/>
      <c r="Z245" s="35"/>
      <c r="AA245" s="35"/>
    </row>
    <row r="246">
      <c r="A246" s="35"/>
      <c r="B246" s="35"/>
      <c r="C246" s="35"/>
      <c r="D246" s="35"/>
      <c r="E246" s="107"/>
      <c r="F246" s="35"/>
      <c r="G246" s="35"/>
      <c r="H246" s="35"/>
      <c r="I246" s="35"/>
      <c r="J246" s="35"/>
      <c r="K246" s="35"/>
      <c r="L246" s="35"/>
      <c r="M246" s="35"/>
      <c r="N246" s="35"/>
      <c r="O246" s="35"/>
      <c r="P246" s="35"/>
      <c r="Q246" s="35"/>
      <c r="R246" s="35"/>
      <c r="S246" s="35"/>
      <c r="T246" s="35"/>
      <c r="U246" s="35"/>
      <c r="V246" s="35"/>
      <c r="W246" s="35"/>
      <c r="X246" s="35"/>
      <c r="Y246" s="35"/>
      <c r="Z246" s="35"/>
      <c r="AA246" s="35"/>
    </row>
    <row r="247">
      <c r="A247" s="35"/>
      <c r="B247" s="35"/>
      <c r="C247" s="35"/>
      <c r="D247" s="35"/>
      <c r="E247" s="107"/>
      <c r="F247" s="35"/>
      <c r="G247" s="35"/>
      <c r="H247" s="35"/>
      <c r="I247" s="35"/>
      <c r="J247" s="35"/>
      <c r="K247" s="35"/>
      <c r="L247" s="35"/>
      <c r="M247" s="35"/>
      <c r="N247" s="35"/>
      <c r="O247" s="35"/>
      <c r="P247" s="35"/>
      <c r="Q247" s="35"/>
      <c r="R247" s="35"/>
      <c r="S247" s="35"/>
      <c r="T247" s="35"/>
      <c r="U247" s="35"/>
      <c r="V247" s="35"/>
      <c r="W247" s="35"/>
      <c r="X247" s="35"/>
      <c r="Y247" s="35"/>
      <c r="Z247" s="35"/>
      <c r="AA247" s="35"/>
    </row>
    <row r="248">
      <c r="A248" s="35"/>
      <c r="B248" s="35"/>
      <c r="C248" s="35"/>
      <c r="D248" s="35"/>
      <c r="E248" s="107"/>
      <c r="F248" s="35"/>
      <c r="G248" s="35"/>
      <c r="H248" s="35"/>
      <c r="I248" s="35"/>
      <c r="J248" s="35"/>
      <c r="K248" s="35"/>
      <c r="L248" s="35"/>
      <c r="M248" s="35"/>
      <c r="N248" s="35"/>
      <c r="O248" s="35"/>
      <c r="P248" s="35"/>
      <c r="Q248" s="35"/>
      <c r="R248" s="35"/>
      <c r="S248" s="35"/>
      <c r="T248" s="35"/>
      <c r="U248" s="35"/>
      <c r="V248" s="35"/>
      <c r="W248" s="35"/>
      <c r="X248" s="35"/>
      <c r="Y248" s="35"/>
      <c r="Z248" s="35"/>
      <c r="AA248" s="35"/>
    </row>
    <row r="249">
      <c r="A249" s="35"/>
      <c r="B249" s="35"/>
      <c r="C249" s="35"/>
      <c r="D249" s="35"/>
      <c r="E249" s="107"/>
      <c r="F249" s="35"/>
      <c r="G249" s="35"/>
      <c r="H249" s="35"/>
      <c r="I249" s="35"/>
      <c r="J249" s="35"/>
      <c r="K249" s="35"/>
      <c r="L249" s="35"/>
      <c r="M249" s="35"/>
      <c r="N249" s="35"/>
      <c r="O249" s="35"/>
      <c r="P249" s="35"/>
      <c r="Q249" s="35"/>
      <c r="R249" s="35"/>
      <c r="S249" s="35"/>
      <c r="T249" s="35"/>
      <c r="U249" s="35"/>
      <c r="V249" s="35"/>
      <c r="W249" s="35"/>
      <c r="X249" s="35"/>
      <c r="Y249" s="35"/>
      <c r="Z249" s="35"/>
      <c r="AA249" s="35"/>
    </row>
    <row r="250">
      <c r="A250" s="35"/>
      <c r="B250" s="35"/>
      <c r="C250" s="35"/>
      <c r="D250" s="35"/>
      <c r="E250" s="107"/>
      <c r="F250" s="35"/>
      <c r="G250" s="35"/>
      <c r="H250" s="35"/>
      <c r="I250" s="35"/>
      <c r="J250" s="35"/>
      <c r="K250" s="35"/>
      <c r="L250" s="35"/>
      <c r="M250" s="35"/>
      <c r="N250" s="35"/>
      <c r="O250" s="35"/>
      <c r="P250" s="35"/>
      <c r="Q250" s="35"/>
      <c r="R250" s="35"/>
      <c r="S250" s="35"/>
      <c r="T250" s="35"/>
      <c r="U250" s="35"/>
      <c r="V250" s="35"/>
      <c r="W250" s="35"/>
      <c r="X250" s="35"/>
      <c r="Y250" s="35"/>
      <c r="Z250" s="35"/>
      <c r="AA250" s="35"/>
    </row>
    <row r="251">
      <c r="A251" s="35"/>
      <c r="B251" s="35"/>
      <c r="C251" s="35"/>
      <c r="D251" s="35"/>
      <c r="E251" s="107"/>
      <c r="F251" s="35"/>
      <c r="G251" s="35"/>
      <c r="H251" s="35"/>
      <c r="I251" s="35"/>
      <c r="J251" s="35"/>
      <c r="K251" s="35"/>
      <c r="L251" s="35"/>
      <c r="M251" s="35"/>
      <c r="N251" s="35"/>
      <c r="O251" s="35"/>
      <c r="P251" s="35"/>
      <c r="Q251" s="35"/>
      <c r="R251" s="35"/>
      <c r="S251" s="35"/>
      <c r="T251" s="35"/>
      <c r="U251" s="35"/>
      <c r="V251" s="35"/>
      <c r="W251" s="35"/>
      <c r="X251" s="35"/>
      <c r="Y251" s="35"/>
      <c r="Z251" s="35"/>
      <c r="AA251" s="35"/>
    </row>
    <row r="252">
      <c r="A252" s="35"/>
      <c r="B252" s="35"/>
      <c r="C252" s="35"/>
      <c r="D252" s="35"/>
      <c r="E252" s="107"/>
      <c r="F252" s="35"/>
      <c r="G252" s="35"/>
      <c r="H252" s="35"/>
      <c r="I252" s="35"/>
      <c r="J252" s="35"/>
      <c r="K252" s="35"/>
      <c r="L252" s="35"/>
      <c r="M252" s="35"/>
      <c r="N252" s="35"/>
      <c r="O252" s="35"/>
      <c r="P252" s="35"/>
      <c r="Q252" s="35"/>
      <c r="R252" s="35"/>
      <c r="S252" s="35"/>
      <c r="T252" s="35"/>
      <c r="U252" s="35"/>
      <c r="V252" s="35"/>
      <c r="W252" s="35"/>
      <c r="X252" s="35"/>
      <c r="Y252" s="35"/>
      <c r="Z252" s="35"/>
      <c r="AA252" s="35"/>
    </row>
    <row r="253">
      <c r="A253" s="35"/>
      <c r="B253" s="35"/>
      <c r="C253" s="35"/>
      <c r="D253" s="35"/>
      <c r="E253" s="107"/>
      <c r="F253" s="35"/>
      <c r="G253" s="35"/>
      <c r="H253" s="35"/>
      <c r="I253" s="35"/>
      <c r="J253" s="35"/>
      <c r="K253" s="35"/>
      <c r="L253" s="35"/>
      <c r="M253" s="35"/>
      <c r="N253" s="35"/>
      <c r="O253" s="35"/>
      <c r="P253" s="35"/>
      <c r="Q253" s="35"/>
      <c r="R253" s="35"/>
      <c r="S253" s="35"/>
      <c r="T253" s="35"/>
      <c r="U253" s="35"/>
      <c r="V253" s="35"/>
      <c r="W253" s="35"/>
      <c r="X253" s="35"/>
      <c r="Y253" s="35"/>
      <c r="Z253" s="35"/>
      <c r="AA253" s="35"/>
    </row>
    <row r="254">
      <c r="A254" s="35"/>
      <c r="B254" s="35"/>
      <c r="C254" s="35"/>
      <c r="D254" s="35"/>
      <c r="E254" s="107"/>
      <c r="F254" s="35"/>
      <c r="G254" s="35"/>
      <c r="H254" s="35"/>
      <c r="I254" s="35"/>
      <c r="J254" s="35"/>
      <c r="K254" s="35"/>
      <c r="L254" s="35"/>
      <c r="M254" s="35"/>
      <c r="N254" s="35"/>
      <c r="O254" s="35"/>
      <c r="P254" s="35"/>
      <c r="Q254" s="35"/>
      <c r="R254" s="35"/>
      <c r="S254" s="35"/>
      <c r="T254" s="35"/>
      <c r="U254" s="35"/>
      <c r="V254" s="35"/>
      <c r="W254" s="35"/>
      <c r="X254" s="35"/>
      <c r="Y254" s="35"/>
      <c r="Z254" s="35"/>
      <c r="AA254" s="35"/>
    </row>
    <row r="255">
      <c r="A255" s="35"/>
      <c r="B255" s="35"/>
      <c r="C255" s="35"/>
      <c r="D255" s="35"/>
      <c r="E255" s="107"/>
      <c r="F255" s="35"/>
      <c r="G255" s="35"/>
      <c r="H255" s="35"/>
      <c r="I255" s="35"/>
      <c r="J255" s="35"/>
      <c r="K255" s="35"/>
      <c r="L255" s="35"/>
      <c r="M255" s="35"/>
      <c r="N255" s="35"/>
      <c r="O255" s="35"/>
      <c r="P255" s="35"/>
      <c r="Q255" s="35"/>
      <c r="R255" s="35"/>
      <c r="S255" s="35"/>
      <c r="T255" s="35"/>
      <c r="U255" s="35"/>
      <c r="V255" s="35"/>
      <c r="W255" s="35"/>
      <c r="X255" s="35"/>
      <c r="Y255" s="35"/>
      <c r="Z255" s="35"/>
      <c r="AA255" s="35"/>
    </row>
    <row r="256">
      <c r="A256" s="35"/>
      <c r="B256" s="35"/>
      <c r="C256" s="35"/>
      <c r="D256" s="35"/>
      <c r="E256" s="107"/>
      <c r="F256" s="35"/>
      <c r="G256" s="35"/>
      <c r="H256" s="35"/>
      <c r="I256" s="35"/>
      <c r="J256" s="35"/>
      <c r="K256" s="35"/>
      <c r="L256" s="35"/>
      <c r="M256" s="35"/>
      <c r="N256" s="35"/>
      <c r="O256" s="35"/>
      <c r="P256" s="35"/>
      <c r="Q256" s="35"/>
      <c r="R256" s="35"/>
      <c r="S256" s="35"/>
      <c r="T256" s="35"/>
      <c r="U256" s="35"/>
      <c r="V256" s="35"/>
      <c r="W256" s="35"/>
      <c r="X256" s="35"/>
      <c r="Y256" s="35"/>
      <c r="Z256" s="35"/>
      <c r="AA256" s="35"/>
    </row>
    <row r="257">
      <c r="A257" s="35"/>
      <c r="B257" s="35"/>
      <c r="C257" s="35"/>
      <c r="D257" s="35"/>
      <c r="E257" s="107"/>
      <c r="F257" s="35"/>
      <c r="G257" s="35"/>
      <c r="H257" s="35"/>
      <c r="I257" s="35"/>
      <c r="J257" s="35"/>
      <c r="K257" s="35"/>
      <c r="L257" s="35"/>
      <c r="M257" s="35"/>
      <c r="N257" s="35"/>
      <c r="O257" s="35"/>
      <c r="P257" s="35"/>
      <c r="Q257" s="35"/>
      <c r="R257" s="35"/>
      <c r="S257" s="35"/>
      <c r="T257" s="35"/>
      <c r="U257" s="35"/>
      <c r="V257" s="35"/>
      <c r="W257" s="35"/>
      <c r="X257" s="35"/>
      <c r="Y257" s="35"/>
      <c r="Z257" s="35"/>
      <c r="AA257" s="35"/>
    </row>
    <row r="258">
      <c r="A258" s="35"/>
      <c r="B258" s="35"/>
      <c r="C258" s="35"/>
      <c r="D258" s="35"/>
      <c r="E258" s="107"/>
      <c r="F258" s="35"/>
      <c r="G258" s="35"/>
      <c r="H258" s="35"/>
      <c r="I258" s="35"/>
      <c r="J258" s="35"/>
      <c r="K258" s="35"/>
      <c r="L258" s="35"/>
      <c r="M258" s="35"/>
      <c r="N258" s="35"/>
      <c r="O258" s="35"/>
      <c r="P258" s="35"/>
      <c r="Q258" s="35"/>
      <c r="R258" s="35"/>
      <c r="S258" s="35"/>
      <c r="T258" s="35"/>
      <c r="U258" s="35"/>
      <c r="V258" s="35"/>
      <c r="W258" s="35"/>
      <c r="X258" s="35"/>
      <c r="Y258" s="35"/>
      <c r="Z258" s="35"/>
      <c r="AA258" s="35"/>
    </row>
    <row r="259">
      <c r="A259" s="35"/>
      <c r="B259" s="35"/>
      <c r="C259" s="35"/>
      <c r="D259" s="35"/>
      <c r="E259" s="107"/>
      <c r="F259" s="35"/>
      <c r="G259" s="35"/>
      <c r="H259" s="35"/>
      <c r="I259" s="35"/>
      <c r="J259" s="35"/>
      <c r="K259" s="35"/>
      <c r="L259" s="35"/>
      <c r="M259" s="35"/>
      <c r="N259" s="35"/>
      <c r="O259" s="35"/>
      <c r="P259" s="35"/>
      <c r="Q259" s="35"/>
      <c r="R259" s="35"/>
      <c r="S259" s="35"/>
      <c r="T259" s="35"/>
      <c r="U259" s="35"/>
      <c r="V259" s="35"/>
      <c r="W259" s="35"/>
      <c r="X259" s="35"/>
      <c r="Y259" s="35"/>
      <c r="Z259" s="35"/>
      <c r="AA259" s="35"/>
    </row>
    <row r="260">
      <c r="A260" s="35"/>
      <c r="B260" s="35"/>
      <c r="C260" s="35"/>
      <c r="D260" s="35"/>
      <c r="E260" s="107"/>
      <c r="F260" s="35"/>
      <c r="G260" s="35"/>
      <c r="H260" s="35"/>
      <c r="I260" s="35"/>
      <c r="J260" s="35"/>
      <c r="K260" s="35"/>
      <c r="L260" s="35"/>
      <c r="M260" s="35"/>
      <c r="N260" s="35"/>
      <c r="O260" s="35"/>
      <c r="P260" s="35"/>
      <c r="Q260" s="35"/>
      <c r="R260" s="35"/>
      <c r="S260" s="35"/>
      <c r="T260" s="35"/>
      <c r="U260" s="35"/>
      <c r="V260" s="35"/>
      <c r="W260" s="35"/>
      <c r="X260" s="35"/>
      <c r="Y260" s="35"/>
      <c r="Z260" s="35"/>
      <c r="AA260" s="35"/>
    </row>
    <row r="261">
      <c r="A261" s="35"/>
      <c r="B261" s="35"/>
      <c r="C261" s="35"/>
      <c r="D261" s="35"/>
      <c r="E261" s="107"/>
      <c r="F261" s="35"/>
      <c r="G261" s="35"/>
      <c r="H261" s="35"/>
      <c r="I261" s="35"/>
      <c r="J261" s="35"/>
      <c r="K261" s="35"/>
      <c r="L261" s="35"/>
      <c r="M261" s="35"/>
      <c r="N261" s="35"/>
      <c r="O261" s="35"/>
      <c r="P261" s="35"/>
      <c r="Q261" s="35"/>
      <c r="R261" s="35"/>
      <c r="S261" s="35"/>
      <c r="T261" s="35"/>
      <c r="U261" s="35"/>
      <c r="V261" s="35"/>
      <c r="W261" s="35"/>
      <c r="X261" s="35"/>
      <c r="Y261" s="35"/>
      <c r="Z261" s="35"/>
      <c r="AA261" s="35"/>
    </row>
    <row r="262">
      <c r="A262" s="35"/>
      <c r="B262" s="35"/>
      <c r="C262" s="35"/>
      <c r="D262" s="35"/>
      <c r="E262" s="107"/>
      <c r="F262" s="35"/>
      <c r="G262" s="35"/>
      <c r="H262" s="35"/>
      <c r="I262" s="35"/>
      <c r="J262" s="35"/>
      <c r="K262" s="35"/>
      <c r="L262" s="35"/>
      <c r="M262" s="35"/>
      <c r="N262" s="35"/>
      <c r="O262" s="35"/>
      <c r="P262" s="35"/>
      <c r="Q262" s="35"/>
      <c r="R262" s="35"/>
      <c r="S262" s="35"/>
      <c r="T262" s="35"/>
      <c r="U262" s="35"/>
      <c r="V262" s="35"/>
      <c r="W262" s="35"/>
      <c r="X262" s="35"/>
      <c r="Y262" s="35"/>
      <c r="Z262" s="35"/>
      <c r="AA262" s="35"/>
    </row>
    <row r="263">
      <c r="A263" s="35"/>
      <c r="B263" s="35"/>
      <c r="C263" s="35"/>
      <c r="D263" s="35"/>
      <c r="E263" s="107"/>
      <c r="F263" s="35"/>
      <c r="G263" s="35"/>
      <c r="H263" s="35"/>
      <c r="I263" s="35"/>
      <c r="J263" s="35"/>
      <c r="K263" s="35"/>
      <c r="L263" s="35"/>
      <c r="M263" s="35"/>
      <c r="N263" s="35"/>
      <c r="O263" s="35"/>
      <c r="P263" s="35"/>
      <c r="Q263" s="35"/>
      <c r="R263" s="35"/>
      <c r="S263" s="35"/>
      <c r="T263" s="35"/>
      <c r="U263" s="35"/>
      <c r="V263" s="35"/>
      <c r="W263" s="35"/>
      <c r="X263" s="35"/>
      <c r="Y263" s="35"/>
      <c r="Z263" s="35"/>
      <c r="AA263" s="35"/>
    </row>
    <row r="264">
      <c r="A264" s="35"/>
      <c r="B264" s="35"/>
      <c r="C264" s="35"/>
      <c r="D264" s="35"/>
      <c r="E264" s="107"/>
      <c r="F264" s="35"/>
      <c r="G264" s="35"/>
      <c r="H264" s="35"/>
      <c r="I264" s="35"/>
      <c r="J264" s="35"/>
      <c r="K264" s="35"/>
      <c r="L264" s="35"/>
      <c r="M264" s="35"/>
      <c r="N264" s="35"/>
      <c r="O264" s="35"/>
      <c r="P264" s="35"/>
      <c r="Q264" s="35"/>
      <c r="R264" s="35"/>
      <c r="S264" s="35"/>
      <c r="T264" s="35"/>
      <c r="U264" s="35"/>
      <c r="V264" s="35"/>
      <c r="W264" s="35"/>
      <c r="X264" s="35"/>
      <c r="Y264" s="35"/>
      <c r="Z264" s="35"/>
      <c r="AA264" s="35"/>
    </row>
    <row r="265">
      <c r="A265" s="35"/>
      <c r="B265" s="35"/>
      <c r="C265" s="35"/>
      <c r="D265" s="35"/>
      <c r="E265" s="107"/>
      <c r="F265" s="35"/>
      <c r="G265" s="35"/>
      <c r="H265" s="35"/>
      <c r="I265" s="35"/>
      <c r="J265" s="35"/>
      <c r="K265" s="35"/>
      <c r="L265" s="35"/>
      <c r="M265" s="35"/>
      <c r="N265" s="35"/>
      <c r="O265" s="35"/>
      <c r="P265" s="35"/>
      <c r="Q265" s="35"/>
      <c r="R265" s="35"/>
      <c r="S265" s="35"/>
      <c r="T265" s="35"/>
      <c r="U265" s="35"/>
      <c r="V265" s="35"/>
      <c r="W265" s="35"/>
      <c r="X265" s="35"/>
      <c r="Y265" s="35"/>
      <c r="Z265" s="35"/>
      <c r="AA265" s="35"/>
    </row>
    <row r="266">
      <c r="A266" s="35"/>
      <c r="B266" s="35"/>
      <c r="C266" s="35"/>
      <c r="D266" s="35"/>
      <c r="E266" s="107"/>
      <c r="F266" s="35"/>
      <c r="G266" s="35"/>
      <c r="H266" s="35"/>
      <c r="I266" s="35"/>
      <c r="J266" s="35"/>
      <c r="K266" s="35"/>
      <c r="L266" s="35"/>
      <c r="M266" s="35"/>
      <c r="N266" s="35"/>
      <c r="O266" s="35"/>
      <c r="P266" s="35"/>
      <c r="Q266" s="35"/>
      <c r="R266" s="35"/>
      <c r="S266" s="35"/>
      <c r="T266" s="35"/>
      <c r="U266" s="35"/>
      <c r="V266" s="35"/>
      <c r="W266" s="35"/>
      <c r="X266" s="35"/>
      <c r="Y266" s="35"/>
      <c r="Z266" s="35"/>
      <c r="AA266" s="35"/>
    </row>
    <row r="267">
      <c r="A267" s="35"/>
      <c r="B267" s="35"/>
      <c r="C267" s="35"/>
      <c r="D267" s="35"/>
      <c r="E267" s="107"/>
      <c r="F267" s="35"/>
      <c r="G267" s="35"/>
      <c r="H267" s="35"/>
      <c r="I267" s="35"/>
      <c r="J267" s="35"/>
      <c r="K267" s="35"/>
      <c r="L267" s="35"/>
      <c r="M267" s="35"/>
      <c r="N267" s="35"/>
      <c r="O267" s="35"/>
      <c r="P267" s="35"/>
      <c r="Q267" s="35"/>
      <c r="R267" s="35"/>
      <c r="S267" s="35"/>
      <c r="T267" s="35"/>
      <c r="U267" s="35"/>
      <c r="V267" s="35"/>
      <c r="W267" s="35"/>
      <c r="X267" s="35"/>
      <c r="Y267" s="35"/>
      <c r="Z267" s="35"/>
      <c r="AA267" s="35"/>
    </row>
    <row r="268">
      <c r="A268" s="35"/>
      <c r="B268" s="35"/>
      <c r="C268" s="35"/>
      <c r="D268" s="35"/>
      <c r="E268" s="107"/>
      <c r="F268" s="35"/>
      <c r="G268" s="35"/>
      <c r="H268" s="35"/>
      <c r="I268" s="35"/>
      <c r="J268" s="35"/>
      <c r="K268" s="35"/>
      <c r="L268" s="35"/>
      <c r="M268" s="35"/>
      <c r="N268" s="35"/>
      <c r="O268" s="35"/>
      <c r="P268" s="35"/>
      <c r="Q268" s="35"/>
      <c r="R268" s="35"/>
      <c r="S268" s="35"/>
      <c r="T268" s="35"/>
      <c r="U268" s="35"/>
      <c r="V268" s="35"/>
      <c r="W268" s="35"/>
      <c r="X268" s="35"/>
      <c r="Y268" s="35"/>
      <c r="Z268" s="35"/>
      <c r="AA268" s="35"/>
    </row>
    <row r="269">
      <c r="A269" s="35"/>
      <c r="B269" s="35"/>
      <c r="C269" s="35"/>
      <c r="D269" s="35"/>
      <c r="E269" s="107"/>
      <c r="F269" s="35"/>
      <c r="G269" s="35"/>
      <c r="H269" s="35"/>
      <c r="I269" s="35"/>
      <c r="J269" s="35"/>
      <c r="K269" s="35"/>
      <c r="L269" s="35"/>
      <c r="M269" s="35"/>
      <c r="N269" s="35"/>
      <c r="O269" s="35"/>
      <c r="P269" s="35"/>
      <c r="Q269" s="35"/>
      <c r="R269" s="35"/>
      <c r="S269" s="35"/>
      <c r="T269" s="35"/>
      <c r="U269" s="35"/>
      <c r="V269" s="35"/>
      <c r="W269" s="35"/>
      <c r="X269" s="35"/>
      <c r="Y269" s="35"/>
      <c r="Z269" s="35"/>
      <c r="AA269" s="35"/>
    </row>
    <row r="270">
      <c r="A270" s="35"/>
      <c r="B270" s="35"/>
      <c r="C270" s="35"/>
      <c r="D270" s="35"/>
      <c r="E270" s="107"/>
      <c r="F270" s="35"/>
      <c r="G270" s="35"/>
      <c r="H270" s="35"/>
      <c r="I270" s="35"/>
      <c r="J270" s="35"/>
      <c r="K270" s="35"/>
      <c r="L270" s="35"/>
      <c r="M270" s="35"/>
      <c r="N270" s="35"/>
      <c r="O270" s="35"/>
      <c r="P270" s="35"/>
      <c r="Q270" s="35"/>
      <c r="R270" s="35"/>
      <c r="S270" s="35"/>
      <c r="T270" s="35"/>
      <c r="U270" s="35"/>
      <c r="V270" s="35"/>
      <c r="W270" s="35"/>
      <c r="X270" s="35"/>
      <c r="Y270" s="35"/>
      <c r="Z270" s="35"/>
      <c r="AA270" s="35"/>
    </row>
    <row r="271">
      <c r="A271" s="35"/>
      <c r="B271" s="35"/>
      <c r="C271" s="35"/>
      <c r="D271" s="35"/>
      <c r="E271" s="107"/>
      <c r="F271" s="35"/>
      <c r="G271" s="35"/>
      <c r="H271" s="35"/>
      <c r="I271" s="35"/>
      <c r="J271" s="35"/>
      <c r="K271" s="35"/>
      <c r="L271" s="35"/>
      <c r="M271" s="35"/>
      <c r="N271" s="35"/>
      <c r="O271" s="35"/>
      <c r="P271" s="35"/>
      <c r="Q271" s="35"/>
      <c r="R271" s="35"/>
      <c r="S271" s="35"/>
      <c r="T271" s="35"/>
      <c r="U271" s="35"/>
      <c r="V271" s="35"/>
      <c r="W271" s="35"/>
      <c r="X271" s="35"/>
      <c r="Y271" s="35"/>
      <c r="Z271" s="35"/>
      <c r="AA271" s="35"/>
    </row>
    <row r="272">
      <c r="A272" s="35"/>
      <c r="B272" s="35"/>
      <c r="C272" s="35"/>
      <c r="D272" s="35"/>
      <c r="E272" s="107"/>
      <c r="F272" s="35"/>
      <c r="G272" s="35"/>
      <c r="H272" s="35"/>
      <c r="I272" s="35"/>
      <c r="J272" s="35"/>
      <c r="K272" s="35"/>
      <c r="L272" s="35"/>
      <c r="M272" s="35"/>
      <c r="N272" s="35"/>
      <c r="O272" s="35"/>
      <c r="P272" s="35"/>
      <c r="Q272" s="35"/>
      <c r="R272" s="35"/>
      <c r="S272" s="35"/>
      <c r="T272" s="35"/>
      <c r="U272" s="35"/>
      <c r="V272" s="35"/>
      <c r="W272" s="35"/>
      <c r="X272" s="35"/>
      <c r="Y272" s="35"/>
      <c r="Z272" s="35"/>
      <c r="AA272" s="35"/>
    </row>
    <row r="273">
      <c r="A273" s="35"/>
      <c r="B273" s="35"/>
      <c r="C273" s="35"/>
      <c r="D273" s="35"/>
      <c r="E273" s="107"/>
      <c r="F273" s="35"/>
      <c r="G273" s="35"/>
      <c r="H273" s="35"/>
      <c r="I273" s="35"/>
      <c r="J273" s="35"/>
      <c r="K273" s="35"/>
      <c r="L273" s="35"/>
      <c r="M273" s="35"/>
      <c r="N273" s="35"/>
      <c r="O273" s="35"/>
      <c r="P273" s="35"/>
      <c r="Q273" s="35"/>
      <c r="R273" s="35"/>
      <c r="S273" s="35"/>
      <c r="T273" s="35"/>
      <c r="U273" s="35"/>
      <c r="V273" s="35"/>
      <c r="W273" s="35"/>
      <c r="X273" s="35"/>
      <c r="Y273" s="35"/>
      <c r="Z273" s="35"/>
      <c r="AA273" s="35"/>
    </row>
    <row r="274">
      <c r="A274" s="35"/>
      <c r="B274" s="35"/>
      <c r="C274" s="35"/>
      <c r="D274" s="35"/>
      <c r="E274" s="107"/>
      <c r="F274" s="35"/>
      <c r="G274" s="35"/>
      <c r="H274" s="35"/>
      <c r="I274" s="35"/>
      <c r="J274" s="35"/>
      <c r="K274" s="35"/>
      <c r="L274" s="35"/>
      <c r="M274" s="35"/>
      <c r="N274" s="35"/>
      <c r="O274" s="35"/>
      <c r="P274" s="35"/>
      <c r="Q274" s="35"/>
      <c r="R274" s="35"/>
      <c r="S274" s="35"/>
      <c r="T274" s="35"/>
      <c r="U274" s="35"/>
      <c r="V274" s="35"/>
      <c r="W274" s="35"/>
      <c r="X274" s="35"/>
      <c r="Y274" s="35"/>
      <c r="Z274" s="35"/>
      <c r="AA274" s="35"/>
    </row>
    <row r="275">
      <c r="A275" s="35"/>
      <c r="B275" s="35"/>
      <c r="C275" s="35"/>
      <c r="D275" s="35"/>
      <c r="E275" s="107"/>
      <c r="F275" s="35"/>
      <c r="G275" s="35"/>
      <c r="H275" s="35"/>
      <c r="I275" s="35"/>
      <c r="J275" s="35"/>
      <c r="K275" s="35"/>
      <c r="L275" s="35"/>
      <c r="M275" s="35"/>
      <c r="N275" s="35"/>
      <c r="O275" s="35"/>
      <c r="P275" s="35"/>
      <c r="Q275" s="35"/>
      <c r="R275" s="35"/>
      <c r="S275" s="35"/>
      <c r="T275" s="35"/>
      <c r="U275" s="35"/>
      <c r="V275" s="35"/>
      <c r="W275" s="35"/>
      <c r="X275" s="35"/>
      <c r="Y275" s="35"/>
      <c r="Z275" s="35"/>
      <c r="AA275" s="35"/>
    </row>
    <row r="276">
      <c r="A276" s="35"/>
      <c r="B276" s="35"/>
      <c r="C276" s="35"/>
      <c r="D276" s="35"/>
      <c r="E276" s="107"/>
      <c r="F276" s="35"/>
      <c r="G276" s="35"/>
      <c r="H276" s="35"/>
      <c r="I276" s="35"/>
      <c r="J276" s="35"/>
      <c r="K276" s="35"/>
      <c r="L276" s="35"/>
      <c r="M276" s="35"/>
      <c r="N276" s="35"/>
      <c r="O276" s="35"/>
      <c r="P276" s="35"/>
      <c r="Q276" s="35"/>
      <c r="R276" s="35"/>
      <c r="S276" s="35"/>
      <c r="T276" s="35"/>
      <c r="U276" s="35"/>
      <c r="V276" s="35"/>
      <c r="W276" s="35"/>
      <c r="X276" s="35"/>
      <c r="Y276" s="35"/>
      <c r="Z276" s="35"/>
      <c r="AA276" s="35"/>
    </row>
    <row r="277">
      <c r="A277" s="35"/>
      <c r="B277" s="35"/>
      <c r="C277" s="35"/>
      <c r="D277" s="35"/>
      <c r="E277" s="107"/>
      <c r="F277" s="35"/>
      <c r="G277" s="35"/>
      <c r="H277" s="35"/>
      <c r="I277" s="35"/>
      <c r="J277" s="35"/>
      <c r="K277" s="35"/>
      <c r="L277" s="35"/>
      <c r="M277" s="35"/>
      <c r="N277" s="35"/>
      <c r="O277" s="35"/>
      <c r="P277" s="35"/>
      <c r="Q277" s="35"/>
      <c r="R277" s="35"/>
      <c r="S277" s="35"/>
      <c r="T277" s="35"/>
      <c r="U277" s="35"/>
      <c r="V277" s="35"/>
      <c r="W277" s="35"/>
      <c r="X277" s="35"/>
      <c r="Y277" s="35"/>
      <c r="Z277" s="35"/>
      <c r="AA277" s="35"/>
    </row>
    <row r="278">
      <c r="A278" s="35"/>
      <c r="B278" s="35"/>
      <c r="C278" s="35"/>
      <c r="D278" s="35"/>
      <c r="E278" s="107"/>
      <c r="F278" s="35"/>
      <c r="G278" s="35"/>
      <c r="H278" s="35"/>
      <c r="I278" s="35"/>
      <c r="J278" s="35"/>
      <c r="K278" s="35"/>
      <c r="L278" s="35"/>
      <c r="M278" s="35"/>
      <c r="N278" s="35"/>
      <c r="O278" s="35"/>
      <c r="P278" s="35"/>
      <c r="Q278" s="35"/>
      <c r="R278" s="35"/>
      <c r="S278" s="35"/>
      <c r="T278" s="35"/>
      <c r="U278" s="35"/>
      <c r="V278" s="35"/>
      <c r="W278" s="35"/>
      <c r="X278" s="35"/>
      <c r="Y278" s="35"/>
      <c r="Z278" s="35"/>
      <c r="AA278" s="35"/>
    </row>
    <row r="279">
      <c r="A279" s="35"/>
      <c r="B279" s="35"/>
      <c r="C279" s="35"/>
      <c r="D279" s="35"/>
      <c r="E279" s="107"/>
      <c r="F279" s="35"/>
      <c r="G279" s="35"/>
      <c r="H279" s="35"/>
      <c r="I279" s="35"/>
      <c r="J279" s="35"/>
      <c r="K279" s="35"/>
      <c r="L279" s="35"/>
      <c r="M279" s="35"/>
      <c r="N279" s="35"/>
      <c r="O279" s="35"/>
      <c r="P279" s="35"/>
      <c r="Q279" s="35"/>
      <c r="R279" s="35"/>
      <c r="S279" s="35"/>
      <c r="T279" s="35"/>
      <c r="U279" s="35"/>
      <c r="V279" s="35"/>
      <c r="W279" s="35"/>
      <c r="X279" s="35"/>
      <c r="Y279" s="35"/>
      <c r="Z279" s="35"/>
      <c r="AA279" s="35"/>
    </row>
    <row r="280">
      <c r="A280" s="35"/>
      <c r="B280" s="35"/>
      <c r="C280" s="35"/>
      <c r="D280" s="35"/>
      <c r="E280" s="107"/>
      <c r="F280" s="35"/>
      <c r="G280" s="35"/>
      <c r="H280" s="35"/>
      <c r="I280" s="35"/>
      <c r="J280" s="35"/>
      <c r="K280" s="35"/>
      <c r="L280" s="35"/>
      <c r="M280" s="35"/>
      <c r="N280" s="35"/>
      <c r="O280" s="35"/>
      <c r="P280" s="35"/>
      <c r="Q280" s="35"/>
      <c r="R280" s="35"/>
      <c r="S280" s="35"/>
      <c r="T280" s="35"/>
      <c r="U280" s="35"/>
      <c r="V280" s="35"/>
      <c r="W280" s="35"/>
      <c r="X280" s="35"/>
      <c r="Y280" s="35"/>
      <c r="Z280" s="35"/>
      <c r="AA280" s="35"/>
    </row>
    <row r="281">
      <c r="A281" s="35"/>
      <c r="B281" s="35"/>
      <c r="C281" s="35"/>
      <c r="D281" s="35"/>
      <c r="E281" s="107"/>
      <c r="F281" s="35"/>
      <c r="G281" s="35"/>
      <c r="H281" s="35"/>
      <c r="I281" s="35"/>
      <c r="J281" s="35"/>
      <c r="K281" s="35"/>
      <c r="L281" s="35"/>
      <c r="M281" s="35"/>
      <c r="N281" s="35"/>
      <c r="O281" s="35"/>
      <c r="P281" s="35"/>
      <c r="Q281" s="35"/>
      <c r="R281" s="35"/>
      <c r="S281" s="35"/>
      <c r="T281" s="35"/>
      <c r="U281" s="35"/>
      <c r="V281" s="35"/>
      <c r="W281" s="35"/>
      <c r="X281" s="35"/>
      <c r="Y281" s="35"/>
      <c r="Z281" s="35"/>
      <c r="AA281" s="35"/>
    </row>
    <row r="282">
      <c r="A282" s="35"/>
      <c r="B282" s="35"/>
      <c r="C282" s="35"/>
      <c r="D282" s="35"/>
      <c r="E282" s="107"/>
      <c r="F282" s="35"/>
      <c r="G282" s="35"/>
      <c r="H282" s="35"/>
      <c r="I282" s="35"/>
      <c r="J282" s="35"/>
      <c r="K282" s="35"/>
      <c r="L282" s="35"/>
      <c r="M282" s="35"/>
      <c r="N282" s="35"/>
      <c r="O282" s="35"/>
      <c r="P282" s="35"/>
      <c r="Q282" s="35"/>
      <c r="R282" s="35"/>
      <c r="S282" s="35"/>
      <c r="T282" s="35"/>
      <c r="U282" s="35"/>
      <c r="V282" s="35"/>
      <c r="W282" s="35"/>
      <c r="X282" s="35"/>
      <c r="Y282" s="35"/>
      <c r="Z282" s="35"/>
      <c r="AA282" s="35"/>
    </row>
    <row r="283">
      <c r="A283" s="35"/>
      <c r="B283" s="35"/>
      <c r="C283" s="35"/>
      <c r="D283" s="35"/>
      <c r="E283" s="107"/>
      <c r="F283" s="35"/>
      <c r="G283" s="35"/>
      <c r="H283" s="35"/>
      <c r="I283" s="35"/>
      <c r="J283" s="35"/>
      <c r="K283" s="35"/>
      <c r="L283" s="35"/>
      <c r="M283" s="35"/>
      <c r="N283" s="35"/>
      <c r="O283" s="35"/>
      <c r="P283" s="35"/>
      <c r="Q283" s="35"/>
      <c r="R283" s="35"/>
      <c r="S283" s="35"/>
      <c r="T283" s="35"/>
      <c r="U283" s="35"/>
      <c r="V283" s="35"/>
      <c r="W283" s="35"/>
      <c r="X283" s="35"/>
      <c r="Y283" s="35"/>
      <c r="Z283" s="35"/>
      <c r="AA283" s="35"/>
    </row>
    <row r="284">
      <c r="A284" s="35"/>
      <c r="B284" s="35"/>
      <c r="C284" s="35"/>
      <c r="D284" s="35"/>
      <c r="E284" s="107"/>
      <c r="F284" s="35"/>
      <c r="G284" s="35"/>
      <c r="H284" s="35"/>
      <c r="I284" s="35"/>
      <c r="J284" s="35"/>
      <c r="K284" s="35"/>
      <c r="L284" s="35"/>
      <c r="M284" s="35"/>
      <c r="N284" s="35"/>
      <c r="O284" s="35"/>
      <c r="P284" s="35"/>
      <c r="Q284" s="35"/>
      <c r="R284" s="35"/>
      <c r="S284" s="35"/>
      <c r="T284" s="35"/>
      <c r="U284" s="35"/>
      <c r="V284" s="35"/>
      <c r="W284" s="35"/>
      <c r="X284" s="35"/>
      <c r="Y284" s="35"/>
      <c r="Z284" s="35"/>
      <c r="AA284" s="35"/>
    </row>
    <row r="285">
      <c r="A285" s="35"/>
      <c r="B285" s="35"/>
      <c r="C285" s="35"/>
      <c r="D285" s="35"/>
      <c r="E285" s="107"/>
      <c r="F285" s="35"/>
      <c r="G285" s="35"/>
      <c r="H285" s="35"/>
      <c r="I285" s="35"/>
      <c r="J285" s="35"/>
      <c r="K285" s="35"/>
      <c r="L285" s="35"/>
      <c r="M285" s="35"/>
      <c r="N285" s="35"/>
      <c r="O285" s="35"/>
      <c r="P285" s="35"/>
      <c r="Q285" s="35"/>
      <c r="R285" s="35"/>
      <c r="S285" s="35"/>
      <c r="T285" s="35"/>
      <c r="U285" s="35"/>
      <c r="V285" s="35"/>
      <c r="W285" s="35"/>
      <c r="X285" s="35"/>
      <c r="Y285" s="35"/>
      <c r="Z285" s="35"/>
      <c r="AA285" s="35"/>
    </row>
    <row r="286">
      <c r="A286" s="35"/>
      <c r="B286" s="35"/>
      <c r="C286" s="35"/>
      <c r="D286" s="35"/>
      <c r="E286" s="107"/>
      <c r="F286" s="35"/>
      <c r="G286" s="35"/>
      <c r="H286" s="35"/>
      <c r="I286" s="35"/>
      <c r="J286" s="35"/>
      <c r="K286" s="35"/>
      <c r="L286" s="35"/>
      <c r="M286" s="35"/>
      <c r="N286" s="35"/>
      <c r="O286" s="35"/>
      <c r="P286" s="35"/>
      <c r="Q286" s="35"/>
      <c r="R286" s="35"/>
      <c r="S286" s="35"/>
      <c r="T286" s="35"/>
      <c r="U286" s="35"/>
      <c r="V286" s="35"/>
      <c r="W286" s="35"/>
      <c r="X286" s="35"/>
      <c r="Y286" s="35"/>
      <c r="Z286" s="35"/>
      <c r="AA286" s="35"/>
    </row>
    <row r="287">
      <c r="A287" s="35"/>
      <c r="B287" s="35"/>
      <c r="C287" s="35"/>
      <c r="D287" s="35"/>
      <c r="E287" s="107"/>
      <c r="F287" s="35"/>
      <c r="G287" s="35"/>
      <c r="H287" s="35"/>
      <c r="I287" s="35"/>
      <c r="J287" s="35"/>
      <c r="K287" s="35"/>
      <c r="L287" s="35"/>
      <c r="M287" s="35"/>
      <c r="N287" s="35"/>
      <c r="O287" s="35"/>
      <c r="P287" s="35"/>
      <c r="Q287" s="35"/>
      <c r="R287" s="35"/>
      <c r="S287" s="35"/>
      <c r="T287" s="35"/>
      <c r="U287" s="35"/>
      <c r="V287" s="35"/>
      <c r="W287" s="35"/>
      <c r="X287" s="35"/>
      <c r="Y287" s="35"/>
      <c r="Z287" s="35"/>
      <c r="AA287" s="35"/>
    </row>
    <row r="288">
      <c r="A288" s="35"/>
      <c r="B288" s="35"/>
      <c r="C288" s="35"/>
      <c r="D288" s="35"/>
      <c r="E288" s="107"/>
      <c r="F288" s="35"/>
      <c r="G288" s="35"/>
      <c r="H288" s="35"/>
      <c r="I288" s="35"/>
      <c r="J288" s="35"/>
      <c r="K288" s="35"/>
      <c r="L288" s="35"/>
      <c r="M288" s="35"/>
      <c r="N288" s="35"/>
      <c r="O288" s="35"/>
      <c r="P288" s="35"/>
      <c r="Q288" s="35"/>
      <c r="R288" s="35"/>
      <c r="S288" s="35"/>
      <c r="T288" s="35"/>
      <c r="U288" s="35"/>
      <c r="V288" s="35"/>
      <c r="W288" s="35"/>
      <c r="X288" s="35"/>
      <c r="Y288" s="35"/>
      <c r="Z288" s="35"/>
      <c r="AA288" s="35"/>
    </row>
    <row r="289">
      <c r="A289" s="35"/>
      <c r="B289" s="35"/>
      <c r="C289" s="35"/>
      <c r="D289" s="35"/>
      <c r="E289" s="107"/>
      <c r="F289" s="35"/>
      <c r="G289" s="35"/>
      <c r="H289" s="35"/>
      <c r="I289" s="35"/>
      <c r="J289" s="35"/>
      <c r="K289" s="35"/>
      <c r="L289" s="35"/>
      <c r="M289" s="35"/>
      <c r="N289" s="35"/>
      <c r="O289" s="35"/>
      <c r="P289" s="35"/>
      <c r="Q289" s="35"/>
      <c r="R289" s="35"/>
      <c r="S289" s="35"/>
      <c r="T289" s="35"/>
      <c r="U289" s="35"/>
      <c r="V289" s="35"/>
      <c r="W289" s="35"/>
      <c r="X289" s="35"/>
      <c r="Y289" s="35"/>
      <c r="Z289" s="35"/>
      <c r="AA289" s="35"/>
    </row>
    <row r="290">
      <c r="A290" s="35"/>
      <c r="B290" s="35"/>
      <c r="C290" s="35"/>
      <c r="D290" s="35"/>
      <c r="E290" s="107"/>
      <c r="F290" s="35"/>
      <c r="G290" s="35"/>
      <c r="H290" s="35"/>
      <c r="I290" s="35"/>
      <c r="J290" s="35"/>
      <c r="K290" s="35"/>
      <c r="L290" s="35"/>
      <c r="M290" s="35"/>
      <c r="N290" s="35"/>
      <c r="O290" s="35"/>
      <c r="P290" s="35"/>
      <c r="Q290" s="35"/>
      <c r="R290" s="35"/>
      <c r="S290" s="35"/>
      <c r="T290" s="35"/>
      <c r="U290" s="35"/>
      <c r="V290" s="35"/>
      <c r="W290" s="35"/>
      <c r="X290" s="35"/>
      <c r="Y290" s="35"/>
      <c r="Z290" s="35"/>
      <c r="AA290" s="35"/>
    </row>
    <row r="291">
      <c r="A291" s="35"/>
      <c r="B291" s="35"/>
      <c r="C291" s="35"/>
      <c r="D291" s="35"/>
      <c r="E291" s="107"/>
      <c r="F291" s="35"/>
      <c r="G291" s="35"/>
      <c r="H291" s="35"/>
      <c r="I291" s="35"/>
      <c r="J291" s="35"/>
      <c r="K291" s="35"/>
      <c r="L291" s="35"/>
      <c r="M291" s="35"/>
      <c r="N291" s="35"/>
      <c r="O291" s="35"/>
      <c r="P291" s="35"/>
      <c r="Q291" s="35"/>
      <c r="R291" s="35"/>
      <c r="S291" s="35"/>
      <c r="T291" s="35"/>
      <c r="U291" s="35"/>
      <c r="V291" s="35"/>
      <c r="W291" s="35"/>
      <c r="X291" s="35"/>
      <c r="Y291" s="35"/>
      <c r="Z291" s="35"/>
      <c r="AA291" s="35"/>
    </row>
    <row r="292">
      <c r="A292" s="35"/>
      <c r="B292" s="35"/>
      <c r="C292" s="35"/>
      <c r="D292" s="35"/>
      <c r="E292" s="107"/>
      <c r="F292" s="35"/>
      <c r="G292" s="35"/>
      <c r="H292" s="35"/>
      <c r="I292" s="35"/>
      <c r="J292" s="35"/>
      <c r="K292" s="35"/>
      <c r="L292" s="35"/>
      <c r="M292" s="35"/>
      <c r="N292" s="35"/>
      <c r="O292" s="35"/>
      <c r="P292" s="35"/>
      <c r="Q292" s="35"/>
      <c r="R292" s="35"/>
      <c r="S292" s="35"/>
      <c r="T292" s="35"/>
      <c r="U292" s="35"/>
      <c r="V292" s="35"/>
      <c r="W292" s="35"/>
      <c r="X292" s="35"/>
      <c r="Y292" s="35"/>
      <c r="Z292" s="35"/>
      <c r="AA292" s="35"/>
    </row>
    <row r="293">
      <c r="A293" s="35"/>
      <c r="B293" s="35"/>
      <c r="C293" s="35"/>
      <c r="D293" s="35"/>
      <c r="E293" s="107"/>
      <c r="F293" s="35"/>
      <c r="G293" s="35"/>
      <c r="H293" s="35"/>
      <c r="I293" s="35"/>
      <c r="J293" s="35"/>
      <c r="K293" s="35"/>
      <c r="L293" s="35"/>
      <c r="M293" s="35"/>
      <c r="N293" s="35"/>
      <c r="O293" s="35"/>
      <c r="P293" s="35"/>
      <c r="Q293" s="35"/>
      <c r="R293" s="35"/>
      <c r="S293" s="35"/>
      <c r="T293" s="35"/>
      <c r="U293" s="35"/>
      <c r="V293" s="35"/>
      <c r="W293" s="35"/>
      <c r="X293" s="35"/>
      <c r="Y293" s="35"/>
      <c r="Z293" s="35"/>
      <c r="AA293" s="35"/>
    </row>
    <row r="294">
      <c r="A294" s="35"/>
      <c r="B294" s="35"/>
      <c r="C294" s="35"/>
      <c r="D294" s="35"/>
      <c r="E294" s="107"/>
      <c r="F294" s="35"/>
      <c r="G294" s="35"/>
      <c r="H294" s="35"/>
      <c r="I294" s="35"/>
      <c r="J294" s="35"/>
      <c r="K294" s="35"/>
      <c r="L294" s="35"/>
      <c r="M294" s="35"/>
      <c r="N294" s="35"/>
      <c r="O294" s="35"/>
      <c r="P294" s="35"/>
      <c r="Q294" s="35"/>
      <c r="R294" s="35"/>
      <c r="S294" s="35"/>
      <c r="T294" s="35"/>
      <c r="U294" s="35"/>
      <c r="V294" s="35"/>
      <c r="W294" s="35"/>
      <c r="X294" s="35"/>
      <c r="Y294" s="35"/>
      <c r="Z294" s="35"/>
      <c r="AA294" s="35"/>
    </row>
    <row r="295">
      <c r="A295" s="35"/>
      <c r="B295" s="35"/>
      <c r="C295" s="35"/>
      <c r="D295" s="35"/>
      <c r="E295" s="107"/>
      <c r="F295" s="35"/>
      <c r="G295" s="35"/>
      <c r="H295" s="35"/>
      <c r="I295" s="35"/>
      <c r="J295" s="35"/>
      <c r="K295" s="35"/>
      <c r="L295" s="35"/>
      <c r="M295" s="35"/>
      <c r="N295" s="35"/>
      <c r="O295" s="35"/>
      <c r="P295" s="35"/>
      <c r="Q295" s="35"/>
      <c r="R295" s="35"/>
      <c r="S295" s="35"/>
      <c r="T295" s="35"/>
      <c r="U295" s="35"/>
      <c r="V295" s="35"/>
      <c r="W295" s="35"/>
      <c r="X295" s="35"/>
      <c r="Y295" s="35"/>
      <c r="Z295" s="35"/>
      <c r="AA295" s="35"/>
    </row>
    <row r="296">
      <c r="A296" s="35"/>
      <c r="B296" s="35"/>
      <c r="C296" s="35"/>
      <c r="D296" s="35"/>
      <c r="E296" s="107"/>
      <c r="F296" s="35"/>
      <c r="G296" s="35"/>
      <c r="H296" s="35"/>
      <c r="I296" s="35"/>
      <c r="J296" s="35"/>
      <c r="K296" s="35"/>
      <c r="L296" s="35"/>
      <c r="M296" s="35"/>
      <c r="N296" s="35"/>
      <c r="O296" s="35"/>
      <c r="P296" s="35"/>
      <c r="Q296" s="35"/>
      <c r="R296" s="35"/>
      <c r="S296" s="35"/>
      <c r="T296" s="35"/>
      <c r="U296" s="35"/>
      <c r="V296" s="35"/>
      <c r="W296" s="35"/>
      <c r="X296" s="35"/>
      <c r="Y296" s="35"/>
      <c r="Z296" s="35"/>
      <c r="AA296" s="35"/>
    </row>
    <row r="297">
      <c r="A297" s="35"/>
      <c r="B297" s="35"/>
      <c r="C297" s="35"/>
      <c r="D297" s="35"/>
      <c r="E297" s="107"/>
      <c r="F297" s="35"/>
      <c r="G297" s="35"/>
      <c r="H297" s="35"/>
      <c r="I297" s="35"/>
      <c r="J297" s="35"/>
      <c r="K297" s="35"/>
      <c r="L297" s="35"/>
      <c r="M297" s="35"/>
      <c r="N297" s="35"/>
      <c r="O297" s="35"/>
      <c r="P297" s="35"/>
      <c r="Q297" s="35"/>
      <c r="R297" s="35"/>
      <c r="S297" s="35"/>
      <c r="T297" s="35"/>
      <c r="U297" s="35"/>
      <c r="V297" s="35"/>
      <c r="W297" s="35"/>
      <c r="X297" s="35"/>
      <c r="Y297" s="35"/>
      <c r="Z297" s="35"/>
      <c r="AA297" s="35"/>
    </row>
    <row r="298">
      <c r="A298" s="35"/>
      <c r="B298" s="35"/>
      <c r="C298" s="35"/>
      <c r="D298" s="35"/>
      <c r="E298" s="107"/>
      <c r="F298" s="35"/>
      <c r="G298" s="35"/>
      <c r="H298" s="35"/>
      <c r="I298" s="35"/>
      <c r="J298" s="35"/>
      <c r="K298" s="35"/>
      <c r="L298" s="35"/>
      <c r="M298" s="35"/>
      <c r="N298" s="35"/>
      <c r="O298" s="35"/>
      <c r="P298" s="35"/>
      <c r="Q298" s="35"/>
      <c r="R298" s="35"/>
      <c r="S298" s="35"/>
      <c r="T298" s="35"/>
      <c r="U298" s="35"/>
      <c r="V298" s="35"/>
      <c r="W298" s="35"/>
      <c r="X298" s="35"/>
      <c r="Y298" s="35"/>
      <c r="Z298" s="35"/>
      <c r="AA298" s="35"/>
    </row>
    <row r="299">
      <c r="A299" s="35"/>
      <c r="B299" s="35"/>
      <c r="C299" s="35"/>
      <c r="D299" s="35"/>
      <c r="E299" s="107"/>
      <c r="F299" s="35"/>
      <c r="G299" s="35"/>
      <c r="H299" s="35"/>
      <c r="I299" s="35"/>
      <c r="J299" s="35"/>
      <c r="K299" s="35"/>
      <c r="L299" s="35"/>
      <c r="M299" s="35"/>
      <c r="N299" s="35"/>
      <c r="O299" s="35"/>
      <c r="P299" s="35"/>
      <c r="Q299" s="35"/>
      <c r="R299" s="35"/>
      <c r="S299" s="35"/>
      <c r="T299" s="35"/>
      <c r="U299" s="35"/>
      <c r="V299" s="35"/>
      <c r="W299" s="35"/>
      <c r="X299" s="35"/>
      <c r="Y299" s="35"/>
      <c r="Z299" s="35"/>
      <c r="AA299" s="35"/>
    </row>
    <row r="300">
      <c r="A300" s="35"/>
      <c r="B300" s="35"/>
      <c r="C300" s="35"/>
      <c r="D300" s="35"/>
      <c r="E300" s="107"/>
      <c r="F300" s="35"/>
      <c r="G300" s="35"/>
      <c r="H300" s="35"/>
      <c r="I300" s="35"/>
      <c r="J300" s="35"/>
      <c r="K300" s="35"/>
      <c r="L300" s="35"/>
      <c r="M300" s="35"/>
      <c r="N300" s="35"/>
      <c r="O300" s="35"/>
      <c r="P300" s="35"/>
      <c r="Q300" s="35"/>
      <c r="R300" s="35"/>
      <c r="S300" s="35"/>
      <c r="T300" s="35"/>
      <c r="U300" s="35"/>
      <c r="V300" s="35"/>
      <c r="W300" s="35"/>
      <c r="X300" s="35"/>
      <c r="Y300" s="35"/>
      <c r="Z300" s="35"/>
      <c r="AA300" s="35"/>
    </row>
    <row r="301">
      <c r="A301" s="35"/>
      <c r="B301" s="35"/>
      <c r="C301" s="35"/>
      <c r="D301" s="35"/>
      <c r="E301" s="107"/>
      <c r="F301" s="35"/>
      <c r="G301" s="35"/>
      <c r="H301" s="35"/>
      <c r="I301" s="35"/>
      <c r="J301" s="35"/>
      <c r="K301" s="35"/>
      <c r="L301" s="35"/>
      <c r="M301" s="35"/>
      <c r="N301" s="35"/>
      <c r="O301" s="35"/>
      <c r="P301" s="35"/>
      <c r="Q301" s="35"/>
      <c r="R301" s="35"/>
      <c r="S301" s="35"/>
      <c r="T301" s="35"/>
      <c r="U301" s="35"/>
      <c r="V301" s="35"/>
      <c r="W301" s="35"/>
      <c r="X301" s="35"/>
      <c r="Y301" s="35"/>
      <c r="Z301" s="35"/>
      <c r="AA301" s="35"/>
    </row>
    <row r="302">
      <c r="A302" s="35"/>
      <c r="B302" s="35"/>
      <c r="C302" s="35"/>
      <c r="D302" s="35"/>
      <c r="E302" s="107"/>
      <c r="F302" s="35"/>
      <c r="G302" s="35"/>
      <c r="H302" s="35"/>
      <c r="I302" s="35"/>
      <c r="J302" s="35"/>
      <c r="K302" s="35"/>
      <c r="L302" s="35"/>
      <c r="M302" s="35"/>
      <c r="N302" s="35"/>
      <c r="O302" s="35"/>
      <c r="P302" s="35"/>
      <c r="Q302" s="35"/>
      <c r="R302" s="35"/>
      <c r="S302" s="35"/>
      <c r="T302" s="35"/>
      <c r="U302" s="35"/>
      <c r="V302" s="35"/>
      <c r="W302" s="35"/>
      <c r="X302" s="35"/>
      <c r="Y302" s="35"/>
      <c r="Z302" s="35"/>
      <c r="AA302" s="35"/>
    </row>
    <row r="303">
      <c r="A303" s="35"/>
      <c r="B303" s="35"/>
      <c r="C303" s="35"/>
      <c r="D303" s="35"/>
      <c r="E303" s="107"/>
      <c r="F303" s="35"/>
      <c r="G303" s="35"/>
      <c r="H303" s="35"/>
      <c r="I303" s="35"/>
      <c r="J303" s="35"/>
      <c r="K303" s="35"/>
      <c r="L303" s="35"/>
      <c r="M303" s="35"/>
      <c r="N303" s="35"/>
      <c r="O303" s="35"/>
      <c r="P303" s="35"/>
      <c r="Q303" s="35"/>
      <c r="R303" s="35"/>
      <c r="S303" s="35"/>
      <c r="T303" s="35"/>
      <c r="U303" s="35"/>
      <c r="V303" s="35"/>
      <c r="W303" s="35"/>
      <c r="X303" s="35"/>
      <c r="Y303" s="35"/>
      <c r="Z303" s="35"/>
      <c r="AA303" s="35"/>
    </row>
    <row r="304">
      <c r="A304" s="35"/>
      <c r="B304" s="35"/>
      <c r="C304" s="35"/>
      <c r="D304" s="35"/>
      <c r="E304" s="107"/>
      <c r="F304" s="35"/>
      <c r="G304" s="35"/>
      <c r="H304" s="35"/>
      <c r="I304" s="35"/>
      <c r="J304" s="35"/>
      <c r="K304" s="35"/>
      <c r="L304" s="35"/>
      <c r="M304" s="35"/>
      <c r="N304" s="35"/>
      <c r="O304" s="35"/>
      <c r="P304" s="35"/>
      <c r="Q304" s="35"/>
      <c r="R304" s="35"/>
      <c r="S304" s="35"/>
      <c r="T304" s="35"/>
      <c r="U304" s="35"/>
      <c r="V304" s="35"/>
      <c r="W304" s="35"/>
      <c r="X304" s="35"/>
      <c r="Y304" s="35"/>
      <c r="Z304" s="35"/>
      <c r="AA304" s="35"/>
    </row>
    <row r="305">
      <c r="A305" s="35"/>
      <c r="B305" s="35"/>
      <c r="C305" s="35"/>
      <c r="D305" s="35"/>
      <c r="E305" s="107"/>
      <c r="F305" s="35"/>
      <c r="G305" s="35"/>
      <c r="H305" s="35"/>
      <c r="I305" s="35"/>
      <c r="J305" s="35"/>
      <c r="K305" s="35"/>
      <c r="L305" s="35"/>
      <c r="M305" s="35"/>
      <c r="N305" s="35"/>
      <c r="O305" s="35"/>
      <c r="P305" s="35"/>
      <c r="Q305" s="35"/>
      <c r="R305" s="35"/>
      <c r="S305" s="35"/>
      <c r="T305" s="35"/>
      <c r="U305" s="35"/>
      <c r="V305" s="35"/>
      <c r="W305" s="35"/>
      <c r="X305" s="35"/>
      <c r="Y305" s="35"/>
      <c r="Z305" s="35"/>
      <c r="AA305" s="35"/>
    </row>
    <row r="306">
      <c r="A306" s="35"/>
      <c r="B306" s="35"/>
      <c r="C306" s="35"/>
      <c r="D306" s="35"/>
      <c r="E306" s="107"/>
      <c r="F306" s="35"/>
      <c r="G306" s="35"/>
      <c r="H306" s="35"/>
      <c r="I306" s="35"/>
      <c r="J306" s="35"/>
      <c r="K306" s="35"/>
      <c r="L306" s="35"/>
      <c r="M306" s="35"/>
      <c r="N306" s="35"/>
      <c r="O306" s="35"/>
      <c r="P306" s="35"/>
      <c r="Q306" s="35"/>
      <c r="R306" s="35"/>
      <c r="S306" s="35"/>
      <c r="T306" s="35"/>
      <c r="U306" s="35"/>
      <c r="V306" s="35"/>
      <c r="W306" s="35"/>
      <c r="X306" s="35"/>
      <c r="Y306" s="35"/>
      <c r="Z306" s="35"/>
      <c r="AA306" s="35"/>
    </row>
    <row r="307">
      <c r="A307" s="35"/>
      <c r="B307" s="35"/>
      <c r="C307" s="35"/>
      <c r="D307" s="35"/>
      <c r="E307" s="107"/>
      <c r="F307" s="35"/>
      <c r="G307" s="35"/>
      <c r="H307" s="35"/>
      <c r="I307" s="35"/>
      <c r="J307" s="35"/>
      <c r="K307" s="35"/>
      <c r="L307" s="35"/>
      <c r="M307" s="35"/>
      <c r="N307" s="35"/>
      <c r="O307" s="35"/>
      <c r="P307" s="35"/>
      <c r="Q307" s="35"/>
      <c r="R307" s="35"/>
      <c r="S307" s="35"/>
      <c r="T307" s="35"/>
      <c r="U307" s="35"/>
      <c r="V307" s="35"/>
      <c r="W307" s="35"/>
      <c r="X307" s="35"/>
      <c r="Y307" s="35"/>
      <c r="Z307" s="35"/>
      <c r="AA307" s="35"/>
    </row>
    <row r="308">
      <c r="A308" s="35"/>
      <c r="B308" s="35"/>
      <c r="C308" s="35"/>
      <c r="D308" s="35"/>
      <c r="E308" s="107"/>
      <c r="F308" s="35"/>
      <c r="G308" s="35"/>
      <c r="H308" s="35"/>
      <c r="I308" s="35"/>
      <c r="J308" s="35"/>
      <c r="K308" s="35"/>
      <c r="L308" s="35"/>
      <c r="M308" s="35"/>
      <c r="N308" s="35"/>
      <c r="O308" s="35"/>
      <c r="P308" s="35"/>
      <c r="Q308" s="35"/>
      <c r="R308" s="35"/>
      <c r="S308" s="35"/>
      <c r="T308" s="35"/>
      <c r="U308" s="35"/>
      <c r="V308" s="35"/>
      <c r="W308" s="35"/>
      <c r="X308" s="35"/>
      <c r="Y308" s="35"/>
      <c r="Z308" s="35"/>
      <c r="AA308" s="35"/>
    </row>
    <row r="309">
      <c r="A309" s="35"/>
      <c r="B309" s="35"/>
      <c r="C309" s="35"/>
      <c r="D309" s="35"/>
      <c r="E309" s="107"/>
      <c r="F309" s="35"/>
      <c r="G309" s="35"/>
      <c r="H309" s="35"/>
      <c r="I309" s="35"/>
      <c r="J309" s="35"/>
      <c r="K309" s="35"/>
      <c r="L309" s="35"/>
      <c r="M309" s="35"/>
      <c r="N309" s="35"/>
      <c r="O309" s="35"/>
      <c r="P309" s="35"/>
      <c r="Q309" s="35"/>
      <c r="R309" s="35"/>
      <c r="S309" s="35"/>
      <c r="T309" s="35"/>
      <c r="U309" s="35"/>
      <c r="V309" s="35"/>
      <c r="W309" s="35"/>
      <c r="X309" s="35"/>
      <c r="Y309" s="35"/>
      <c r="Z309" s="35"/>
      <c r="AA309" s="35"/>
    </row>
    <row r="310">
      <c r="A310" s="35"/>
      <c r="B310" s="35"/>
      <c r="C310" s="35"/>
      <c r="D310" s="35"/>
      <c r="E310" s="107"/>
      <c r="F310" s="35"/>
      <c r="G310" s="35"/>
      <c r="H310" s="35"/>
      <c r="I310" s="35"/>
      <c r="J310" s="35"/>
      <c r="K310" s="35"/>
      <c r="L310" s="35"/>
      <c r="M310" s="35"/>
      <c r="N310" s="35"/>
      <c r="O310" s="35"/>
      <c r="P310" s="35"/>
      <c r="Q310" s="35"/>
      <c r="R310" s="35"/>
      <c r="S310" s="35"/>
      <c r="T310" s="35"/>
      <c r="U310" s="35"/>
      <c r="V310" s="35"/>
      <c r="W310" s="35"/>
      <c r="X310" s="35"/>
      <c r="Y310" s="35"/>
      <c r="Z310" s="35"/>
      <c r="AA310" s="35"/>
    </row>
    <row r="311">
      <c r="A311" s="35"/>
      <c r="B311" s="35"/>
      <c r="C311" s="35"/>
      <c r="D311" s="35"/>
      <c r="E311" s="107"/>
      <c r="F311" s="35"/>
      <c r="G311" s="35"/>
      <c r="H311" s="35"/>
      <c r="I311" s="35"/>
      <c r="J311" s="35"/>
      <c r="K311" s="35"/>
      <c r="L311" s="35"/>
      <c r="M311" s="35"/>
      <c r="N311" s="35"/>
      <c r="O311" s="35"/>
      <c r="P311" s="35"/>
      <c r="Q311" s="35"/>
      <c r="R311" s="35"/>
      <c r="S311" s="35"/>
      <c r="T311" s="35"/>
      <c r="U311" s="35"/>
      <c r="V311" s="35"/>
      <c r="W311" s="35"/>
      <c r="X311" s="35"/>
      <c r="Y311" s="35"/>
      <c r="Z311" s="35"/>
      <c r="AA311" s="35"/>
    </row>
    <row r="312">
      <c r="A312" s="35"/>
      <c r="B312" s="35"/>
      <c r="C312" s="35"/>
      <c r="D312" s="35"/>
      <c r="E312" s="107"/>
      <c r="F312" s="35"/>
      <c r="G312" s="35"/>
      <c r="H312" s="35"/>
      <c r="I312" s="35"/>
      <c r="J312" s="35"/>
      <c r="K312" s="35"/>
      <c r="L312" s="35"/>
      <c r="M312" s="35"/>
      <c r="N312" s="35"/>
      <c r="O312" s="35"/>
      <c r="P312" s="35"/>
      <c r="Q312" s="35"/>
      <c r="R312" s="35"/>
      <c r="S312" s="35"/>
      <c r="T312" s="35"/>
      <c r="U312" s="35"/>
      <c r="V312" s="35"/>
      <c r="W312" s="35"/>
      <c r="X312" s="35"/>
      <c r="Y312" s="35"/>
      <c r="Z312" s="35"/>
      <c r="AA312" s="35"/>
    </row>
    <row r="313">
      <c r="A313" s="35"/>
      <c r="B313" s="35"/>
      <c r="C313" s="35"/>
      <c r="D313" s="35"/>
      <c r="E313" s="107"/>
      <c r="F313" s="35"/>
      <c r="G313" s="35"/>
      <c r="H313" s="35"/>
      <c r="I313" s="35"/>
      <c r="J313" s="35"/>
      <c r="K313" s="35"/>
      <c r="L313" s="35"/>
      <c r="M313" s="35"/>
      <c r="N313" s="35"/>
      <c r="O313" s="35"/>
      <c r="P313" s="35"/>
      <c r="Q313" s="35"/>
      <c r="R313" s="35"/>
      <c r="S313" s="35"/>
      <c r="T313" s="35"/>
      <c r="U313" s="35"/>
      <c r="V313" s="35"/>
      <c r="W313" s="35"/>
      <c r="X313" s="35"/>
      <c r="Y313" s="35"/>
      <c r="Z313" s="35"/>
      <c r="AA313" s="35"/>
    </row>
    <row r="314">
      <c r="A314" s="35"/>
      <c r="B314" s="35"/>
      <c r="C314" s="35"/>
      <c r="D314" s="35"/>
      <c r="E314" s="107"/>
      <c r="F314" s="35"/>
      <c r="G314" s="35"/>
      <c r="H314" s="35"/>
      <c r="I314" s="35"/>
      <c r="J314" s="35"/>
      <c r="K314" s="35"/>
      <c r="L314" s="35"/>
      <c r="M314" s="35"/>
      <c r="N314" s="35"/>
      <c r="O314" s="35"/>
      <c r="P314" s="35"/>
      <c r="Q314" s="35"/>
      <c r="R314" s="35"/>
      <c r="S314" s="35"/>
      <c r="T314" s="35"/>
      <c r="U314" s="35"/>
      <c r="V314" s="35"/>
      <c r="W314" s="35"/>
      <c r="X314" s="35"/>
      <c r="Y314" s="35"/>
      <c r="Z314" s="35"/>
      <c r="AA314" s="35"/>
    </row>
    <row r="315">
      <c r="A315" s="35"/>
      <c r="B315" s="35"/>
      <c r="C315" s="35"/>
      <c r="D315" s="35"/>
      <c r="E315" s="107"/>
      <c r="F315" s="35"/>
      <c r="G315" s="35"/>
      <c r="H315" s="35"/>
      <c r="I315" s="35"/>
      <c r="J315" s="35"/>
      <c r="K315" s="35"/>
      <c r="L315" s="35"/>
      <c r="M315" s="35"/>
      <c r="N315" s="35"/>
      <c r="O315" s="35"/>
      <c r="P315" s="35"/>
      <c r="Q315" s="35"/>
      <c r="R315" s="35"/>
      <c r="S315" s="35"/>
      <c r="T315" s="35"/>
      <c r="U315" s="35"/>
      <c r="V315" s="35"/>
      <c r="W315" s="35"/>
      <c r="X315" s="35"/>
      <c r="Y315" s="35"/>
      <c r="Z315" s="35"/>
      <c r="AA315" s="35"/>
    </row>
    <row r="316">
      <c r="A316" s="35"/>
      <c r="B316" s="35"/>
      <c r="C316" s="35"/>
      <c r="D316" s="35"/>
      <c r="E316" s="107"/>
      <c r="F316" s="35"/>
      <c r="G316" s="35"/>
      <c r="H316" s="35"/>
      <c r="I316" s="35"/>
      <c r="J316" s="35"/>
      <c r="K316" s="35"/>
      <c r="L316" s="35"/>
      <c r="M316" s="35"/>
      <c r="N316" s="35"/>
      <c r="O316" s="35"/>
      <c r="P316" s="35"/>
      <c r="Q316" s="35"/>
      <c r="R316" s="35"/>
      <c r="S316" s="35"/>
      <c r="T316" s="35"/>
      <c r="U316" s="35"/>
      <c r="V316" s="35"/>
      <c r="W316" s="35"/>
      <c r="X316" s="35"/>
      <c r="Y316" s="35"/>
      <c r="Z316" s="35"/>
      <c r="AA316" s="35"/>
    </row>
    <row r="317">
      <c r="A317" s="35"/>
      <c r="B317" s="35"/>
      <c r="C317" s="35"/>
      <c r="D317" s="35"/>
      <c r="E317" s="107"/>
      <c r="F317" s="35"/>
      <c r="G317" s="35"/>
      <c r="H317" s="35"/>
      <c r="I317" s="35"/>
      <c r="J317" s="35"/>
      <c r="K317" s="35"/>
      <c r="L317" s="35"/>
      <c r="M317" s="35"/>
      <c r="N317" s="35"/>
      <c r="O317" s="35"/>
      <c r="P317" s="35"/>
      <c r="Q317" s="35"/>
      <c r="R317" s="35"/>
      <c r="S317" s="35"/>
      <c r="T317" s="35"/>
      <c r="U317" s="35"/>
      <c r="V317" s="35"/>
      <c r="W317" s="35"/>
      <c r="X317" s="35"/>
      <c r="Y317" s="35"/>
      <c r="Z317" s="35"/>
      <c r="AA317" s="35"/>
    </row>
    <row r="318">
      <c r="A318" s="35"/>
      <c r="B318" s="35"/>
      <c r="C318" s="35"/>
      <c r="D318" s="35"/>
      <c r="E318" s="107"/>
      <c r="F318" s="35"/>
      <c r="G318" s="35"/>
      <c r="H318" s="35"/>
      <c r="I318" s="35"/>
      <c r="J318" s="35"/>
      <c r="K318" s="35"/>
      <c r="L318" s="35"/>
      <c r="M318" s="35"/>
      <c r="N318" s="35"/>
      <c r="O318" s="35"/>
      <c r="P318" s="35"/>
      <c r="Q318" s="35"/>
      <c r="R318" s="35"/>
      <c r="S318" s="35"/>
      <c r="T318" s="35"/>
      <c r="U318" s="35"/>
      <c r="V318" s="35"/>
      <c r="W318" s="35"/>
      <c r="X318" s="35"/>
      <c r="Y318" s="35"/>
      <c r="Z318" s="35"/>
      <c r="AA318" s="35"/>
    </row>
    <row r="319">
      <c r="A319" s="35"/>
      <c r="B319" s="35"/>
      <c r="C319" s="35"/>
      <c r="D319" s="35"/>
      <c r="E319" s="107"/>
      <c r="F319" s="35"/>
      <c r="G319" s="35"/>
      <c r="H319" s="35"/>
      <c r="I319" s="35"/>
      <c r="J319" s="35"/>
      <c r="K319" s="35"/>
      <c r="L319" s="35"/>
      <c r="M319" s="35"/>
      <c r="N319" s="35"/>
      <c r="O319" s="35"/>
      <c r="P319" s="35"/>
      <c r="Q319" s="35"/>
      <c r="R319" s="35"/>
      <c r="S319" s="35"/>
      <c r="T319" s="35"/>
      <c r="U319" s="35"/>
      <c r="V319" s="35"/>
      <c r="W319" s="35"/>
      <c r="X319" s="35"/>
      <c r="Y319" s="35"/>
      <c r="Z319" s="35"/>
      <c r="AA319" s="35"/>
    </row>
    <row r="320">
      <c r="A320" s="35"/>
      <c r="B320" s="35"/>
      <c r="C320" s="35"/>
      <c r="D320" s="35"/>
      <c r="E320" s="107"/>
      <c r="F320" s="35"/>
      <c r="G320" s="35"/>
      <c r="H320" s="35"/>
      <c r="I320" s="35"/>
      <c r="J320" s="35"/>
      <c r="K320" s="35"/>
      <c r="L320" s="35"/>
      <c r="M320" s="35"/>
      <c r="N320" s="35"/>
      <c r="O320" s="35"/>
      <c r="P320" s="35"/>
      <c r="Q320" s="35"/>
      <c r="R320" s="35"/>
      <c r="S320" s="35"/>
      <c r="T320" s="35"/>
      <c r="U320" s="35"/>
      <c r="V320" s="35"/>
      <c r="W320" s="35"/>
      <c r="X320" s="35"/>
      <c r="Y320" s="35"/>
      <c r="Z320" s="35"/>
      <c r="AA320" s="35"/>
    </row>
    <row r="321">
      <c r="A321" s="35"/>
      <c r="B321" s="35"/>
      <c r="C321" s="35"/>
      <c r="D321" s="35"/>
      <c r="E321" s="107"/>
      <c r="F321" s="35"/>
      <c r="G321" s="35"/>
      <c r="H321" s="35"/>
      <c r="I321" s="35"/>
      <c r="J321" s="35"/>
      <c r="K321" s="35"/>
      <c r="L321" s="35"/>
      <c r="M321" s="35"/>
      <c r="N321" s="35"/>
      <c r="O321" s="35"/>
      <c r="P321" s="35"/>
      <c r="Q321" s="35"/>
      <c r="R321" s="35"/>
      <c r="S321" s="35"/>
      <c r="T321" s="35"/>
      <c r="U321" s="35"/>
      <c r="V321" s="35"/>
      <c r="W321" s="35"/>
      <c r="X321" s="35"/>
      <c r="Y321" s="35"/>
      <c r="Z321" s="35"/>
      <c r="AA321" s="35"/>
    </row>
    <row r="322">
      <c r="A322" s="35"/>
      <c r="B322" s="35"/>
      <c r="C322" s="35"/>
      <c r="D322" s="35"/>
      <c r="E322" s="107"/>
      <c r="F322" s="35"/>
      <c r="G322" s="35"/>
      <c r="H322" s="35"/>
      <c r="I322" s="35"/>
      <c r="J322" s="35"/>
      <c r="K322" s="35"/>
      <c r="L322" s="35"/>
      <c r="M322" s="35"/>
      <c r="N322" s="35"/>
      <c r="O322" s="35"/>
      <c r="P322" s="35"/>
      <c r="Q322" s="35"/>
      <c r="R322" s="35"/>
      <c r="S322" s="35"/>
      <c r="T322" s="35"/>
      <c r="U322" s="35"/>
      <c r="V322" s="35"/>
      <c r="W322" s="35"/>
      <c r="X322" s="35"/>
      <c r="Y322" s="35"/>
      <c r="Z322" s="35"/>
      <c r="AA322" s="35"/>
    </row>
    <row r="323">
      <c r="A323" s="35"/>
      <c r="B323" s="35"/>
      <c r="C323" s="35"/>
      <c r="D323" s="35"/>
      <c r="E323" s="107"/>
      <c r="F323" s="35"/>
      <c r="G323" s="35"/>
      <c r="H323" s="35"/>
      <c r="I323" s="35"/>
      <c r="J323" s="35"/>
      <c r="K323" s="35"/>
      <c r="L323" s="35"/>
      <c r="M323" s="35"/>
      <c r="N323" s="35"/>
      <c r="O323" s="35"/>
      <c r="P323" s="35"/>
      <c r="Q323" s="35"/>
      <c r="R323" s="35"/>
      <c r="S323" s="35"/>
      <c r="T323" s="35"/>
      <c r="U323" s="35"/>
      <c r="V323" s="35"/>
      <c r="W323" s="35"/>
      <c r="X323" s="35"/>
      <c r="Y323" s="35"/>
      <c r="Z323" s="35"/>
      <c r="AA323" s="35"/>
    </row>
    <row r="324">
      <c r="A324" s="35"/>
      <c r="B324" s="35"/>
      <c r="C324" s="35"/>
      <c r="D324" s="35"/>
      <c r="E324" s="107"/>
      <c r="F324" s="35"/>
      <c r="G324" s="35"/>
      <c r="H324" s="35"/>
      <c r="I324" s="35"/>
      <c r="J324" s="35"/>
      <c r="K324" s="35"/>
      <c r="L324" s="35"/>
      <c r="M324" s="35"/>
      <c r="N324" s="35"/>
      <c r="O324" s="35"/>
      <c r="P324" s="35"/>
      <c r="Q324" s="35"/>
      <c r="R324" s="35"/>
      <c r="S324" s="35"/>
      <c r="T324" s="35"/>
      <c r="U324" s="35"/>
      <c r="V324" s="35"/>
      <c r="W324" s="35"/>
      <c r="X324" s="35"/>
      <c r="Y324" s="35"/>
      <c r="Z324" s="35"/>
      <c r="AA324" s="35"/>
    </row>
    <row r="325">
      <c r="A325" s="35"/>
      <c r="B325" s="35"/>
      <c r="C325" s="35"/>
      <c r="D325" s="35"/>
      <c r="E325" s="107"/>
      <c r="F325" s="35"/>
      <c r="G325" s="35"/>
      <c r="H325" s="35"/>
      <c r="I325" s="35"/>
      <c r="J325" s="35"/>
      <c r="K325" s="35"/>
      <c r="L325" s="35"/>
      <c r="M325" s="35"/>
      <c r="N325" s="35"/>
      <c r="O325" s="35"/>
      <c r="P325" s="35"/>
      <c r="Q325" s="35"/>
      <c r="R325" s="35"/>
      <c r="S325" s="35"/>
      <c r="T325" s="35"/>
      <c r="U325" s="35"/>
      <c r="V325" s="35"/>
      <c r="W325" s="35"/>
      <c r="X325" s="35"/>
      <c r="Y325" s="35"/>
      <c r="Z325" s="35"/>
      <c r="AA325" s="35"/>
    </row>
    <row r="326">
      <c r="A326" s="35"/>
      <c r="B326" s="35"/>
      <c r="C326" s="35"/>
      <c r="D326" s="35"/>
      <c r="E326" s="107"/>
      <c r="F326" s="35"/>
      <c r="G326" s="35"/>
      <c r="H326" s="35"/>
      <c r="I326" s="35"/>
      <c r="J326" s="35"/>
      <c r="K326" s="35"/>
      <c r="L326" s="35"/>
      <c r="M326" s="35"/>
      <c r="N326" s="35"/>
      <c r="O326" s="35"/>
      <c r="P326" s="35"/>
      <c r="Q326" s="35"/>
      <c r="R326" s="35"/>
      <c r="S326" s="35"/>
      <c r="T326" s="35"/>
      <c r="U326" s="35"/>
      <c r="V326" s="35"/>
      <c r="W326" s="35"/>
      <c r="X326" s="35"/>
      <c r="Y326" s="35"/>
      <c r="Z326" s="35"/>
      <c r="AA326" s="35"/>
    </row>
    <row r="327">
      <c r="A327" s="35"/>
      <c r="B327" s="35"/>
      <c r="C327" s="35"/>
      <c r="D327" s="35"/>
      <c r="E327" s="107"/>
      <c r="F327" s="35"/>
      <c r="G327" s="35"/>
      <c r="H327" s="35"/>
      <c r="I327" s="35"/>
      <c r="J327" s="35"/>
      <c r="K327" s="35"/>
      <c r="L327" s="35"/>
      <c r="M327" s="35"/>
      <c r="N327" s="35"/>
      <c r="O327" s="35"/>
      <c r="P327" s="35"/>
      <c r="Q327" s="35"/>
      <c r="R327" s="35"/>
      <c r="S327" s="35"/>
      <c r="T327" s="35"/>
      <c r="U327" s="35"/>
      <c r="V327" s="35"/>
      <c r="W327" s="35"/>
      <c r="X327" s="35"/>
      <c r="Y327" s="35"/>
      <c r="Z327" s="35"/>
      <c r="AA327" s="35"/>
    </row>
    <row r="328">
      <c r="A328" s="35"/>
      <c r="B328" s="35"/>
      <c r="C328" s="35"/>
      <c r="D328" s="35"/>
      <c r="E328" s="107"/>
      <c r="F328" s="35"/>
      <c r="G328" s="35"/>
      <c r="H328" s="35"/>
      <c r="I328" s="35"/>
      <c r="J328" s="35"/>
      <c r="K328" s="35"/>
      <c r="L328" s="35"/>
      <c r="M328" s="35"/>
      <c r="N328" s="35"/>
      <c r="O328" s="35"/>
      <c r="P328" s="35"/>
      <c r="Q328" s="35"/>
      <c r="R328" s="35"/>
      <c r="S328" s="35"/>
      <c r="T328" s="35"/>
      <c r="U328" s="35"/>
      <c r="V328" s="35"/>
      <c r="W328" s="35"/>
      <c r="X328" s="35"/>
      <c r="Y328" s="35"/>
      <c r="Z328" s="35"/>
      <c r="AA328" s="35"/>
    </row>
    <row r="329">
      <c r="A329" s="35"/>
      <c r="B329" s="35"/>
      <c r="C329" s="35"/>
      <c r="D329" s="35"/>
      <c r="E329" s="107"/>
      <c r="F329" s="35"/>
      <c r="G329" s="35"/>
      <c r="H329" s="35"/>
      <c r="I329" s="35"/>
      <c r="J329" s="35"/>
      <c r="K329" s="35"/>
      <c r="L329" s="35"/>
      <c r="M329" s="35"/>
      <c r="N329" s="35"/>
      <c r="O329" s="35"/>
      <c r="P329" s="35"/>
      <c r="Q329" s="35"/>
      <c r="R329" s="35"/>
      <c r="S329" s="35"/>
      <c r="T329" s="35"/>
      <c r="U329" s="35"/>
      <c r="V329" s="35"/>
      <c r="W329" s="35"/>
      <c r="X329" s="35"/>
      <c r="Y329" s="35"/>
      <c r="Z329" s="35"/>
      <c r="AA329" s="35"/>
    </row>
    <row r="330">
      <c r="A330" s="35"/>
      <c r="B330" s="35"/>
      <c r="C330" s="35"/>
      <c r="D330" s="35"/>
      <c r="E330" s="107"/>
      <c r="F330" s="35"/>
      <c r="G330" s="35"/>
      <c r="H330" s="35"/>
      <c r="I330" s="35"/>
      <c r="J330" s="35"/>
      <c r="K330" s="35"/>
      <c r="L330" s="35"/>
      <c r="M330" s="35"/>
      <c r="N330" s="35"/>
      <c r="O330" s="35"/>
      <c r="P330" s="35"/>
      <c r="Q330" s="35"/>
      <c r="R330" s="35"/>
      <c r="S330" s="35"/>
      <c r="T330" s="35"/>
      <c r="U330" s="35"/>
      <c r="V330" s="35"/>
      <c r="W330" s="35"/>
      <c r="X330" s="35"/>
      <c r="Y330" s="35"/>
      <c r="Z330" s="35"/>
      <c r="AA330" s="35"/>
    </row>
    <row r="331">
      <c r="A331" s="35"/>
      <c r="B331" s="35"/>
      <c r="C331" s="35"/>
      <c r="D331" s="35"/>
      <c r="E331" s="107"/>
      <c r="F331" s="35"/>
      <c r="G331" s="35"/>
      <c r="H331" s="35"/>
      <c r="I331" s="35"/>
      <c r="J331" s="35"/>
      <c r="K331" s="35"/>
      <c r="L331" s="35"/>
      <c r="M331" s="35"/>
      <c r="N331" s="35"/>
      <c r="O331" s="35"/>
      <c r="P331" s="35"/>
      <c r="Q331" s="35"/>
      <c r="R331" s="35"/>
      <c r="S331" s="35"/>
      <c r="T331" s="35"/>
      <c r="U331" s="35"/>
      <c r="V331" s="35"/>
      <c r="W331" s="35"/>
      <c r="X331" s="35"/>
      <c r="Y331" s="35"/>
      <c r="Z331" s="35"/>
      <c r="AA331" s="35"/>
    </row>
    <row r="332">
      <c r="A332" s="35"/>
      <c r="B332" s="35"/>
      <c r="C332" s="35"/>
      <c r="D332" s="35"/>
      <c r="E332" s="107"/>
      <c r="F332" s="35"/>
      <c r="G332" s="35"/>
      <c r="H332" s="35"/>
      <c r="I332" s="35"/>
      <c r="J332" s="35"/>
      <c r="K332" s="35"/>
      <c r="L332" s="35"/>
      <c r="M332" s="35"/>
      <c r="N332" s="35"/>
      <c r="O332" s="35"/>
      <c r="P332" s="35"/>
      <c r="Q332" s="35"/>
      <c r="R332" s="35"/>
      <c r="S332" s="35"/>
      <c r="T332" s="35"/>
      <c r="U332" s="35"/>
      <c r="V332" s="35"/>
      <c r="W332" s="35"/>
      <c r="X332" s="35"/>
      <c r="Y332" s="35"/>
      <c r="Z332" s="35"/>
      <c r="AA332" s="35"/>
    </row>
    <row r="333">
      <c r="A333" s="35"/>
      <c r="B333" s="35"/>
      <c r="C333" s="35"/>
      <c r="D333" s="35"/>
      <c r="E333" s="107"/>
      <c r="F333" s="35"/>
      <c r="G333" s="35"/>
      <c r="H333" s="35"/>
      <c r="I333" s="35"/>
      <c r="J333" s="35"/>
      <c r="K333" s="35"/>
      <c r="L333" s="35"/>
      <c r="M333" s="35"/>
      <c r="N333" s="35"/>
      <c r="O333" s="35"/>
      <c r="P333" s="35"/>
      <c r="Q333" s="35"/>
      <c r="R333" s="35"/>
      <c r="S333" s="35"/>
      <c r="T333" s="35"/>
      <c r="U333" s="35"/>
      <c r="V333" s="35"/>
      <c r="W333" s="35"/>
      <c r="X333" s="35"/>
      <c r="Y333" s="35"/>
      <c r="Z333" s="35"/>
      <c r="AA333" s="35"/>
    </row>
    <row r="334">
      <c r="A334" s="35"/>
      <c r="B334" s="35"/>
      <c r="C334" s="35"/>
      <c r="D334" s="35"/>
      <c r="E334" s="107"/>
      <c r="F334" s="35"/>
      <c r="G334" s="35"/>
      <c r="H334" s="35"/>
      <c r="I334" s="35"/>
      <c r="J334" s="35"/>
      <c r="K334" s="35"/>
      <c r="L334" s="35"/>
      <c r="M334" s="35"/>
      <c r="N334" s="35"/>
      <c r="O334" s="35"/>
      <c r="P334" s="35"/>
      <c r="Q334" s="35"/>
      <c r="R334" s="35"/>
      <c r="S334" s="35"/>
      <c r="T334" s="35"/>
      <c r="U334" s="35"/>
      <c r="V334" s="35"/>
      <c r="W334" s="35"/>
      <c r="X334" s="35"/>
      <c r="Y334" s="35"/>
      <c r="Z334" s="35"/>
      <c r="AA334" s="35"/>
    </row>
    <row r="335">
      <c r="A335" s="35"/>
      <c r="B335" s="35"/>
      <c r="C335" s="35"/>
      <c r="D335" s="35"/>
      <c r="E335" s="107"/>
      <c r="F335" s="35"/>
      <c r="G335" s="35"/>
      <c r="H335" s="35"/>
      <c r="I335" s="35"/>
      <c r="J335" s="35"/>
      <c r="K335" s="35"/>
      <c r="L335" s="35"/>
      <c r="M335" s="35"/>
      <c r="N335" s="35"/>
      <c r="O335" s="35"/>
      <c r="P335" s="35"/>
      <c r="Q335" s="35"/>
      <c r="R335" s="35"/>
      <c r="S335" s="35"/>
      <c r="T335" s="35"/>
      <c r="U335" s="35"/>
      <c r="V335" s="35"/>
      <c r="W335" s="35"/>
      <c r="X335" s="35"/>
      <c r="Y335" s="35"/>
      <c r="Z335" s="35"/>
      <c r="AA335" s="35"/>
    </row>
    <row r="336">
      <c r="A336" s="35"/>
      <c r="B336" s="35"/>
      <c r="C336" s="35"/>
      <c r="D336" s="35"/>
      <c r="E336" s="107"/>
      <c r="F336" s="35"/>
      <c r="G336" s="35"/>
      <c r="H336" s="35"/>
      <c r="I336" s="35"/>
      <c r="J336" s="35"/>
      <c r="K336" s="35"/>
      <c r="L336" s="35"/>
      <c r="M336" s="35"/>
      <c r="N336" s="35"/>
      <c r="O336" s="35"/>
      <c r="P336" s="35"/>
      <c r="Q336" s="35"/>
      <c r="R336" s="35"/>
      <c r="S336" s="35"/>
      <c r="T336" s="35"/>
      <c r="U336" s="35"/>
      <c r="V336" s="35"/>
      <c r="W336" s="35"/>
      <c r="X336" s="35"/>
      <c r="Y336" s="35"/>
      <c r="Z336" s="35"/>
      <c r="AA336" s="35"/>
    </row>
    <row r="337">
      <c r="A337" s="35"/>
      <c r="B337" s="35"/>
      <c r="C337" s="35"/>
      <c r="D337" s="35"/>
      <c r="E337" s="107"/>
      <c r="F337" s="35"/>
      <c r="G337" s="35"/>
      <c r="H337" s="35"/>
      <c r="I337" s="35"/>
      <c r="J337" s="35"/>
      <c r="K337" s="35"/>
      <c r="L337" s="35"/>
      <c r="M337" s="35"/>
      <c r="N337" s="35"/>
      <c r="O337" s="35"/>
      <c r="P337" s="35"/>
      <c r="Q337" s="35"/>
      <c r="R337" s="35"/>
      <c r="S337" s="35"/>
      <c r="T337" s="35"/>
      <c r="U337" s="35"/>
      <c r="V337" s="35"/>
      <c r="W337" s="35"/>
      <c r="X337" s="35"/>
      <c r="Y337" s="35"/>
      <c r="Z337" s="35"/>
      <c r="AA337" s="35"/>
    </row>
    <row r="338">
      <c r="A338" s="35"/>
      <c r="B338" s="35"/>
      <c r="C338" s="35"/>
      <c r="D338" s="35"/>
      <c r="E338" s="107"/>
      <c r="F338" s="35"/>
      <c r="G338" s="35"/>
      <c r="H338" s="35"/>
      <c r="I338" s="35"/>
      <c r="J338" s="35"/>
      <c r="K338" s="35"/>
      <c r="L338" s="35"/>
      <c r="M338" s="35"/>
      <c r="N338" s="35"/>
      <c r="O338" s="35"/>
      <c r="P338" s="35"/>
      <c r="Q338" s="35"/>
      <c r="R338" s="35"/>
      <c r="S338" s="35"/>
      <c r="T338" s="35"/>
      <c r="U338" s="35"/>
      <c r="V338" s="35"/>
      <c r="W338" s="35"/>
      <c r="X338" s="35"/>
      <c r="Y338" s="35"/>
      <c r="Z338" s="35"/>
      <c r="AA338" s="35"/>
    </row>
    <row r="339">
      <c r="A339" s="35"/>
      <c r="B339" s="35"/>
      <c r="C339" s="35"/>
      <c r="D339" s="35"/>
      <c r="E339" s="107"/>
      <c r="F339" s="35"/>
      <c r="G339" s="35"/>
      <c r="H339" s="35"/>
      <c r="I339" s="35"/>
      <c r="J339" s="35"/>
      <c r="K339" s="35"/>
      <c r="L339" s="35"/>
      <c r="M339" s="35"/>
      <c r="N339" s="35"/>
      <c r="O339" s="35"/>
      <c r="P339" s="35"/>
      <c r="Q339" s="35"/>
      <c r="R339" s="35"/>
      <c r="S339" s="35"/>
      <c r="T339" s="35"/>
      <c r="U339" s="35"/>
      <c r="V339" s="35"/>
      <c r="W339" s="35"/>
      <c r="X339" s="35"/>
      <c r="Y339" s="35"/>
      <c r="Z339" s="35"/>
      <c r="AA339" s="35"/>
    </row>
    <row r="340">
      <c r="A340" s="35"/>
      <c r="B340" s="35"/>
      <c r="C340" s="35"/>
      <c r="D340" s="35"/>
      <c r="E340" s="107"/>
      <c r="F340" s="35"/>
      <c r="G340" s="35"/>
      <c r="H340" s="35"/>
      <c r="I340" s="35"/>
      <c r="J340" s="35"/>
      <c r="K340" s="35"/>
      <c r="L340" s="35"/>
      <c r="M340" s="35"/>
      <c r="N340" s="35"/>
      <c r="O340" s="35"/>
      <c r="P340" s="35"/>
      <c r="Q340" s="35"/>
      <c r="R340" s="35"/>
      <c r="S340" s="35"/>
      <c r="T340" s="35"/>
      <c r="U340" s="35"/>
      <c r="V340" s="35"/>
      <c r="W340" s="35"/>
      <c r="X340" s="35"/>
      <c r="Y340" s="35"/>
      <c r="Z340" s="35"/>
      <c r="AA340" s="35"/>
    </row>
    <row r="341">
      <c r="A341" s="35"/>
      <c r="B341" s="35"/>
      <c r="C341" s="35"/>
      <c r="D341" s="35"/>
      <c r="E341" s="107"/>
      <c r="F341" s="35"/>
      <c r="G341" s="35"/>
      <c r="H341" s="35"/>
      <c r="I341" s="35"/>
      <c r="J341" s="35"/>
      <c r="K341" s="35"/>
      <c r="L341" s="35"/>
      <c r="M341" s="35"/>
      <c r="N341" s="35"/>
      <c r="O341" s="35"/>
      <c r="P341" s="35"/>
      <c r="Q341" s="35"/>
      <c r="R341" s="35"/>
      <c r="S341" s="35"/>
      <c r="T341" s="35"/>
      <c r="U341" s="35"/>
      <c r="V341" s="35"/>
      <c r="W341" s="35"/>
      <c r="X341" s="35"/>
      <c r="Y341" s="35"/>
      <c r="Z341" s="35"/>
      <c r="AA341" s="35"/>
    </row>
    <row r="342">
      <c r="A342" s="35"/>
      <c r="B342" s="35"/>
      <c r="C342" s="35"/>
      <c r="D342" s="35"/>
      <c r="E342" s="107"/>
      <c r="F342" s="35"/>
      <c r="G342" s="35"/>
      <c r="H342" s="35"/>
      <c r="I342" s="35"/>
      <c r="J342" s="35"/>
      <c r="K342" s="35"/>
      <c r="L342" s="35"/>
      <c r="M342" s="35"/>
      <c r="N342" s="35"/>
      <c r="O342" s="35"/>
      <c r="P342" s="35"/>
      <c r="Q342" s="35"/>
      <c r="R342" s="35"/>
      <c r="S342" s="35"/>
      <c r="T342" s="35"/>
      <c r="U342" s="35"/>
      <c r="V342" s="35"/>
      <c r="W342" s="35"/>
      <c r="X342" s="35"/>
      <c r="Y342" s="35"/>
      <c r="Z342" s="35"/>
      <c r="AA342" s="35"/>
    </row>
    <row r="343">
      <c r="A343" s="35"/>
      <c r="B343" s="35"/>
      <c r="C343" s="35"/>
      <c r="D343" s="35"/>
      <c r="E343" s="107"/>
      <c r="F343" s="35"/>
      <c r="G343" s="35"/>
      <c r="H343" s="35"/>
      <c r="I343" s="35"/>
      <c r="J343" s="35"/>
      <c r="K343" s="35"/>
      <c r="L343" s="35"/>
      <c r="M343" s="35"/>
      <c r="N343" s="35"/>
      <c r="O343" s="35"/>
      <c r="P343" s="35"/>
      <c r="Q343" s="35"/>
      <c r="R343" s="35"/>
      <c r="S343" s="35"/>
      <c r="T343" s="35"/>
      <c r="U343" s="35"/>
      <c r="V343" s="35"/>
      <c r="W343" s="35"/>
      <c r="X343" s="35"/>
      <c r="Y343" s="35"/>
      <c r="Z343" s="35"/>
      <c r="AA343" s="35"/>
    </row>
    <row r="344">
      <c r="A344" s="35"/>
      <c r="B344" s="35"/>
      <c r="C344" s="35"/>
      <c r="D344" s="35"/>
      <c r="E344" s="107"/>
      <c r="F344" s="35"/>
      <c r="G344" s="35"/>
      <c r="H344" s="35"/>
      <c r="I344" s="35"/>
      <c r="J344" s="35"/>
      <c r="K344" s="35"/>
      <c r="L344" s="35"/>
      <c r="M344" s="35"/>
      <c r="N344" s="35"/>
      <c r="O344" s="35"/>
      <c r="P344" s="35"/>
      <c r="Q344" s="35"/>
      <c r="R344" s="35"/>
      <c r="S344" s="35"/>
      <c r="T344" s="35"/>
      <c r="U344" s="35"/>
      <c r="V344" s="35"/>
      <c r="W344" s="35"/>
      <c r="X344" s="35"/>
      <c r="Y344" s="35"/>
      <c r="Z344" s="35"/>
      <c r="AA344" s="35"/>
    </row>
    <row r="345">
      <c r="A345" s="35"/>
      <c r="B345" s="35"/>
      <c r="C345" s="35"/>
      <c r="D345" s="35"/>
      <c r="E345" s="107"/>
      <c r="F345" s="35"/>
      <c r="G345" s="35"/>
      <c r="H345" s="35"/>
      <c r="I345" s="35"/>
      <c r="J345" s="35"/>
      <c r="K345" s="35"/>
      <c r="L345" s="35"/>
      <c r="M345" s="35"/>
      <c r="N345" s="35"/>
      <c r="O345" s="35"/>
      <c r="P345" s="35"/>
      <c r="Q345" s="35"/>
      <c r="R345" s="35"/>
      <c r="S345" s="35"/>
      <c r="T345" s="35"/>
      <c r="U345" s="35"/>
      <c r="V345" s="35"/>
      <c r="W345" s="35"/>
      <c r="X345" s="35"/>
      <c r="Y345" s="35"/>
      <c r="Z345" s="35"/>
      <c r="AA345" s="35"/>
    </row>
    <row r="346">
      <c r="A346" s="35"/>
      <c r="B346" s="35"/>
      <c r="C346" s="35"/>
      <c r="D346" s="35"/>
      <c r="E346" s="107"/>
      <c r="F346" s="35"/>
      <c r="G346" s="35"/>
      <c r="H346" s="35"/>
      <c r="I346" s="35"/>
      <c r="J346" s="35"/>
      <c r="K346" s="35"/>
      <c r="L346" s="35"/>
      <c r="M346" s="35"/>
      <c r="N346" s="35"/>
      <c r="O346" s="35"/>
      <c r="P346" s="35"/>
      <c r="Q346" s="35"/>
      <c r="R346" s="35"/>
      <c r="S346" s="35"/>
      <c r="T346" s="35"/>
      <c r="U346" s="35"/>
      <c r="V346" s="35"/>
      <c r="W346" s="35"/>
      <c r="X346" s="35"/>
      <c r="Y346" s="35"/>
      <c r="Z346" s="35"/>
      <c r="AA346" s="35"/>
    </row>
    <row r="347">
      <c r="A347" s="35"/>
      <c r="B347" s="35"/>
      <c r="C347" s="35"/>
      <c r="D347" s="35"/>
      <c r="E347" s="107"/>
      <c r="F347" s="35"/>
      <c r="G347" s="35"/>
      <c r="H347" s="35"/>
      <c r="I347" s="35"/>
      <c r="J347" s="35"/>
      <c r="K347" s="35"/>
      <c r="L347" s="35"/>
      <c r="M347" s="35"/>
      <c r="N347" s="35"/>
      <c r="O347" s="35"/>
      <c r="P347" s="35"/>
      <c r="Q347" s="35"/>
      <c r="R347" s="35"/>
      <c r="S347" s="35"/>
      <c r="T347" s="35"/>
      <c r="U347" s="35"/>
      <c r="V347" s="35"/>
      <c r="W347" s="35"/>
      <c r="X347" s="35"/>
      <c r="Y347" s="35"/>
      <c r="Z347" s="35"/>
      <c r="AA347" s="35"/>
    </row>
    <row r="348">
      <c r="A348" s="35"/>
      <c r="B348" s="35"/>
      <c r="C348" s="35"/>
      <c r="D348" s="35"/>
      <c r="E348" s="107"/>
      <c r="F348" s="35"/>
      <c r="G348" s="35"/>
      <c r="H348" s="35"/>
      <c r="I348" s="35"/>
      <c r="J348" s="35"/>
      <c r="K348" s="35"/>
      <c r="L348" s="35"/>
      <c r="M348" s="35"/>
      <c r="N348" s="35"/>
      <c r="O348" s="35"/>
      <c r="P348" s="35"/>
      <c r="Q348" s="35"/>
      <c r="R348" s="35"/>
      <c r="S348" s="35"/>
      <c r="T348" s="35"/>
      <c r="U348" s="35"/>
      <c r="V348" s="35"/>
      <c r="W348" s="35"/>
      <c r="X348" s="35"/>
      <c r="Y348" s="35"/>
      <c r="Z348" s="35"/>
      <c r="AA348" s="35"/>
    </row>
    <row r="349">
      <c r="A349" s="35"/>
      <c r="B349" s="35"/>
      <c r="C349" s="35"/>
      <c r="D349" s="35"/>
      <c r="E349" s="107"/>
      <c r="F349" s="35"/>
      <c r="G349" s="35"/>
      <c r="H349" s="35"/>
      <c r="I349" s="35"/>
      <c r="J349" s="35"/>
      <c r="K349" s="35"/>
      <c r="L349" s="35"/>
      <c r="M349" s="35"/>
      <c r="N349" s="35"/>
      <c r="O349" s="35"/>
      <c r="P349" s="35"/>
      <c r="Q349" s="35"/>
      <c r="R349" s="35"/>
      <c r="S349" s="35"/>
      <c r="T349" s="35"/>
      <c r="U349" s="35"/>
      <c r="V349" s="35"/>
      <c r="W349" s="35"/>
      <c r="X349" s="35"/>
      <c r="Y349" s="35"/>
      <c r="Z349" s="35"/>
      <c r="AA349" s="35"/>
    </row>
    <row r="350">
      <c r="A350" s="35"/>
      <c r="B350" s="35"/>
      <c r="C350" s="35"/>
      <c r="D350" s="35"/>
      <c r="E350" s="107"/>
      <c r="F350" s="35"/>
      <c r="G350" s="35"/>
      <c r="H350" s="35"/>
      <c r="I350" s="35"/>
      <c r="J350" s="35"/>
      <c r="K350" s="35"/>
      <c r="L350" s="35"/>
      <c r="M350" s="35"/>
      <c r="N350" s="35"/>
      <c r="O350" s="35"/>
      <c r="P350" s="35"/>
      <c r="Q350" s="35"/>
      <c r="R350" s="35"/>
      <c r="S350" s="35"/>
      <c r="T350" s="35"/>
      <c r="U350" s="35"/>
      <c r="V350" s="35"/>
      <c r="W350" s="35"/>
      <c r="X350" s="35"/>
      <c r="Y350" s="35"/>
      <c r="Z350" s="35"/>
      <c r="AA350" s="35"/>
    </row>
    <row r="351">
      <c r="A351" s="35"/>
      <c r="B351" s="35"/>
      <c r="C351" s="35"/>
      <c r="D351" s="35"/>
      <c r="E351" s="107"/>
      <c r="F351" s="35"/>
      <c r="G351" s="35"/>
      <c r="H351" s="35"/>
      <c r="I351" s="35"/>
      <c r="J351" s="35"/>
      <c r="K351" s="35"/>
      <c r="L351" s="35"/>
      <c r="M351" s="35"/>
      <c r="N351" s="35"/>
      <c r="O351" s="35"/>
      <c r="P351" s="35"/>
      <c r="Q351" s="35"/>
      <c r="R351" s="35"/>
      <c r="S351" s="35"/>
      <c r="T351" s="35"/>
      <c r="U351" s="35"/>
      <c r="V351" s="35"/>
      <c r="W351" s="35"/>
      <c r="X351" s="35"/>
      <c r="Y351" s="35"/>
      <c r="Z351" s="35"/>
      <c r="AA351" s="35"/>
    </row>
    <row r="352">
      <c r="A352" s="35"/>
      <c r="B352" s="35"/>
      <c r="C352" s="35"/>
      <c r="D352" s="35"/>
      <c r="E352" s="107"/>
      <c r="F352" s="35"/>
      <c r="G352" s="35"/>
      <c r="H352" s="35"/>
      <c r="I352" s="35"/>
      <c r="J352" s="35"/>
      <c r="K352" s="35"/>
      <c r="L352" s="35"/>
      <c r="M352" s="35"/>
      <c r="N352" s="35"/>
      <c r="O352" s="35"/>
      <c r="P352" s="35"/>
      <c r="Q352" s="35"/>
      <c r="R352" s="35"/>
      <c r="S352" s="35"/>
      <c r="T352" s="35"/>
      <c r="U352" s="35"/>
      <c r="V352" s="35"/>
      <c r="W352" s="35"/>
      <c r="X352" s="35"/>
      <c r="Y352" s="35"/>
      <c r="Z352" s="35"/>
      <c r="AA352" s="35"/>
    </row>
    <row r="353">
      <c r="A353" s="35"/>
      <c r="B353" s="35"/>
      <c r="C353" s="35"/>
      <c r="D353" s="35"/>
      <c r="E353" s="107"/>
      <c r="F353" s="35"/>
      <c r="G353" s="35"/>
      <c r="H353" s="35"/>
      <c r="I353" s="35"/>
      <c r="J353" s="35"/>
      <c r="K353" s="35"/>
      <c r="L353" s="35"/>
      <c r="M353" s="35"/>
      <c r="N353" s="35"/>
      <c r="O353" s="35"/>
      <c r="P353" s="35"/>
      <c r="Q353" s="35"/>
      <c r="R353" s="35"/>
      <c r="S353" s="35"/>
      <c r="T353" s="35"/>
      <c r="U353" s="35"/>
      <c r="V353" s="35"/>
      <c r="W353" s="35"/>
      <c r="X353" s="35"/>
      <c r="Y353" s="35"/>
      <c r="Z353" s="35"/>
      <c r="AA353" s="35"/>
    </row>
    <row r="354">
      <c r="A354" s="35"/>
      <c r="B354" s="35"/>
      <c r="C354" s="35"/>
      <c r="D354" s="35"/>
      <c r="E354" s="107"/>
      <c r="F354" s="35"/>
      <c r="G354" s="35"/>
      <c r="H354" s="35"/>
      <c r="I354" s="35"/>
      <c r="J354" s="35"/>
      <c r="K354" s="35"/>
      <c r="L354" s="35"/>
      <c r="M354" s="35"/>
      <c r="N354" s="35"/>
      <c r="O354" s="35"/>
      <c r="P354" s="35"/>
      <c r="Q354" s="35"/>
      <c r="R354" s="35"/>
      <c r="S354" s="35"/>
      <c r="T354" s="35"/>
      <c r="U354" s="35"/>
      <c r="V354" s="35"/>
      <c r="W354" s="35"/>
      <c r="X354" s="35"/>
      <c r="Y354" s="35"/>
      <c r="Z354" s="35"/>
      <c r="AA354" s="35"/>
    </row>
    <row r="355">
      <c r="A355" s="35"/>
      <c r="B355" s="35"/>
      <c r="C355" s="35"/>
      <c r="D355" s="35"/>
      <c r="E355" s="107"/>
      <c r="F355" s="35"/>
      <c r="G355" s="35"/>
      <c r="H355" s="35"/>
      <c r="I355" s="35"/>
      <c r="J355" s="35"/>
      <c r="K355" s="35"/>
      <c r="L355" s="35"/>
      <c r="M355" s="35"/>
      <c r="N355" s="35"/>
      <c r="O355" s="35"/>
      <c r="P355" s="35"/>
      <c r="Q355" s="35"/>
      <c r="R355" s="35"/>
      <c r="S355" s="35"/>
      <c r="T355" s="35"/>
      <c r="U355" s="35"/>
      <c r="V355" s="35"/>
      <c r="W355" s="35"/>
      <c r="X355" s="35"/>
      <c r="Y355" s="35"/>
      <c r="Z355" s="35"/>
      <c r="AA355" s="35"/>
    </row>
    <row r="356">
      <c r="A356" s="35"/>
      <c r="B356" s="35"/>
      <c r="C356" s="35"/>
      <c r="D356" s="35"/>
      <c r="E356" s="107"/>
      <c r="F356" s="35"/>
      <c r="G356" s="35"/>
      <c r="H356" s="35"/>
      <c r="I356" s="35"/>
      <c r="J356" s="35"/>
      <c r="K356" s="35"/>
      <c r="L356" s="35"/>
      <c r="M356" s="35"/>
      <c r="N356" s="35"/>
      <c r="O356" s="35"/>
      <c r="P356" s="35"/>
      <c r="Q356" s="35"/>
      <c r="R356" s="35"/>
      <c r="S356" s="35"/>
      <c r="T356" s="35"/>
      <c r="U356" s="35"/>
      <c r="V356" s="35"/>
      <c r="W356" s="35"/>
      <c r="X356" s="35"/>
      <c r="Y356" s="35"/>
      <c r="Z356" s="35"/>
      <c r="AA356" s="35"/>
    </row>
    <row r="357">
      <c r="A357" s="35"/>
      <c r="B357" s="35"/>
      <c r="C357" s="35"/>
      <c r="D357" s="35"/>
      <c r="E357" s="107"/>
      <c r="F357" s="35"/>
      <c r="G357" s="35"/>
      <c r="H357" s="35"/>
      <c r="I357" s="35"/>
      <c r="J357" s="35"/>
      <c r="K357" s="35"/>
      <c r="L357" s="35"/>
      <c r="M357" s="35"/>
      <c r="N357" s="35"/>
      <c r="O357" s="35"/>
      <c r="P357" s="35"/>
      <c r="Q357" s="35"/>
      <c r="R357" s="35"/>
      <c r="S357" s="35"/>
      <c r="T357" s="35"/>
      <c r="U357" s="35"/>
      <c r="V357" s="35"/>
      <c r="W357" s="35"/>
      <c r="X357" s="35"/>
      <c r="Y357" s="35"/>
      <c r="Z357" s="35"/>
      <c r="AA357" s="35"/>
    </row>
    <row r="358">
      <c r="A358" s="35"/>
      <c r="B358" s="35"/>
      <c r="C358" s="35"/>
      <c r="D358" s="35"/>
      <c r="E358" s="107"/>
      <c r="F358" s="35"/>
      <c r="G358" s="35"/>
      <c r="H358" s="35"/>
      <c r="I358" s="35"/>
      <c r="J358" s="35"/>
      <c r="K358" s="35"/>
      <c r="L358" s="35"/>
      <c r="M358" s="35"/>
      <c r="N358" s="35"/>
      <c r="O358" s="35"/>
      <c r="P358" s="35"/>
      <c r="Q358" s="35"/>
      <c r="R358" s="35"/>
      <c r="S358" s="35"/>
      <c r="T358" s="35"/>
      <c r="U358" s="35"/>
      <c r="V358" s="35"/>
      <c r="W358" s="35"/>
      <c r="X358" s="35"/>
      <c r="Y358" s="35"/>
      <c r="Z358" s="35"/>
      <c r="AA358" s="35"/>
    </row>
    <row r="359">
      <c r="A359" s="35"/>
      <c r="B359" s="35"/>
      <c r="C359" s="35"/>
      <c r="D359" s="35"/>
      <c r="E359" s="107"/>
      <c r="F359" s="35"/>
      <c r="G359" s="35"/>
      <c r="H359" s="35"/>
      <c r="I359" s="35"/>
      <c r="J359" s="35"/>
      <c r="K359" s="35"/>
      <c r="L359" s="35"/>
      <c r="M359" s="35"/>
      <c r="N359" s="35"/>
      <c r="O359" s="35"/>
      <c r="P359" s="35"/>
      <c r="Q359" s="35"/>
      <c r="R359" s="35"/>
      <c r="S359" s="35"/>
      <c r="T359" s="35"/>
      <c r="U359" s="35"/>
      <c r="V359" s="35"/>
      <c r="W359" s="35"/>
      <c r="X359" s="35"/>
      <c r="Y359" s="35"/>
      <c r="Z359" s="35"/>
      <c r="AA359" s="35"/>
    </row>
    <row r="360">
      <c r="A360" s="35"/>
      <c r="B360" s="35"/>
      <c r="C360" s="35"/>
      <c r="D360" s="35"/>
      <c r="E360" s="107"/>
      <c r="F360" s="35"/>
      <c r="G360" s="35"/>
      <c r="H360" s="35"/>
      <c r="I360" s="35"/>
      <c r="J360" s="35"/>
      <c r="K360" s="35"/>
      <c r="L360" s="35"/>
      <c r="M360" s="35"/>
      <c r="N360" s="35"/>
      <c r="O360" s="35"/>
      <c r="P360" s="35"/>
      <c r="Q360" s="35"/>
      <c r="R360" s="35"/>
      <c r="S360" s="35"/>
      <c r="T360" s="35"/>
      <c r="U360" s="35"/>
      <c r="V360" s="35"/>
      <c r="W360" s="35"/>
      <c r="X360" s="35"/>
      <c r="Y360" s="35"/>
      <c r="Z360" s="35"/>
      <c r="AA360" s="35"/>
    </row>
    <row r="361">
      <c r="A361" s="35"/>
      <c r="B361" s="35"/>
      <c r="C361" s="35"/>
      <c r="D361" s="35"/>
      <c r="E361" s="107"/>
      <c r="F361" s="35"/>
      <c r="G361" s="35"/>
      <c r="H361" s="35"/>
      <c r="I361" s="35"/>
      <c r="J361" s="35"/>
      <c r="K361" s="35"/>
      <c r="L361" s="35"/>
      <c r="M361" s="35"/>
      <c r="N361" s="35"/>
      <c r="O361" s="35"/>
      <c r="P361" s="35"/>
      <c r="Q361" s="35"/>
      <c r="R361" s="35"/>
      <c r="S361" s="35"/>
      <c r="T361" s="35"/>
      <c r="U361" s="35"/>
      <c r="V361" s="35"/>
      <c r="W361" s="35"/>
      <c r="X361" s="35"/>
      <c r="Y361" s="35"/>
      <c r="Z361" s="35"/>
      <c r="AA361" s="35"/>
    </row>
    <row r="362">
      <c r="A362" s="35"/>
      <c r="B362" s="35"/>
      <c r="C362" s="35"/>
      <c r="D362" s="35"/>
      <c r="E362" s="107"/>
      <c r="F362" s="35"/>
      <c r="G362" s="35"/>
      <c r="H362" s="35"/>
      <c r="I362" s="35"/>
      <c r="J362" s="35"/>
      <c r="K362" s="35"/>
      <c r="L362" s="35"/>
      <c r="M362" s="35"/>
      <c r="N362" s="35"/>
      <c r="O362" s="35"/>
      <c r="P362" s="35"/>
      <c r="Q362" s="35"/>
      <c r="R362" s="35"/>
      <c r="S362" s="35"/>
      <c r="T362" s="35"/>
      <c r="U362" s="35"/>
      <c r="V362" s="35"/>
      <c r="W362" s="35"/>
      <c r="X362" s="35"/>
      <c r="Y362" s="35"/>
      <c r="Z362" s="35"/>
      <c r="AA362" s="35"/>
    </row>
    <row r="363">
      <c r="A363" s="35"/>
      <c r="B363" s="35"/>
      <c r="C363" s="35"/>
      <c r="D363" s="35"/>
      <c r="E363" s="107"/>
      <c r="F363" s="35"/>
      <c r="G363" s="35"/>
      <c r="H363" s="35"/>
      <c r="I363" s="35"/>
      <c r="J363" s="35"/>
      <c r="K363" s="35"/>
      <c r="L363" s="35"/>
      <c r="M363" s="35"/>
      <c r="N363" s="35"/>
      <c r="O363" s="35"/>
      <c r="P363" s="35"/>
      <c r="Q363" s="35"/>
      <c r="R363" s="35"/>
      <c r="S363" s="35"/>
      <c r="T363" s="35"/>
      <c r="U363" s="35"/>
      <c r="V363" s="35"/>
      <c r="W363" s="35"/>
      <c r="X363" s="35"/>
      <c r="Y363" s="35"/>
      <c r="Z363" s="35"/>
      <c r="AA363" s="35"/>
    </row>
    <row r="364">
      <c r="A364" s="35"/>
      <c r="B364" s="35"/>
      <c r="C364" s="35"/>
      <c r="D364" s="35"/>
      <c r="E364" s="107"/>
      <c r="F364" s="35"/>
      <c r="G364" s="35"/>
      <c r="H364" s="35"/>
      <c r="I364" s="35"/>
      <c r="J364" s="35"/>
      <c r="K364" s="35"/>
      <c r="L364" s="35"/>
      <c r="M364" s="35"/>
      <c r="N364" s="35"/>
      <c r="O364" s="35"/>
      <c r="P364" s="35"/>
      <c r="Q364" s="35"/>
      <c r="R364" s="35"/>
      <c r="S364" s="35"/>
      <c r="T364" s="35"/>
      <c r="U364" s="35"/>
      <c r="V364" s="35"/>
      <c r="W364" s="35"/>
      <c r="X364" s="35"/>
      <c r="Y364" s="35"/>
      <c r="Z364" s="35"/>
      <c r="AA364" s="35"/>
    </row>
    <row r="365">
      <c r="A365" s="35"/>
      <c r="B365" s="35"/>
      <c r="C365" s="35"/>
      <c r="D365" s="35"/>
      <c r="E365" s="107"/>
      <c r="F365" s="35"/>
      <c r="G365" s="35"/>
      <c r="H365" s="35"/>
      <c r="I365" s="35"/>
      <c r="J365" s="35"/>
      <c r="K365" s="35"/>
      <c r="L365" s="35"/>
      <c r="M365" s="35"/>
      <c r="N365" s="35"/>
      <c r="O365" s="35"/>
      <c r="P365" s="35"/>
      <c r="Q365" s="35"/>
      <c r="R365" s="35"/>
      <c r="S365" s="35"/>
      <c r="T365" s="35"/>
      <c r="U365" s="35"/>
      <c r="V365" s="35"/>
      <c r="W365" s="35"/>
      <c r="X365" s="35"/>
      <c r="Y365" s="35"/>
      <c r="Z365" s="35"/>
      <c r="AA365" s="35"/>
    </row>
    <row r="366">
      <c r="A366" s="35"/>
      <c r="B366" s="35"/>
      <c r="C366" s="35"/>
      <c r="D366" s="35"/>
      <c r="E366" s="107"/>
      <c r="F366" s="35"/>
      <c r="G366" s="35"/>
      <c r="H366" s="35"/>
      <c r="I366" s="35"/>
      <c r="J366" s="35"/>
      <c r="K366" s="35"/>
      <c r="L366" s="35"/>
      <c r="M366" s="35"/>
      <c r="N366" s="35"/>
      <c r="O366" s="35"/>
      <c r="P366" s="35"/>
      <c r="Q366" s="35"/>
      <c r="R366" s="35"/>
      <c r="S366" s="35"/>
      <c r="T366" s="35"/>
      <c r="U366" s="35"/>
      <c r="V366" s="35"/>
      <c r="W366" s="35"/>
      <c r="X366" s="35"/>
      <c r="Y366" s="35"/>
      <c r="Z366" s="35"/>
      <c r="AA366" s="35"/>
    </row>
    <row r="367">
      <c r="A367" s="35"/>
      <c r="B367" s="35"/>
      <c r="C367" s="35"/>
      <c r="D367" s="35"/>
      <c r="E367" s="107"/>
      <c r="F367" s="35"/>
      <c r="G367" s="35"/>
      <c r="H367" s="35"/>
      <c r="I367" s="35"/>
      <c r="J367" s="35"/>
      <c r="K367" s="35"/>
      <c r="L367" s="35"/>
      <c r="M367" s="35"/>
      <c r="N367" s="35"/>
      <c r="O367" s="35"/>
      <c r="P367" s="35"/>
      <c r="Q367" s="35"/>
      <c r="R367" s="35"/>
      <c r="S367" s="35"/>
      <c r="T367" s="35"/>
      <c r="U367" s="35"/>
      <c r="V367" s="35"/>
      <c r="W367" s="35"/>
      <c r="X367" s="35"/>
      <c r="Y367" s="35"/>
      <c r="Z367" s="35"/>
      <c r="AA367" s="35"/>
    </row>
    <row r="368">
      <c r="A368" s="35"/>
      <c r="B368" s="35"/>
      <c r="C368" s="35"/>
      <c r="D368" s="35"/>
      <c r="E368" s="107"/>
      <c r="F368" s="35"/>
      <c r="G368" s="35"/>
      <c r="H368" s="35"/>
      <c r="I368" s="35"/>
      <c r="J368" s="35"/>
      <c r="K368" s="35"/>
      <c r="L368" s="35"/>
      <c r="M368" s="35"/>
      <c r="N368" s="35"/>
      <c r="O368" s="35"/>
      <c r="P368" s="35"/>
      <c r="Q368" s="35"/>
      <c r="R368" s="35"/>
      <c r="S368" s="35"/>
      <c r="T368" s="35"/>
      <c r="U368" s="35"/>
      <c r="V368" s="35"/>
      <c r="W368" s="35"/>
      <c r="X368" s="35"/>
      <c r="Y368" s="35"/>
      <c r="Z368" s="35"/>
      <c r="AA368" s="35"/>
    </row>
    <row r="369">
      <c r="A369" s="35"/>
      <c r="B369" s="35"/>
      <c r="C369" s="35"/>
      <c r="D369" s="35"/>
      <c r="E369" s="107"/>
      <c r="F369" s="35"/>
      <c r="G369" s="35"/>
      <c r="H369" s="35"/>
      <c r="I369" s="35"/>
      <c r="J369" s="35"/>
      <c r="K369" s="35"/>
      <c r="L369" s="35"/>
      <c r="M369" s="35"/>
      <c r="N369" s="35"/>
      <c r="O369" s="35"/>
      <c r="P369" s="35"/>
      <c r="Q369" s="35"/>
      <c r="R369" s="35"/>
      <c r="S369" s="35"/>
      <c r="T369" s="35"/>
      <c r="U369" s="35"/>
      <c r="V369" s="35"/>
      <c r="W369" s="35"/>
      <c r="X369" s="35"/>
      <c r="Y369" s="35"/>
      <c r="Z369" s="35"/>
      <c r="AA369" s="35"/>
    </row>
    <row r="370">
      <c r="A370" s="35"/>
      <c r="B370" s="35"/>
      <c r="C370" s="35"/>
      <c r="D370" s="35"/>
      <c r="E370" s="107"/>
      <c r="F370" s="35"/>
      <c r="G370" s="35"/>
      <c r="H370" s="35"/>
      <c r="I370" s="35"/>
      <c r="J370" s="35"/>
      <c r="K370" s="35"/>
      <c r="L370" s="35"/>
      <c r="M370" s="35"/>
      <c r="N370" s="35"/>
      <c r="O370" s="35"/>
      <c r="P370" s="35"/>
      <c r="Q370" s="35"/>
      <c r="R370" s="35"/>
      <c r="S370" s="35"/>
      <c r="T370" s="35"/>
      <c r="U370" s="35"/>
      <c r="V370" s="35"/>
      <c r="W370" s="35"/>
      <c r="X370" s="35"/>
      <c r="Y370" s="35"/>
      <c r="Z370" s="35"/>
      <c r="AA370" s="35"/>
    </row>
    <row r="371">
      <c r="A371" s="35"/>
      <c r="B371" s="35"/>
      <c r="C371" s="35"/>
      <c r="D371" s="35"/>
      <c r="E371" s="107"/>
      <c r="F371" s="35"/>
      <c r="G371" s="35"/>
      <c r="H371" s="35"/>
      <c r="I371" s="35"/>
      <c r="J371" s="35"/>
      <c r="K371" s="35"/>
      <c r="L371" s="35"/>
      <c r="M371" s="35"/>
      <c r="N371" s="35"/>
      <c r="O371" s="35"/>
      <c r="P371" s="35"/>
      <c r="Q371" s="35"/>
      <c r="R371" s="35"/>
      <c r="S371" s="35"/>
      <c r="T371" s="35"/>
      <c r="U371" s="35"/>
      <c r="V371" s="35"/>
      <c r="W371" s="35"/>
      <c r="X371" s="35"/>
      <c r="Y371" s="35"/>
      <c r="Z371" s="35"/>
      <c r="AA371" s="35"/>
    </row>
    <row r="372">
      <c r="A372" s="35"/>
      <c r="B372" s="35"/>
      <c r="C372" s="35"/>
      <c r="D372" s="35"/>
      <c r="E372" s="107"/>
      <c r="F372" s="35"/>
      <c r="G372" s="35"/>
      <c r="H372" s="35"/>
      <c r="I372" s="35"/>
      <c r="J372" s="35"/>
      <c r="K372" s="35"/>
      <c r="L372" s="35"/>
      <c r="M372" s="35"/>
      <c r="N372" s="35"/>
      <c r="O372" s="35"/>
      <c r="P372" s="35"/>
      <c r="Q372" s="35"/>
      <c r="R372" s="35"/>
      <c r="S372" s="35"/>
      <c r="T372" s="35"/>
      <c r="U372" s="35"/>
      <c r="V372" s="35"/>
      <c r="W372" s="35"/>
      <c r="X372" s="35"/>
      <c r="Y372" s="35"/>
      <c r="Z372" s="35"/>
      <c r="AA372" s="35"/>
    </row>
    <row r="373">
      <c r="A373" s="35"/>
      <c r="B373" s="35"/>
      <c r="C373" s="35"/>
      <c r="D373" s="35"/>
      <c r="E373" s="107"/>
      <c r="F373" s="35"/>
      <c r="G373" s="35"/>
      <c r="H373" s="35"/>
      <c r="I373" s="35"/>
      <c r="J373" s="35"/>
      <c r="K373" s="35"/>
      <c r="L373" s="35"/>
      <c r="M373" s="35"/>
      <c r="N373" s="35"/>
      <c r="O373" s="35"/>
      <c r="P373" s="35"/>
      <c r="Q373" s="35"/>
      <c r="R373" s="35"/>
      <c r="S373" s="35"/>
      <c r="T373" s="35"/>
      <c r="U373" s="35"/>
      <c r="V373" s="35"/>
      <c r="W373" s="35"/>
      <c r="X373" s="35"/>
      <c r="Y373" s="35"/>
      <c r="Z373" s="35"/>
      <c r="AA373" s="35"/>
    </row>
    <row r="374">
      <c r="A374" s="35"/>
      <c r="B374" s="35"/>
      <c r="C374" s="35"/>
      <c r="D374" s="35"/>
      <c r="E374" s="107"/>
      <c r="F374" s="35"/>
      <c r="G374" s="35"/>
      <c r="H374" s="35"/>
      <c r="I374" s="35"/>
      <c r="J374" s="35"/>
      <c r="K374" s="35"/>
      <c r="L374" s="35"/>
      <c r="M374" s="35"/>
      <c r="N374" s="35"/>
      <c r="O374" s="35"/>
      <c r="P374" s="35"/>
      <c r="Q374" s="35"/>
      <c r="R374" s="35"/>
      <c r="S374" s="35"/>
      <c r="T374" s="35"/>
      <c r="U374" s="35"/>
      <c r="V374" s="35"/>
      <c r="W374" s="35"/>
      <c r="X374" s="35"/>
      <c r="Y374" s="35"/>
      <c r="Z374" s="35"/>
      <c r="AA374" s="35"/>
    </row>
    <row r="375">
      <c r="A375" s="35"/>
      <c r="B375" s="35"/>
      <c r="C375" s="35"/>
      <c r="D375" s="35"/>
      <c r="E375" s="107"/>
      <c r="F375" s="35"/>
      <c r="G375" s="35"/>
      <c r="H375" s="35"/>
      <c r="I375" s="35"/>
      <c r="J375" s="35"/>
      <c r="K375" s="35"/>
      <c r="L375" s="35"/>
      <c r="M375" s="35"/>
      <c r="N375" s="35"/>
      <c r="O375" s="35"/>
      <c r="P375" s="35"/>
      <c r="Q375" s="35"/>
      <c r="R375" s="35"/>
      <c r="S375" s="35"/>
      <c r="T375" s="35"/>
      <c r="U375" s="35"/>
      <c r="V375" s="35"/>
      <c r="W375" s="35"/>
      <c r="X375" s="35"/>
      <c r="Y375" s="35"/>
      <c r="Z375" s="35"/>
      <c r="AA375" s="35"/>
    </row>
    <row r="376">
      <c r="A376" s="35"/>
      <c r="B376" s="35"/>
      <c r="C376" s="35"/>
      <c r="D376" s="35"/>
      <c r="E376" s="107"/>
      <c r="F376" s="35"/>
      <c r="G376" s="35"/>
      <c r="H376" s="35"/>
      <c r="I376" s="35"/>
      <c r="J376" s="35"/>
      <c r="K376" s="35"/>
      <c r="L376" s="35"/>
      <c r="M376" s="35"/>
      <c r="N376" s="35"/>
      <c r="O376" s="35"/>
      <c r="P376" s="35"/>
      <c r="Q376" s="35"/>
      <c r="R376" s="35"/>
      <c r="S376" s="35"/>
      <c r="T376" s="35"/>
      <c r="U376" s="35"/>
      <c r="V376" s="35"/>
      <c r="W376" s="35"/>
      <c r="X376" s="35"/>
      <c r="Y376" s="35"/>
      <c r="Z376" s="35"/>
      <c r="AA376" s="35"/>
    </row>
    <row r="377">
      <c r="A377" s="35"/>
      <c r="B377" s="35"/>
      <c r="C377" s="35"/>
      <c r="D377" s="35"/>
      <c r="E377" s="107"/>
      <c r="F377" s="35"/>
      <c r="G377" s="35"/>
      <c r="H377" s="35"/>
      <c r="I377" s="35"/>
      <c r="J377" s="35"/>
      <c r="K377" s="35"/>
      <c r="L377" s="35"/>
      <c r="M377" s="35"/>
      <c r="N377" s="35"/>
      <c r="O377" s="35"/>
      <c r="P377" s="35"/>
      <c r="Q377" s="35"/>
      <c r="R377" s="35"/>
      <c r="S377" s="35"/>
      <c r="T377" s="35"/>
      <c r="U377" s="35"/>
      <c r="V377" s="35"/>
      <c r="W377" s="35"/>
      <c r="X377" s="35"/>
      <c r="Y377" s="35"/>
      <c r="Z377" s="35"/>
      <c r="AA377" s="35"/>
    </row>
    <row r="378">
      <c r="A378" s="35"/>
      <c r="B378" s="35"/>
      <c r="C378" s="35"/>
      <c r="D378" s="35"/>
      <c r="E378" s="107"/>
      <c r="F378" s="35"/>
      <c r="G378" s="35"/>
      <c r="H378" s="35"/>
      <c r="I378" s="35"/>
      <c r="J378" s="35"/>
      <c r="K378" s="35"/>
      <c r="L378" s="35"/>
      <c r="M378" s="35"/>
      <c r="N378" s="35"/>
      <c r="O378" s="35"/>
      <c r="P378" s="35"/>
      <c r="Q378" s="35"/>
      <c r="R378" s="35"/>
      <c r="S378" s="35"/>
      <c r="T378" s="35"/>
      <c r="U378" s="35"/>
      <c r="V378" s="35"/>
      <c r="W378" s="35"/>
      <c r="X378" s="35"/>
      <c r="Y378" s="35"/>
      <c r="Z378" s="35"/>
      <c r="AA378" s="35"/>
    </row>
    <row r="379">
      <c r="A379" s="35"/>
      <c r="B379" s="35"/>
      <c r="C379" s="35"/>
      <c r="D379" s="35"/>
      <c r="E379" s="107"/>
      <c r="F379" s="35"/>
      <c r="G379" s="35"/>
      <c r="H379" s="35"/>
      <c r="I379" s="35"/>
      <c r="J379" s="35"/>
      <c r="K379" s="35"/>
      <c r="L379" s="35"/>
      <c r="M379" s="35"/>
      <c r="N379" s="35"/>
      <c r="O379" s="35"/>
      <c r="P379" s="35"/>
      <c r="Q379" s="35"/>
      <c r="R379" s="35"/>
      <c r="S379" s="35"/>
      <c r="T379" s="35"/>
      <c r="U379" s="35"/>
      <c r="V379" s="35"/>
      <c r="W379" s="35"/>
      <c r="X379" s="35"/>
      <c r="Y379" s="35"/>
      <c r="Z379" s="35"/>
      <c r="AA379" s="35"/>
    </row>
    <row r="380">
      <c r="A380" s="35"/>
      <c r="B380" s="35"/>
      <c r="C380" s="35"/>
      <c r="D380" s="35"/>
      <c r="E380" s="107"/>
      <c r="F380" s="35"/>
      <c r="G380" s="35"/>
      <c r="H380" s="35"/>
      <c r="I380" s="35"/>
      <c r="J380" s="35"/>
      <c r="K380" s="35"/>
      <c r="L380" s="35"/>
      <c r="M380" s="35"/>
      <c r="N380" s="35"/>
      <c r="O380" s="35"/>
      <c r="P380" s="35"/>
      <c r="Q380" s="35"/>
      <c r="R380" s="35"/>
      <c r="S380" s="35"/>
      <c r="T380" s="35"/>
      <c r="U380" s="35"/>
      <c r="V380" s="35"/>
      <c r="W380" s="35"/>
      <c r="X380" s="35"/>
      <c r="Y380" s="35"/>
      <c r="Z380" s="35"/>
      <c r="AA380" s="35"/>
    </row>
    <row r="381">
      <c r="A381" s="35"/>
      <c r="B381" s="35"/>
      <c r="C381" s="35"/>
      <c r="D381" s="35"/>
      <c r="E381" s="107"/>
      <c r="F381" s="35"/>
      <c r="G381" s="35"/>
      <c r="H381" s="35"/>
      <c r="I381" s="35"/>
      <c r="J381" s="35"/>
      <c r="K381" s="35"/>
      <c r="L381" s="35"/>
      <c r="M381" s="35"/>
      <c r="N381" s="35"/>
      <c r="O381" s="35"/>
      <c r="P381" s="35"/>
      <c r="Q381" s="35"/>
      <c r="R381" s="35"/>
      <c r="S381" s="35"/>
      <c r="T381" s="35"/>
      <c r="U381" s="35"/>
      <c r="V381" s="35"/>
      <c r="W381" s="35"/>
      <c r="X381" s="35"/>
      <c r="Y381" s="35"/>
      <c r="Z381" s="35"/>
      <c r="AA381" s="35"/>
    </row>
    <row r="382">
      <c r="A382" s="35"/>
      <c r="B382" s="35"/>
      <c r="C382" s="35"/>
      <c r="D382" s="35"/>
      <c r="E382" s="107"/>
      <c r="F382" s="35"/>
      <c r="G382" s="35"/>
      <c r="H382" s="35"/>
      <c r="I382" s="35"/>
      <c r="J382" s="35"/>
      <c r="K382" s="35"/>
      <c r="L382" s="35"/>
      <c r="M382" s="35"/>
      <c r="N382" s="35"/>
      <c r="O382" s="35"/>
      <c r="P382" s="35"/>
      <c r="Q382" s="35"/>
      <c r="R382" s="35"/>
      <c r="S382" s="35"/>
      <c r="T382" s="35"/>
      <c r="U382" s="35"/>
      <c r="V382" s="35"/>
      <c r="W382" s="35"/>
      <c r="X382" s="35"/>
      <c r="Y382" s="35"/>
      <c r="Z382" s="35"/>
      <c r="AA382" s="35"/>
    </row>
    <row r="383">
      <c r="A383" s="35"/>
      <c r="B383" s="35"/>
      <c r="C383" s="35"/>
      <c r="D383" s="35"/>
      <c r="E383" s="107"/>
      <c r="F383" s="35"/>
      <c r="G383" s="35"/>
      <c r="H383" s="35"/>
      <c r="I383" s="35"/>
      <c r="J383" s="35"/>
      <c r="K383" s="35"/>
      <c r="L383" s="35"/>
      <c r="M383" s="35"/>
      <c r="N383" s="35"/>
      <c r="O383" s="35"/>
      <c r="P383" s="35"/>
      <c r="Q383" s="35"/>
      <c r="R383" s="35"/>
      <c r="S383" s="35"/>
      <c r="T383" s="35"/>
      <c r="U383" s="35"/>
      <c r="V383" s="35"/>
      <c r="W383" s="35"/>
      <c r="X383" s="35"/>
      <c r="Y383" s="35"/>
      <c r="Z383" s="35"/>
      <c r="AA383" s="35"/>
    </row>
    <row r="384">
      <c r="A384" s="35"/>
      <c r="B384" s="35"/>
      <c r="C384" s="35"/>
      <c r="D384" s="35"/>
      <c r="E384" s="107"/>
      <c r="F384" s="35"/>
      <c r="G384" s="35"/>
      <c r="H384" s="35"/>
      <c r="I384" s="35"/>
      <c r="J384" s="35"/>
      <c r="K384" s="35"/>
      <c r="L384" s="35"/>
      <c r="M384" s="35"/>
      <c r="N384" s="35"/>
      <c r="O384" s="35"/>
      <c r="P384" s="35"/>
      <c r="Q384" s="35"/>
      <c r="R384" s="35"/>
      <c r="S384" s="35"/>
      <c r="T384" s="35"/>
      <c r="U384" s="35"/>
      <c r="V384" s="35"/>
      <c r="W384" s="35"/>
      <c r="X384" s="35"/>
      <c r="Y384" s="35"/>
      <c r="Z384" s="35"/>
      <c r="AA384" s="35"/>
    </row>
    <row r="385">
      <c r="A385" s="35"/>
      <c r="B385" s="35"/>
      <c r="C385" s="35"/>
      <c r="D385" s="35"/>
      <c r="E385" s="107"/>
      <c r="F385" s="35"/>
      <c r="G385" s="35"/>
      <c r="H385" s="35"/>
      <c r="I385" s="35"/>
      <c r="J385" s="35"/>
      <c r="K385" s="35"/>
      <c r="L385" s="35"/>
      <c r="M385" s="35"/>
      <c r="N385" s="35"/>
      <c r="O385" s="35"/>
      <c r="P385" s="35"/>
      <c r="Q385" s="35"/>
      <c r="R385" s="35"/>
      <c r="S385" s="35"/>
      <c r="T385" s="35"/>
      <c r="U385" s="35"/>
      <c r="V385" s="35"/>
      <c r="W385" s="35"/>
      <c r="X385" s="35"/>
      <c r="Y385" s="35"/>
      <c r="Z385" s="35"/>
      <c r="AA385" s="35"/>
    </row>
    <row r="386">
      <c r="A386" s="35"/>
      <c r="B386" s="35"/>
      <c r="C386" s="35"/>
      <c r="D386" s="35"/>
      <c r="E386" s="107"/>
      <c r="F386" s="35"/>
      <c r="G386" s="35"/>
      <c r="H386" s="35"/>
      <c r="I386" s="35"/>
      <c r="J386" s="35"/>
      <c r="K386" s="35"/>
      <c r="L386" s="35"/>
      <c r="M386" s="35"/>
      <c r="N386" s="35"/>
      <c r="O386" s="35"/>
      <c r="P386" s="35"/>
      <c r="Q386" s="35"/>
      <c r="R386" s="35"/>
      <c r="S386" s="35"/>
      <c r="T386" s="35"/>
      <c r="U386" s="35"/>
      <c r="V386" s="35"/>
      <c r="W386" s="35"/>
      <c r="X386" s="35"/>
      <c r="Y386" s="35"/>
      <c r="Z386" s="35"/>
      <c r="AA386" s="35"/>
    </row>
    <row r="387">
      <c r="A387" s="35"/>
      <c r="B387" s="35"/>
      <c r="C387" s="35"/>
      <c r="D387" s="35"/>
      <c r="E387" s="107"/>
      <c r="F387" s="35"/>
      <c r="G387" s="35"/>
      <c r="H387" s="35"/>
      <c r="I387" s="35"/>
      <c r="J387" s="35"/>
      <c r="K387" s="35"/>
      <c r="L387" s="35"/>
      <c r="M387" s="35"/>
      <c r="N387" s="35"/>
      <c r="O387" s="35"/>
      <c r="P387" s="35"/>
      <c r="Q387" s="35"/>
      <c r="R387" s="35"/>
      <c r="S387" s="35"/>
      <c r="T387" s="35"/>
      <c r="U387" s="35"/>
      <c r="V387" s="35"/>
      <c r="W387" s="35"/>
      <c r="X387" s="35"/>
      <c r="Y387" s="35"/>
      <c r="Z387" s="35"/>
      <c r="AA387" s="35"/>
    </row>
    <row r="388">
      <c r="A388" s="35"/>
      <c r="B388" s="35"/>
      <c r="C388" s="35"/>
      <c r="D388" s="35"/>
      <c r="E388" s="107"/>
      <c r="F388" s="35"/>
      <c r="G388" s="35"/>
      <c r="H388" s="35"/>
      <c r="I388" s="35"/>
      <c r="J388" s="35"/>
      <c r="K388" s="35"/>
      <c r="L388" s="35"/>
      <c r="M388" s="35"/>
      <c r="N388" s="35"/>
      <c r="O388" s="35"/>
      <c r="P388" s="35"/>
      <c r="Q388" s="35"/>
      <c r="R388" s="35"/>
      <c r="S388" s="35"/>
      <c r="T388" s="35"/>
      <c r="U388" s="35"/>
      <c r="V388" s="35"/>
      <c r="W388" s="35"/>
      <c r="X388" s="35"/>
      <c r="Y388" s="35"/>
      <c r="Z388" s="35"/>
      <c r="AA388" s="35"/>
    </row>
    <row r="389">
      <c r="A389" s="35"/>
      <c r="B389" s="35"/>
      <c r="C389" s="35"/>
      <c r="D389" s="35"/>
      <c r="E389" s="107"/>
      <c r="F389" s="35"/>
      <c r="G389" s="35"/>
      <c r="H389" s="35"/>
      <c r="I389" s="35"/>
      <c r="J389" s="35"/>
      <c r="K389" s="35"/>
      <c r="L389" s="35"/>
      <c r="M389" s="35"/>
      <c r="N389" s="35"/>
      <c r="O389" s="35"/>
      <c r="P389" s="35"/>
      <c r="Q389" s="35"/>
      <c r="R389" s="35"/>
      <c r="S389" s="35"/>
      <c r="T389" s="35"/>
      <c r="U389" s="35"/>
      <c r="V389" s="35"/>
      <c r="W389" s="35"/>
      <c r="X389" s="35"/>
      <c r="Y389" s="35"/>
      <c r="Z389" s="35"/>
      <c r="AA389" s="35"/>
    </row>
    <row r="390">
      <c r="A390" s="35"/>
      <c r="B390" s="35"/>
      <c r="C390" s="35"/>
      <c r="D390" s="35"/>
      <c r="E390" s="107"/>
      <c r="F390" s="35"/>
      <c r="G390" s="35"/>
      <c r="H390" s="35"/>
      <c r="I390" s="35"/>
      <c r="J390" s="35"/>
      <c r="K390" s="35"/>
      <c r="L390" s="35"/>
      <c r="M390" s="35"/>
      <c r="N390" s="35"/>
      <c r="O390" s="35"/>
      <c r="P390" s="35"/>
      <c r="Q390" s="35"/>
      <c r="R390" s="35"/>
      <c r="S390" s="35"/>
      <c r="T390" s="35"/>
      <c r="U390" s="35"/>
      <c r="V390" s="35"/>
      <c r="W390" s="35"/>
      <c r="X390" s="35"/>
      <c r="Y390" s="35"/>
      <c r="Z390" s="35"/>
      <c r="AA390" s="35"/>
    </row>
    <row r="391">
      <c r="A391" s="35"/>
      <c r="B391" s="35"/>
      <c r="C391" s="35"/>
      <c r="D391" s="35"/>
      <c r="E391" s="107"/>
      <c r="F391" s="35"/>
      <c r="G391" s="35"/>
      <c r="H391" s="35"/>
      <c r="I391" s="35"/>
      <c r="J391" s="35"/>
      <c r="K391" s="35"/>
      <c r="L391" s="35"/>
      <c r="M391" s="35"/>
      <c r="N391" s="35"/>
      <c r="O391" s="35"/>
      <c r="P391" s="35"/>
      <c r="Q391" s="35"/>
      <c r="R391" s="35"/>
      <c r="S391" s="35"/>
      <c r="T391" s="35"/>
      <c r="U391" s="35"/>
      <c r="V391" s="35"/>
      <c r="W391" s="35"/>
      <c r="X391" s="35"/>
      <c r="Y391" s="35"/>
      <c r="Z391" s="35"/>
      <c r="AA391" s="35"/>
    </row>
    <row r="392">
      <c r="A392" s="35"/>
      <c r="B392" s="35"/>
      <c r="C392" s="35"/>
      <c r="D392" s="35"/>
      <c r="E392" s="107"/>
      <c r="F392" s="35"/>
      <c r="G392" s="35"/>
      <c r="H392" s="35"/>
      <c r="I392" s="35"/>
      <c r="J392" s="35"/>
      <c r="K392" s="35"/>
      <c r="L392" s="35"/>
      <c r="M392" s="35"/>
      <c r="N392" s="35"/>
      <c r="O392" s="35"/>
      <c r="P392" s="35"/>
      <c r="Q392" s="35"/>
      <c r="R392" s="35"/>
      <c r="S392" s="35"/>
      <c r="T392" s="35"/>
      <c r="U392" s="35"/>
      <c r="V392" s="35"/>
      <c r="W392" s="35"/>
      <c r="X392" s="35"/>
      <c r="Y392" s="35"/>
      <c r="Z392" s="35"/>
      <c r="AA392" s="35"/>
    </row>
    <row r="393">
      <c r="A393" s="35"/>
      <c r="B393" s="35"/>
      <c r="C393" s="35"/>
      <c r="D393" s="35"/>
      <c r="E393" s="107"/>
      <c r="F393" s="35"/>
      <c r="G393" s="35"/>
      <c r="H393" s="35"/>
      <c r="I393" s="35"/>
      <c r="J393" s="35"/>
      <c r="K393" s="35"/>
      <c r="L393" s="35"/>
      <c r="M393" s="35"/>
      <c r="N393" s="35"/>
      <c r="O393" s="35"/>
      <c r="P393" s="35"/>
      <c r="Q393" s="35"/>
      <c r="R393" s="35"/>
      <c r="S393" s="35"/>
      <c r="T393" s="35"/>
      <c r="U393" s="35"/>
      <c r="V393" s="35"/>
      <c r="W393" s="35"/>
      <c r="X393" s="35"/>
      <c r="Y393" s="35"/>
      <c r="Z393" s="35"/>
      <c r="AA393" s="35"/>
    </row>
    <row r="394">
      <c r="A394" s="35"/>
      <c r="B394" s="35"/>
      <c r="C394" s="35"/>
      <c r="D394" s="35"/>
      <c r="E394" s="107"/>
      <c r="F394" s="35"/>
      <c r="G394" s="35"/>
      <c r="H394" s="35"/>
      <c r="I394" s="35"/>
      <c r="J394" s="35"/>
      <c r="K394" s="35"/>
      <c r="L394" s="35"/>
      <c r="M394" s="35"/>
      <c r="N394" s="35"/>
      <c r="O394" s="35"/>
      <c r="P394" s="35"/>
      <c r="Q394" s="35"/>
      <c r="R394" s="35"/>
      <c r="S394" s="35"/>
      <c r="T394" s="35"/>
      <c r="U394" s="35"/>
      <c r="V394" s="35"/>
      <c r="W394" s="35"/>
      <c r="X394" s="35"/>
      <c r="Y394" s="35"/>
      <c r="Z394" s="35"/>
      <c r="AA394" s="35"/>
    </row>
    <row r="395">
      <c r="A395" s="35"/>
      <c r="B395" s="35"/>
      <c r="C395" s="35"/>
      <c r="D395" s="35"/>
      <c r="E395" s="107"/>
      <c r="F395" s="35"/>
      <c r="G395" s="35"/>
      <c r="H395" s="35"/>
      <c r="I395" s="35"/>
      <c r="J395" s="35"/>
      <c r="K395" s="35"/>
      <c r="L395" s="35"/>
      <c r="M395" s="35"/>
      <c r="N395" s="35"/>
      <c r="O395" s="35"/>
      <c r="P395" s="35"/>
      <c r="Q395" s="35"/>
      <c r="R395" s="35"/>
      <c r="S395" s="35"/>
      <c r="T395" s="35"/>
      <c r="U395" s="35"/>
      <c r="V395" s="35"/>
      <c r="W395" s="35"/>
      <c r="X395" s="35"/>
      <c r="Y395" s="35"/>
      <c r="Z395" s="35"/>
      <c r="AA395" s="35"/>
    </row>
    <row r="396">
      <c r="A396" s="35"/>
      <c r="B396" s="35"/>
      <c r="C396" s="35"/>
      <c r="D396" s="35"/>
      <c r="E396" s="107"/>
      <c r="F396" s="35"/>
      <c r="G396" s="35"/>
      <c r="H396" s="35"/>
      <c r="I396" s="35"/>
      <c r="J396" s="35"/>
      <c r="K396" s="35"/>
      <c r="L396" s="35"/>
      <c r="M396" s="35"/>
      <c r="N396" s="35"/>
      <c r="O396" s="35"/>
      <c r="P396" s="35"/>
      <c r="Q396" s="35"/>
      <c r="R396" s="35"/>
      <c r="S396" s="35"/>
      <c r="T396" s="35"/>
      <c r="U396" s="35"/>
      <c r="V396" s="35"/>
      <c r="W396" s="35"/>
      <c r="X396" s="35"/>
      <c r="Y396" s="35"/>
      <c r="Z396" s="35"/>
      <c r="AA396" s="35"/>
    </row>
    <row r="397">
      <c r="A397" s="35"/>
      <c r="B397" s="35"/>
      <c r="C397" s="35"/>
      <c r="D397" s="35"/>
      <c r="E397" s="107"/>
      <c r="F397" s="35"/>
      <c r="G397" s="35"/>
      <c r="H397" s="35"/>
      <c r="I397" s="35"/>
      <c r="J397" s="35"/>
      <c r="K397" s="35"/>
      <c r="L397" s="35"/>
      <c r="M397" s="35"/>
      <c r="N397" s="35"/>
      <c r="O397" s="35"/>
      <c r="P397" s="35"/>
      <c r="Q397" s="35"/>
      <c r="R397" s="35"/>
      <c r="S397" s="35"/>
      <c r="T397" s="35"/>
      <c r="U397" s="35"/>
      <c r="V397" s="35"/>
      <c r="W397" s="35"/>
      <c r="X397" s="35"/>
      <c r="Y397" s="35"/>
      <c r="Z397" s="35"/>
      <c r="AA397" s="35"/>
    </row>
    <row r="398">
      <c r="A398" s="35"/>
      <c r="B398" s="35"/>
      <c r="C398" s="35"/>
      <c r="D398" s="35"/>
      <c r="E398" s="107"/>
      <c r="F398" s="35"/>
      <c r="G398" s="35"/>
      <c r="H398" s="35"/>
      <c r="I398" s="35"/>
      <c r="J398" s="35"/>
      <c r="K398" s="35"/>
      <c r="L398" s="35"/>
      <c r="M398" s="35"/>
      <c r="N398" s="35"/>
      <c r="O398" s="35"/>
      <c r="P398" s="35"/>
      <c r="Q398" s="35"/>
      <c r="R398" s="35"/>
      <c r="S398" s="35"/>
      <c r="T398" s="35"/>
      <c r="U398" s="35"/>
      <c r="V398" s="35"/>
      <c r="W398" s="35"/>
      <c r="X398" s="35"/>
      <c r="Y398" s="35"/>
      <c r="Z398" s="35"/>
      <c r="AA398" s="35"/>
    </row>
    <row r="399">
      <c r="A399" s="35"/>
      <c r="B399" s="35"/>
      <c r="C399" s="35"/>
      <c r="D399" s="35"/>
      <c r="E399" s="107"/>
      <c r="F399" s="35"/>
      <c r="G399" s="35"/>
      <c r="H399" s="35"/>
      <c r="I399" s="35"/>
      <c r="J399" s="35"/>
      <c r="K399" s="35"/>
      <c r="L399" s="35"/>
      <c r="M399" s="35"/>
      <c r="N399" s="35"/>
      <c r="O399" s="35"/>
      <c r="P399" s="35"/>
      <c r="Q399" s="35"/>
      <c r="R399" s="35"/>
      <c r="S399" s="35"/>
      <c r="T399" s="35"/>
      <c r="U399" s="35"/>
      <c r="V399" s="35"/>
      <c r="W399" s="35"/>
      <c r="X399" s="35"/>
      <c r="Y399" s="35"/>
      <c r="Z399" s="35"/>
      <c r="AA399" s="35"/>
    </row>
    <row r="400">
      <c r="A400" s="35"/>
      <c r="B400" s="35"/>
      <c r="C400" s="35"/>
      <c r="D400" s="35"/>
      <c r="E400" s="107"/>
      <c r="F400" s="35"/>
      <c r="G400" s="35"/>
      <c r="H400" s="35"/>
      <c r="I400" s="35"/>
      <c r="J400" s="35"/>
      <c r="K400" s="35"/>
      <c r="L400" s="35"/>
      <c r="M400" s="35"/>
      <c r="N400" s="35"/>
      <c r="O400" s="35"/>
      <c r="P400" s="35"/>
      <c r="Q400" s="35"/>
      <c r="R400" s="35"/>
      <c r="S400" s="35"/>
      <c r="T400" s="35"/>
      <c r="U400" s="35"/>
      <c r="V400" s="35"/>
      <c r="W400" s="35"/>
      <c r="X400" s="35"/>
      <c r="Y400" s="35"/>
      <c r="Z400" s="35"/>
      <c r="AA400" s="35"/>
    </row>
    <row r="401">
      <c r="A401" s="35"/>
      <c r="B401" s="35"/>
      <c r="C401" s="35"/>
      <c r="D401" s="35"/>
      <c r="E401" s="107"/>
      <c r="F401" s="35"/>
      <c r="G401" s="35"/>
      <c r="H401" s="35"/>
      <c r="I401" s="35"/>
      <c r="J401" s="35"/>
      <c r="K401" s="35"/>
      <c r="L401" s="35"/>
      <c r="M401" s="35"/>
      <c r="N401" s="35"/>
      <c r="O401" s="35"/>
      <c r="P401" s="35"/>
      <c r="Q401" s="35"/>
      <c r="R401" s="35"/>
      <c r="S401" s="35"/>
      <c r="T401" s="35"/>
      <c r="U401" s="35"/>
      <c r="V401" s="35"/>
      <c r="W401" s="35"/>
      <c r="X401" s="35"/>
      <c r="Y401" s="35"/>
      <c r="Z401" s="35"/>
      <c r="AA401" s="35"/>
    </row>
    <row r="402">
      <c r="A402" s="35"/>
      <c r="B402" s="35"/>
      <c r="C402" s="35"/>
      <c r="D402" s="35"/>
      <c r="E402" s="107"/>
      <c r="F402" s="35"/>
      <c r="G402" s="35"/>
      <c r="H402" s="35"/>
      <c r="I402" s="35"/>
      <c r="J402" s="35"/>
      <c r="K402" s="35"/>
      <c r="L402" s="35"/>
      <c r="M402" s="35"/>
      <c r="N402" s="35"/>
      <c r="O402" s="35"/>
      <c r="P402" s="35"/>
      <c r="Q402" s="35"/>
      <c r="R402" s="35"/>
      <c r="S402" s="35"/>
      <c r="T402" s="35"/>
      <c r="U402" s="35"/>
      <c r="V402" s="35"/>
      <c r="W402" s="35"/>
      <c r="X402" s="35"/>
      <c r="Y402" s="35"/>
      <c r="Z402" s="35"/>
      <c r="AA402" s="35"/>
    </row>
    <row r="403">
      <c r="A403" s="35"/>
      <c r="B403" s="35"/>
      <c r="C403" s="35"/>
      <c r="D403" s="35"/>
      <c r="E403" s="107"/>
      <c r="F403" s="35"/>
      <c r="G403" s="35"/>
      <c r="H403" s="35"/>
      <c r="I403" s="35"/>
      <c r="J403" s="35"/>
      <c r="K403" s="35"/>
      <c r="L403" s="35"/>
      <c r="M403" s="35"/>
      <c r="N403" s="35"/>
      <c r="O403" s="35"/>
      <c r="P403" s="35"/>
      <c r="Q403" s="35"/>
      <c r="R403" s="35"/>
      <c r="S403" s="35"/>
      <c r="T403" s="35"/>
      <c r="U403" s="35"/>
      <c r="V403" s="35"/>
      <c r="W403" s="35"/>
      <c r="X403" s="35"/>
      <c r="Y403" s="35"/>
      <c r="Z403" s="35"/>
      <c r="AA403" s="35"/>
    </row>
    <row r="404">
      <c r="A404" s="35"/>
      <c r="B404" s="35"/>
      <c r="C404" s="35"/>
      <c r="D404" s="35"/>
      <c r="E404" s="107"/>
      <c r="F404" s="35"/>
      <c r="G404" s="35"/>
      <c r="H404" s="35"/>
      <c r="I404" s="35"/>
      <c r="J404" s="35"/>
      <c r="K404" s="35"/>
      <c r="L404" s="35"/>
      <c r="M404" s="35"/>
      <c r="N404" s="35"/>
      <c r="O404" s="35"/>
      <c r="P404" s="35"/>
      <c r="Q404" s="35"/>
      <c r="R404" s="35"/>
      <c r="S404" s="35"/>
      <c r="T404" s="35"/>
      <c r="U404" s="35"/>
      <c r="V404" s="35"/>
      <c r="W404" s="35"/>
      <c r="X404" s="35"/>
      <c r="Y404" s="35"/>
      <c r="Z404" s="35"/>
      <c r="AA404" s="35"/>
    </row>
    <row r="405">
      <c r="A405" s="35"/>
      <c r="B405" s="35"/>
      <c r="C405" s="35"/>
      <c r="D405" s="35"/>
      <c r="E405" s="107"/>
      <c r="F405" s="35"/>
      <c r="G405" s="35"/>
      <c r="H405" s="35"/>
      <c r="I405" s="35"/>
      <c r="J405" s="35"/>
      <c r="K405" s="35"/>
      <c r="L405" s="35"/>
      <c r="M405" s="35"/>
      <c r="N405" s="35"/>
      <c r="O405" s="35"/>
      <c r="P405" s="35"/>
      <c r="Q405" s="35"/>
      <c r="R405" s="35"/>
      <c r="S405" s="35"/>
      <c r="T405" s="35"/>
      <c r="U405" s="35"/>
      <c r="V405" s="35"/>
      <c r="W405" s="35"/>
      <c r="X405" s="35"/>
      <c r="Y405" s="35"/>
      <c r="Z405" s="35"/>
      <c r="AA405" s="35"/>
    </row>
    <row r="406">
      <c r="A406" s="35"/>
      <c r="B406" s="35"/>
      <c r="C406" s="35"/>
      <c r="D406" s="35"/>
      <c r="E406" s="107"/>
      <c r="F406" s="35"/>
      <c r="G406" s="35"/>
      <c r="H406" s="35"/>
      <c r="I406" s="35"/>
      <c r="J406" s="35"/>
      <c r="K406" s="35"/>
      <c r="L406" s="35"/>
      <c r="M406" s="35"/>
      <c r="N406" s="35"/>
      <c r="O406" s="35"/>
      <c r="P406" s="35"/>
      <c r="Q406" s="35"/>
      <c r="R406" s="35"/>
      <c r="S406" s="35"/>
      <c r="T406" s="35"/>
      <c r="U406" s="35"/>
      <c r="V406" s="35"/>
      <c r="W406" s="35"/>
      <c r="X406" s="35"/>
      <c r="Y406" s="35"/>
      <c r="Z406" s="35"/>
      <c r="AA406" s="35"/>
    </row>
    <row r="407">
      <c r="A407" s="35"/>
      <c r="B407" s="35"/>
      <c r="C407" s="35"/>
      <c r="D407" s="35"/>
      <c r="E407" s="107"/>
      <c r="F407" s="35"/>
      <c r="G407" s="35"/>
      <c r="H407" s="35"/>
      <c r="I407" s="35"/>
      <c r="J407" s="35"/>
      <c r="K407" s="35"/>
      <c r="L407" s="35"/>
      <c r="M407" s="35"/>
      <c r="N407" s="35"/>
      <c r="O407" s="35"/>
      <c r="P407" s="35"/>
      <c r="Q407" s="35"/>
      <c r="R407" s="35"/>
      <c r="S407" s="35"/>
      <c r="T407" s="35"/>
      <c r="U407" s="35"/>
      <c r="V407" s="35"/>
      <c r="W407" s="35"/>
      <c r="X407" s="35"/>
      <c r="Y407" s="35"/>
      <c r="Z407" s="35"/>
      <c r="AA407" s="35"/>
    </row>
    <row r="408">
      <c r="A408" s="35"/>
      <c r="B408" s="35"/>
      <c r="C408" s="35"/>
      <c r="D408" s="35"/>
      <c r="E408" s="107"/>
      <c r="F408" s="35"/>
      <c r="G408" s="35"/>
      <c r="H408" s="35"/>
      <c r="I408" s="35"/>
      <c r="J408" s="35"/>
      <c r="K408" s="35"/>
      <c r="L408" s="35"/>
      <c r="M408" s="35"/>
      <c r="N408" s="35"/>
      <c r="O408" s="35"/>
      <c r="P408" s="35"/>
      <c r="Q408" s="35"/>
      <c r="R408" s="35"/>
      <c r="S408" s="35"/>
      <c r="T408" s="35"/>
      <c r="U408" s="35"/>
      <c r="V408" s="35"/>
      <c r="W408" s="35"/>
      <c r="X408" s="35"/>
      <c r="Y408" s="35"/>
      <c r="Z408" s="35"/>
      <c r="AA408" s="35"/>
    </row>
    <row r="409">
      <c r="A409" s="35"/>
      <c r="B409" s="35"/>
      <c r="C409" s="35"/>
      <c r="D409" s="35"/>
      <c r="E409" s="107"/>
      <c r="F409" s="35"/>
      <c r="G409" s="35"/>
      <c r="H409" s="35"/>
      <c r="I409" s="35"/>
      <c r="J409" s="35"/>
      <c r="K409" s="35"/>
      <c r="L409" s="35"/>
      <c r="M409" s="35"/>
      <c r="N409" s="35"/>
      <c r="O409" s="35"/>
      <c r="P409" s="35"/>
      <c r="Q409" s="35"/>
      <c r="R409" s="35"/>
      <c r="S409" s="35"/>
      <c r="T409" s="35"/>
      <c r="U409" s="35"/>
      <c r="V409" s="35"/>
      <c r="W409" s="35"/>
      <c r="X409" s="35"/>
      <c r="Y409" s="35"/>
      <c r="Z409" s="35"/>
      <c r="AA409" s="35"/>
    </row>
    <row r="410">
      <c r="A410" s="35"/>
      <c r="B410" s="35"/>
      <c r="C410" s="35"/>
      <c r="D410" s="35"/>
      <c r="E410" s="107"/>
      <c r="F410" s="35"/>
      <c r="G410" s="35"/>
      <c r="H410" s="35"/>
      <c r="I410" s="35"/>
      <c r="J410" s="35"/>
      <c r="K410" s="35"/>
      <c r="L410" s="35"/>
      <c r="M410" s="35"/>
      <c r="N410" s="35"/>
      <c r="O410" s="35"/>
      <c r="P410" s="35"/>
      <c r="Q410" s="35"/>
      <c r="R410" s="35"/>
      <c r="S410" s="35"/>
      <c r="T410" s="35"/>
      <c r="U410" s="35"/>
      <c r="V410" s="35"/>
      <c r="W410" s="35"/>
      <c r="X410" s="35"/>
      <c r="Y410" s="35"/>
      <c r="Z410" s="35"/>
      <c r="AA410" s="35"/>
    </row>
    <row r="411">
      <c r="A411" s="35"/>
      <c r="B411" s="35"/>
      <c r="C411" s="35"/>
      <c r="D411" s="35"/>
      <c r="E411" s="107"/>
      <c r="F411" s="35"/>
      <c r="G411" s="35"/>
      <c r="H411" s="35"/>
      <c r="I411" s="35"/>
      <c r="J411" s="35"/>
      <c r="K411" s="35"/>
      <c r="L411" s="35"/>
      <c r="M411" s="35"/>
      <c r="N411" s="35"/>
      <c r="O411" s="35"/>
      <c r="P411" s="35"/>
      <c r="Q411" s="35"/>
      <c r="R411" s="35"/>
      <c r="S411" s="35"/>
      <c r="T411" s="35"/>
      <c r="U411" s="35"/>
      <c r="V411" s="35"/>
      <c r="W411" s="35"/>
      <c r="X411" s="35"/>
      <c r="Y411" s="35"/>
      <c r="Z411" s="35"/>
      <c r="AA411" s="35"/>
    </row>
    <row r="412">
      <c r="A412" s="35"/>
      <c r="B412" s="35"/>
      <c r="C412" s="35"/>
      <c r="D412" s="35"/>
      <c r="E412" s="107"/>
      <c r="F412" s="35"/>
      <c r="G412" s="35"/>
      <c r="H412" s="35"/>
      <c r="I412" s="35"/>
      <c r="J412" s="35"/>
      <c r="K412" s="35"/>
      <c r="L412" s="35"/>
      <c r="M412" s="35"/>
      <c r="N412" s="35"/>
      <c r="O412" s="35"/>
      <c r="P412" s="35"/>
      <c r="Q412" s="35"/>
      <c r="R412" s="35"/>
      <c r="S412" s="35"/>
      <c r="T412" s="35"/>
      <c r="U412" s="35"/>
      <c r="V412" s="35"/>
      <c r="W412" s="35"/>
      <c r="X412" s="35"/>
      <c r="Y412" s="35"/>
      <c r="Z412" s="35"/>
      <c r="AA412" s="35"/>
    </row>
    <row r="413">
      <c r="A413" s="35"/>
      <c r="B413" s="35"/>
      <c r="C413" s="35"/>
      <c r="D413" s="35"/>
      <c r="E413" s="107"/>
      <c r="F413" s="35"/>
      <c r="G413" s="35"/>
      <c r="H413" s="35"/>
      <c r="I413" s="35"/>
      <c r="J413" s="35"/>
      <c r="K413" s="35"/>
      <c r="L413" s="35"/>
      <c r="M413" s="35"/>
      <c r="N413" s="35"/>
      <c r="O413" s="35"/>
      <c r="P413" s="35"/>
      <c r="Q413" s="35"/>
      <c r="R413" s="35"/>
      <c r="S413" s="35"/>
      <c r="T413" s="35"/>
      <c r="U413" s="35"/>
      <c r="V413" s="35"/>
      <c r="W413" s="35"/>
      <c r="X413" s="35"/>
      <c r="Y413" s="35"/>
      <c r="Z413" s="35"/>
      <c r="AA413" s="35"/>
    </row>
    <row r="414">
      <c r="A414" s="35"/>
      <c r="B414" s="35"/>
      <c r="C414" s="35"/>
      <c r="D414" s="35"/>
      <c r="E414" s="107"/>
      <c r="F414" s="35"/>
      <c r="G414" s="35"/>
      <c r="H414" s="35"/>
      <c r="I414" s="35"/>
      <c r="J414" s="35"/>
      <c r="K414" s="35"/>
      <c r="L414" s="35"/>
      <c r="M414" s="35"/>
      <c r="N414" s="35"/>
      <c r="O414" s="35"/>
      <c r="P414" s="35"/>
      <c r="Q414" s="35"/>
      <c r="R414" s="35"/>
      <c r="S414" s="35"/>
      <c r="T414" s="35"/>
      <c r="U414" s="35"/>
      <c r="V414" s="35"/>
      <c r="W414" s="35"/>
      <c r="X414" s="35"/>
      <c r="Y414" s="35"/>
      <c r="Z414" s="35"/>
      <c r="AA414" s="35"/>
    </row>
    <row r="415">
      <c r="A415" s="35"/>
      <c r="B415" s="35"/>
      <c r="C415" s="35"/>
      <c r="D415" s="35"/>
      <c r="E415" s="107"/>
      <c r="F415" s="35"/>
      <c r="G415" s="35"/>
      <c r="H415" s="35"/>
      <c r="I415" s="35"/>
      <c r="J415" s="35"/>
      <c r="K415" s="35"/>
      <c r="L415" s="35"/>
      <c r="M415" s="35"/>
      <c r="N415" s="35"/>
      <c r="O415" s="35"/>
      <c r="P415" s="35"/>
      <c r="Q415" s="35"/>
      <c r="R415" s="35"/>
      <c r="S415" s="35"/>
      <c r="T415" s="35"/>
      <c r="U415" s="35"/>
      <c r="V415" s="35"/>
      <c r="W415" s="35"/>
      <c r="X415" s="35"/>
      <c r="Y415" s="35"/>
      <c r="Z415" s="35"/>
      <c r="AA415" s="35"/>
    </row>
    <row r="416">
      <c r="A416" s="35"/>
      <c r="B416" s="35"/>
      <c r="C416" s="35"/>
      <c r="D416" s="35"/>
      <c r="E416" s="107"/>
      <c r="F416" s="35"/>
      <c r="G416" s="35"/>
      <c r="H416" s="35"/>
      <c r="I416" s="35"/>
      <c r="J416" s="35"/>
      <c r="K416" s="35"/>
      <c r="L416" s="35"/>
      <c r="M416" s="35"/>
      <c r="N416" s="35"/>
      <c r="O416" s="35"/>
      <c r="P416" s="35"/>
      <c r="Q416" s="35"/>
      <c r="R416" s="35"/>
      <c r="S416" s="35"/>
      <c r="T416" s="35"/>
      <c r="U416" s="35"/>
      <c r="V416" s="35"/>
      <c r="W416" s="35"/>
      <c r="X416" s="35"/>
      <c r="Y416" s="35"/>
      <c r="Z416" s="35"/>
      <c r="AA416" s="35"/>
    </row>
    <row r="417">
      <c r="A417" s="35"/>
      <c r="B417" s="35"/>
      <c r="C417" s="35"/>
      <c r="D417" s="35"/>
      <c r="E417" s="107"/>
      <c r="F417" s="35"/>
      <c r="G417" s="35"/>
      <c r="H417" s="35"/>
      <c r="I417" s="35"/>
      <c r="J417" s="35"/>
      <c r="K417" s="35"/>
      <c r="L417" s="35"/>
      <c r="M417" s="35"/>
      <c r="N417" s="35"/>
      <c r="O417" s="35"/>
      <c r="P417" s="35"/>
      <c r="Q417" s="35"/>
      <c r="R417" s="35"/>
      <c r="S417" s="35"/>
      <c r="T417" s="35"/>
      <c r="U417" s="35"/>
      <c r="V417" s="35"/>
      <c r="W417" s="35"/>
      <c r="X417" s="35"/>
      <c r="Y417" s="35"/>
      <c r="Z417" s="35"/>
      <c r="AA417" s="35"/>
    </row>
    <row r="418">
      <c r="A418" s="35"/>
      <c r="B418" s="35"/>
      <c r="C418" s="35"/>
      <c r="D418" s="35"/>
      <c r="E418" s="107"/>
      <c r="F418" s="35"/>
      <c r="G418" s="35"/>
      <c r="H418" s="35"/>
      <c r="I418" s="35"/>
      <c r="J418" s="35"/>
      <c r="K418" s="35"/>
      <c r="L418" s="35"/>
      <c r="M418" s="35"/>
      <c r="N418" s="35"/>
      <c r="O418" s="35"/>
      <c r="P418" s="35"/>
      <c r="Q418" s="35"/>
      <c r="R418" s="35"/>
      <c r="S418" s="35"/>
      <c r="T418" s="35"/>
      <c r="U418" s="35"/>
      <c r="V418" s="35"/>
      <c r="W418" s="35"/>
      <c r="X418" s="35"/>
      <c r="Y418" s="35"/>
      <c r="Z418" s="35"/>
      <c r="AA418" s="35"/>
    </row>
    <row r="419">
      <c r="A419" s="35"/>
      <c r="B419" s="35"/>
      <c r="C419" s="35"/>
      <c r="D419" s="35"/>
      <c r="E419" s="107"/>
      <c r="F419" s="35"/>
      <c r="G419" s="35"/>
      <c r="H419" s="35"/>
      <c r="I419" s="35"/>
      <c r="J419" s="35"/>
      <c r="K419" s="35"/>
      <c r="L419" s="35"/>
      <c r="M419" s="35"/>
      <c r="N419" s="35"/>
      <c r="O419" s="35"/>
      <c r="P419" s="35"/>
      <c r="Q419" s="35"/>
      <c r="R419" s="35"/>
      <c r="S419" s="35"/>
      <c r="T419" s="35"/>
      <c r="U419" s="35"/>
      <c r="V419" s="35"/>
      <c r="W419" s="35"/>
      <c r="X419" s="35"/>
      <c r="Y419" s="35"/>
      <c r="Z419" s="35"/>
      <c r="AA419" s="35"/>
    </row>
    <row r="420">
      <c r="A420" s="35"/>
      <c r="B420" s="35"/>
      <c r="C420" s="35"/>
      <c r="D420" s="35"/>
      <c r="E420" s="107"/>
      <c r="F420" s="35"/>
      <c r="G420" s="35"/>
      <c r="H420" s="35"/>
      <c r="I420" s="35"/>
      <c r="J420" s="35"/>
      <c r="K420" s="35"/>
      <c r="L420" s="35"/>
      <c r="M420" s="35"/>
      <c r="N420" s="35"/>
      <c r="O420" s="35"/>
      <c r="P420" s="35"/>
      <c r="Q420" s="35"/>
      <c r="R420" s="35"/>
      <c r="S420" s="35"/>
      <c r="T420" s="35"/>
      <c r="U420" s="35"/>
      <c r="V420" s="35"/>
      <c r="W420" s="35"/>
      <c r="X420" s="35"/>
      <c r="Y420" s="35"/>
      <c r="Z420" s="35"/>
      <c r="AA420" s="35"/>
    </row>
    <row r="421">
      <c r="A421" s="35"/>
      <c r="B421" s="35"/>
      <c r="C421" s="35"/>
      <c r="D421" s="35"/>
      <c r="E421" s="107"/>
      <c r="F421" s="35"/>
      <c r="G421" s="35"/>
      <c r="H421" s="35"/>
      <c r="I421" s="35"/>
      <c r="J421" s="35"/>
      <c r="K421" s="35"/>
      <c r="L421" s="35"/>
      <c r="M421" s="35"/>
      <c r="N421" s="35"/>
      <c r="O421" s="35"/>
      <c r="P421" s="35"/>
      <c r="Q421" s="35"/>
      <c r="R421" s="35"/>
      <c r="S421" s="35"/>
      <c r="T421" s="35"/>
      <c r="U421" s="35"/>
      <c r="V421" s="35"/>
      <c r="W421" s="35"/>
      <c r="X421" s="35"/>
      <c r="Y421" s="35"/>
      <c r="Z421" s="35"/>
      <c r="AA421" s="35"/>
    </row>
    <row r="422">
      <c r="A422" s="35"/>
      <c r="B422" s="35"/>
      <c r="C422" s="35"/>
      <c r="D422" s="35"/>
      <c r="E422" s="107"/>
      <c r="F422" s="35"/>
      <c r="G422" s="35"/>
      <c r="H422" s="35"/>
      <c r="I422" s="35"/>
      <c r="J422" s="35"/>
      <c r="K422" s="35"/>
      <c r="L422" s="35"/>
      <c r="M422" s="35"/>
      <c r="N422" s="35"/>
      <c r="O422" s="35"/>
      <c r="P422" s="35"/>
      <c r="Q422" s="35"/>
      <c r="R422" s="35"/>
      <c r="S422" s="35"/>
      <c r="T422" s="35"/>
      <c r="U422" s="35"/>
      <c r="V422" s="35"/>
      <c r="W422" s="35"/>
      <c r="X422" s="35"/>
      <c r="Y422" s="35"/>
      <c r="Z422" s="35"/>
      <c r="AA422" s="35"/>
    </row>
    <row r="423">
      <c r="A423" s="35"/>
      <c r="B423" s="35"/>
      <c r="C423" s="35"/>
      <c r="D423" s="35"/>
      <c r="E423" s="107"/>
      <c r="F423" s="35"/>
      <c r="G423" s="35"/>
      <c r="H423" s="35"/>
      <c r="I423" s="35"/>
      <c r="J423" s="35"/>
      <c r="K423" s="35"/>
      <c r="L423" s="35"/>
      <c r="M423" s="35"/>
      <c r="N423" s="35"/>
      <c r="O423" s="35"/>
      <c r="P423" s="35"/>
      <c r="Q423" s="35"/>
      <c r="R423" s="35"/>
      <c r="S423" s="35"/>
      <c r="T423" s="35"/>
      <c r="U423" s="35"/>
      <c r="V423" s="35"/>
      <c r="W423" s="35"/>
      <c r="X423" s="35"/>
      <c r="Y423" s="35"/>
      <c r="Z423" s="35"/>
      <c r="AA423" s="35"/>
    </row>
    <row r="424">
      <c r="A424" s="35"/>
      <c r="B424" s="35"/>
      <c r="C424" s="35"/>
      <c r="D424" s="35"/>
      <c r="E424" s="107"/>
      <c r="F424" s="35"/>
      <c r="G424" s="35"/>
      <c r="H424" s="35"/>
      <c r="I424" s="35"/>
      <c r="J424" s="35"/>
      <c r="K424" s="35"/>
      <c r="L424" s="35"/>
      <c r="M424" s="35"/>
      <c r="N424" s="35"/>
      <c r="O424" s="35"/>
      <c r="P424" s="35"/>
      <c r="Q424" s="35"/>
      <c r="R424" s="35"/>
      <c r="S424" s="35"/>
      <c r="T424" s="35"/>
      <c r="U424" s="35"/>
      <c r="V424" s="35"/>
      <c r="W424" s="35"/>
      <c r="X424" s="35"/>
      <c r="Y424" s="35"/>
      <c r="Z424" s="35"/>
      <c r="AA424" s="35"/>
    </row>
    <row r="425">
      <c r="A425" s="35"/>
      <c r="B425" s="35"/>
      <c r="C425" s="35"/>
      <c r="D425" s="35"/>
      <c r="E425" s="107"/>
      <c r="F425" s="35"/>
      <c r="G425" s="35"/>
      <c r="H425" s="35"/>
      <c r="I425" s="35"/>
      <c r="J425" s="35"/>
      <c r="K425" s="35"/>
      <c r="L425" s="35"/>
      <c r="M425" s="35"/>
      <c r="N425" s="35"/>
      <c r="O425" s="35"/>
      <c r="P425" s="35"/>
      <c r="Q425" s="35"/>
      <c r="R425" s="35"/>
      <c r="S425" s="35"/>
      <c r="T425" s="35"/>
      <c r="U425" s="35"/>
      <c r="V425" s="35"/>
      <c r="W425" s="35"/>
      <c r="X425" s="35"/>
      <c r="Y425" s="35"/>
      <c r="Z425" s="35"/>
      <c r="AA425" s="35"/>
    </row>
    <row r="426">
      <c r="A426" s="35"/>
      <c r="B426" s="35"/>
      <c r="C426" s="35"/>
      <c r="D426" s="35"/>
      <c r="E426" s="107"/>
      <c r="F426" s="35"/>
      <c r="G426" s="35"/>
      <c r="H426" s="35"/>
      <c r="I426" s="35"/>
      <c r="J426" s="35"/>
      <c r="K426" s="35"/>
      <c r="L426" s="35"/>
      <c r="M426" s="35"/>
      <c r="N426" s="35"/>
      <c r="O426" s="35"/>
      <c r="P426" s="35"/>
      <c r="Q426" s="35"/>
      <c r="R426" s="35"/>
      <c r="S426" s="35"/>
      <c r="T426" s="35"/>
      <c r="U426" s="35"/>
      <c r="V426" s="35"/>
      <c r="W426" s="35"/>
      <c r="X426" s="35"/>
      <c r="Y426" s="35"/>
      <c r="Z426" s="35"/>
      <c r="AA426" s="35"/>
    </row>
    <row r="427">
      <c r="A427" s="35"/>
      <c r="B427" s="35"/>
      <c r="C427" s="35"/>
      <c r="D427" s="35"/>
      <c r="E427" s="107"/>
      <c r="F427" s="35"/>
      <c r="G427" s="35"/>
      <c r="H427" s="35"/>
      <c r="I427" s="35"/>
      <c r="J427" s="35"/>
      <c r="K427" s="35"/>
      <c r="L427" s="35"/>
      <c r="M427" s="35"/>
      <c r="N427" s="35"/>
      <c r="O427" s="35"/>
      <c r="P427" s="35"/>
      <c r="Q427" s="35"/>
      <c r="R427" s="35"/>
      <c r="S427" s="35"/>
      <c r="T427" s="35"/>
      <c r="U427" s="35"/>
      <c r="V427" s="35"/>
      <c r="W427" s="35"/>
      <c r="X427" s="35"/>
      <c r="Y427" s="35"/>
      <c r="Z427" s="35"/>
      <c r="AA427" s="35"/>
    </row>
    <row r="428">
      <c r="A428" s="35"/>
      <c r="B428" s="35"/>
      <c r="C428" s="35"/>
      <c r="D428" s="35"/>
      <c r="E428" s="107"/>
      <c r="F428" s="35"/>
      <c r="G428" s="35"/>
      <c r="H428" s="35"/>
      <c r="I428" s="35"/>
      <c r="J428" s="35"/>
      <c r="K428" s="35"/>
      <c r="L428" s="35"/>
      <c r="M428" s="35"/>
      <c r="N428" s="35"/>
      <c r="O428" s="35"/>
      <c r="P428" s="35"/>
      <c r="Q428" s="35"/>
      <c r="R428" s="35"/>
      <c r="S428" s="35"/>
      <c r="T428" s="35"/>
      <c r="U428" s="35"/>
      <c r="V428" s="35"/>
      <c r="W428" s="35"/>
      <c r="X428" s="35"/>
      <c r="Y428" s="35"/>
      <c r="Z428" s="35"/>
      <c r="AA428" s="35"/>
    </row>
    <row r="429">
      <c r="A429" s="35"/>
      <c r="B429" s="35"/>
      <c r="C429" s="35"/>
      <c r="D429" s="35"/>
      <c r="E429" s="107"/>
      <c r="F429" s="35"/>
      <c r="G429" s="35"/>
      <c r="H429" s="35"/>
      <c r="I429" s="35"/>
      <c r="J429" s="35"/>
      <c r="K429" s="35"/>
      <c r="L429" s="35"/>
      <c r="M429" s="35"/>
      <c r="N429" s="35"/>
      <c r="O429" s="35"/>
      <c r="P429" s="35"/>
      <c r="Q429" s="35"/>
      <c r="R429" s="35"/>
      <c r="S429" s="35"/>
      <c r="T429" s="35"/>
      <c r="U429" s="35"/>
      <c r="V429" s="35"/>
      <c r="W429" s="35"/>
      <c r="X429" s="35"/>
      <c r="Y429" s="35"/>
      <c r="Z429" s="35"/>
      <c r="AA429" s="35"/>
    </row>
    <row r="430">
      <c r="A430" s="35"/>
      <c r="B430" s="35"/>
      <c r="C430" s="35"/>
      <c r="D430" s="35"/>
      <c r="E430" s="107"/>
      <c r="F430" s="35"/>
      <c r="G430" s="35"/>
      <c r="H430" s="35"/>
      <c r="I430" s="35"/>
      <c r="J430" s="35"/>
      <c r="K430" s="35"/>
      <c r="L430" s="35"/>
      <c r="M430" s="35"/>
      <c r="N430" s="35"/>
      <c r="O430" s="35"/>
      <c r="P430" s="35"/>
      <c r="Q430" s="35"/>
      <c r="R430" s="35"/>
      <c r="S430" s="35"/>
      <c r="T430" s="35"/>
      <c r="U430" s="35"/>
      <c r="V430" s="35"/>
      <c r="W430" s="35"/>
      <c r="X430" s="35"/>
      <c r="Y430" s="35"/>
      <c r="Z430" s="35"/>
      <c r="AA430" s="35"/>
    </row>
    <row r="431">
      <c r="A431" s="35"/>
      <c r="B431" s="35"/>
      <c r="C431" s="35"/>
      <c r="D431" s="35"/>
      <c r="E431" s="107"/>
      <c r="F431" s="35"/>
      <c r="G431" s="35"/>
      <c r="H431" s="35"/>
      <c r="I431" s="35"/>
      <c r="J431" s="35"/>
      <c r="K431" s="35"/>
      <c r="L431" s="35"/>
      <c r="M431" s="35"/>
      <c r="N431" s="35"/>
      <c r="O431" s="35"/>
      <c r="P431" s="35"/>
      <c r="Q431" s="35"/>
      <c r="R431" s="35"/>
      <c r="S431" s="35"/>
      <c r="T431" s="35"/>
      <c r="U431" s="35"/>
      <c r="V431" s="35"/>
      <c r="W431" s="35"/>
      <c r="X431" s="35"/>
      <c r="Y431" s="35"/>
      <c r="Z431" s="35"/>
      <c r="AA431" s="35"/>
    </row>
    <row r="432">
      <c r="A432" s="35"/>
      <c r="B432" s="35"/>
      <c r="C432" s="35"/>
      <c r="D432" s="35"/>
      <c r="E432" s="107"/>
      <c r="F432" s="35"/>
      <c r="G432" s="35"/>
      <c r="H432" s="35"/>
      <c r="I432" s="35"/>
      <c r="J432" s="35"/>
      <c r="K432" s="35"/>
      <c r="L432" s="35"/>
      <c r="M432" s="35"/>
      <c r="N432" s="35"/>
      <c r="O432" s="35"/>
      <c r="P432" s="35"/>
      <c r="Q432" s="35"/>
      <c r="R432" s="35"/>
      <c r="S432" s="35"/>
      <c r="T432" s="35"/>
      <c r="U432" s="35"/>
      <c r="V432" s="35"/>
      <c r="W432" s="35"/>
      <c r="X432" s="35"/>
      <c r="Y432" s="35"/>
      <c r="Z432" s="35"/>
      <c r="AA432" s="35"/>
    </row>
    <row r="433">
      <c r="A433" s="35"/>
      <c r="B433" s="35"/>
      <c r="C433" s="35"/>
      <c r="D433" s="35"/>
      <c r="E433" s="107"/>
      <c r="F433" s="35"/>
      <c r="G433" s="35"/>
      <c r="H433" s="35"/>
      <c r="I433" s="35"/>
      <c r="J433" s="35"/>
      <c r="K433" s="35"/>
      <c r="L433" s="35"/>
      <c r="M433" s="35"/>
      <c r="N433" s="35"/>
      <c r="O433" s="35"/>
      <c r="P433" s="35"/>
      <c r="Q433" s="35"/>
      <c r="R433" s="35"/>
      <c r="S433" s="35"/>
      <c r="T433" s="35"/>
      <c r="U433" s="35"/>
      <c r="V433" s="35"/>
      <c r="W433" s="35"/>
      <c r="X433" s="35"/>
      <c r="Y433" s="35"/>
      <c r="Z433" s="35"/>
      <c r="AA433" s="35"/>
    </row>
    <row r="434">
      <c r="A434" s="35"/>
      <c r="B434" s="35"/>
      <c r="C434" s="35"/>
      <c r="D434" s="35"/>
      <c r="E434" s="107"/>
      <c r="F434" s="35"/>
      <c r="G434" s="35"/>
      <c r="H434" s="35"/>
      <c r="I434" s="35"/>
      <c r="J434" s="35"/>
      <c r="K434" s="35"/>
      <c r="L434" s="35"/>
      <c r="M434" s="35"/>
      <c r="N434" s="35"/>
      <c r="O434" s="35"/>
      <c r="P434" s="35"/>
      <c r="Q434" s="35"/>
      <c r="R434" s="35"/>
      <c r="S434" s="35"/>
      <c r="T434" s="35"/>
      <c r="U434" s="35"/>
      <c r="V434" s="35"/>
      <c r="W434" s="35"/>
      <c r="X434" s="35"/>
      <c r="Y434" s="35"/>
      <c r="Z434" s="35"/>
      <c r="AA434" s="35"/>
    </row>
    <row r="435">
      <c r="A435" s="35"/>
      <c r="B435" s="35"/>
      <c r="C435" s="35"/>
      <c r="D435" s="35"/>
      <c r="E435" s="107"/>
      <c r="F435" s="35"/>
      <c r="G435" s="35"/>
      <c r="H435" s="35"/>
      <c r="I435" s="35"/>
      <c r="J435" s="35"/>
      <c r="K435" s="35"/>
      <c r="L435" s="35"/>
      <c r="M435" s="35"/>
      <c r="N435" s="35"/>
      <c r="O435" s="35"/>
      <c r="P435" s="35"/>
      <c r="Q435" s="35"/>
      <c r="R435" s="35"/>
      <c r="S435" s="35"/>
      <c r="T435" s="35"/>
      <c r="U435" s="35"/>
      <c r="V435" s="35"/>
      <c r="W435" s="35"/>
      <c r="X435" s="35"/>
      <c r="Y435" s="35"/>
      <c r="Z435" s="35"/>
      <c r="AA435" s="35"/>
    </row>
    <row r="436">
      <c r="A436" s="35"/>
      <c r="B436" s="35"/>
      <c r="C436" s="35"/>
      <c r="D436" s="35"/>
      <c r="E436" s="107"/>
      <c r="F436" s="35"/>
      <c r="G436" s="35"/>
      <c r="H436" s="35"/>
      <c r="I436" s="35"/>
      <c r="J436" s="35"/>
      <c r="K436" s="35"/>
      <c r="L436" s="35"/>
      <c r="M436" s="35"/>
      <c r="N436" s="35"/>
      <c r="O436" s="35"/>
      <c r="P436" s="35"/>
      <c r="Q436" s="35"/>
      <c r="R436" s="35"/>
      <c r="S436" s="35"/>
      <c r="T436" s="35"/>
      <c r="U436" s="35"/>
      <c r="V436" s="35"/>
      <c r="W436" s="35"/>
      <c r="X436" s="35"/>
      <c r="Y436" s="35"/>
      <c r="Z436" s="35"/>
      <c r="AA436" s="35"/>
    </row>
    <row r="437">
      <c r="A437" s="35"/>
      <c r="B437" s="35"/>
      <c r="C437" s="35"/>
      <c r="D437" s="35"/>
      <c r="E437" s="107"/>
      <c r="F437" s="35"/>
      <c r="G437" s="35"/>
      <c r="H437" s="35"/>
      <c r="I437" s="35"/>
      <c r="J437" s="35"/>
      <c r="K437" s="35"/>
      <c r="L437" s="35"/>
      <c r="M437" s="35"/>
      <c r="N437" s="35"/>
      <c r="O437" s="35"/>
      <c r="P437" s="35"/>
      <c r="Q437" s="35"/>
      <c r="R437" s="35"/>
      <c r="S437" s="35"/>
      <c r="T437" s="35"/>
      <c r="U437" s="35"/>
      <c r="V437" s="35"/>
      <c r="W437" s="35"/>
      <c r="X437" s="35"/>
      <c r="Y437" s="35"/>
      <c r="Z437" s="35"/>
      <c r="AA437" s="35"/>
    </row>
    <row r="438">
      <c r="A438" s="35"/>
      <c r="B438" s="35"/>
      <c r="C438" s="35"/>
      <c r="D438" s="35"/>
      <c r="E438" s="107"/>
      <c r="F438" s="35"/>
      <c r="G438" s="35"/>
      <c r="H438" s="35"/>
      <c r="I438" s="35"/>
      <c r="J438" s="35"/>
      <c r="K438" s="35"/>
      <c r="L438" s="35"/>
      <c r="M438" s="35"/>
      <c r="N438" s="35"/>
      <c r="O438" s="35"/>
      <c r="P438" s="35"/>
      <c r="Q438" s="35"/>
      <c r="R438" s="35"/>
      <c r="S438" s="35"/>
      <c r="T438" s="35"/>
      <c r="U438" s="35"/>
      <c r="V438" s="35"/>
      <c r="W438" s="35"/>
      <c r="X438" s="35"/>
      <c r="Y438" s="35"/>
      <c r="Z438" s="35"/>
      <c r="AA438" s="35"/>
    </row>
    <row r="439">
      <c r="A439" s="35"/>
      <c r="B439" s="35"/>
      <c r="C439" s="35"/>
      <c r="D439" s="35"/>
      <c r="E439" s="107"/>
      <c r="F439" s="35"/>
      <c r="G439" s="35"/>
      <c r="H439" s="35"/>
      <c r="I439" s="35"/>
      <c r="J439" s="35"/>
      <c r="K439" s="35"/>
      <c r="L439" s="35"/>
      <c r="M439" s="35"/>
      <c r="N439" s="35"/>
      <c r="O439" s="35"/>
      <c r="P439" s="35"/>
      <c r="Q439" s="35"/>
      <c r="R439" s="35"/>
      <c r="S439" s="35"/>
      <c r="T439" s="35"/>
      <c r="U439" s="35"/>
      <c r="V439" s="35"/>
      <c r="W439" s="35"/>
      <c r="X439" s="35"/>
      <c r="Y439" s="35"/>
      <c r="Z439" s="35"/>
      <c r="AA439" s="35"/>
    </row>
    <row r="440">
      <c r="A440" s="35"/>
      <c r="B440" s="35"/>
      <c r="C440" s="35"/>
      <c r="D440" s="35"/>
      <c r="E440" s="107"/>
      <c r="F440" s="35"/>
      <c r="G440" s="35"/>
      <c r="H440" s="35"/>
      <c r="I440" s="35"/>
      <c r="J440" s="35"/>
      <c r="K440" s="35"/>
      <c r="L440" s="35"/>
      <c r="M440" s="35"/>
      <c r="N440" s="35"/>
      <c r="O440" s="35"/>
      <c r="P440" s="35"/>
      <c r="Q440" s="35"/>
      <c r="R440" s="35"/>
      <c r="S440" s="35"/>
      <c r="T440" s="35"/>
      <c r="U440" s="35"/>
      <c r="V440" s="35"/>
      <c r="W440" s="35"/>
      <c r="X440" s="35"/>
      <c r="Y440" s="35"/>
      <c r="Z440" s="35"/>
      <c r="AA440" s="35"/>
    </row>
    <row r="441">
      <c r="A441" s="35"/>
      <c r="B441" s="35"/>
      <c r="C441" s="35"/>
      <c r="D441" s="35"/>
      <c r="E441" s="107"/>
      <c r="F441" s="35"/>
      <c r="G441" s="35"/>
      <c r="H441" s="35"/>
      <c r="I441" s="35"/>
      <c r="J441" s="35"/>
      <c r="K441" s="35"/>
      <c r="L441" s="35"/>
      <c r="M441" s="35"/>
      <c r="N441" s="35"/>
      <c r="O441" s="35"/>
      <c r="P441" s="35"/>
      <c r="Q441" s="35"/>
      <c r="R441" s="35"/>
      <c r="S441" s="35"/>
      <c r="T441" s="35"/>
      <c r="U441" s="35"/>
      <c r="V441" s="35"/>
      <c r="W441" s="35"/>
      <c r="X441" s="35"/>
      <c r="Y441" s="35"/>
      <c r="Z441" s="35"/>
      <c r="AA441" s="35"/>
    </row>
    <row r="442">
      <c r="A442" s="35"/>
      <c r="B442" s="35"/>
      <c r="C442" s="35"/>
      <c r="D442" s="35"/>
      <c r="E442" s="107"/>
      <c r="F442" s="35"/>
      <c r="G442" s="35"/>
      <c r="H442" s="35"/>
      <c r="I442" s="35"/>
      <c r="J442" s="35"/>
      <c r="K442" s="35"/>
      <c r="L442" s="35"/>
      <c r="M442" s="35"/>
      <c r="N442" s="35"/>
      <c r="O442" s="35"/>
      <c r="P442" s="35"/>
      <c r="Q442" s="35"/>
      <c r="R442" s="35"/>
      <c r="S442" s="35"/>
      <c r="T442" s="35"/>
      <c r="U442" s="35"/>
      <c r="V442" s="35"/>
      <c r="W442" s="35"/>
      <c r="X442" s="35"/>
      <c r="Y442" s="35"/>
      <c r="Z442" s="35"/>
      <c r="AA442" s="35"/>
    </row>
    <row r="443">
      <c r="A443" s="35"/>
      <c r="B443" s="35"/>
      <c r="C443" s="35"/>
      <c r="D443" s="35"/>
      <c r="E443" s="107"/>
      <c r="F443" s="35"/>
      <c r="G443" s="35"/>
      <c r="H443" s="35"/>
      <c r="I443" s="35"/>
      <c r="J443" s="35"/>
      <c r="K443" s="35"/>
      <c r="L443" s="35"/>
      <c r="M443" s="35"/>
      <c r="N443" s="35"/>
      <c r="O443" s="35"/>
      <c r="P443" s="35"/>
      <c r="Q443" s="35"/>
      <c r="R443" s="35"/>
      <c r="S443" s="35"/>
      <c r="T443" s="35"/>
      <c r="U443" s="35"/>
      <c r="V443" s="35"/>
      <c r="W443" s="35"/>
      <c r="X443" s="35"/>
      <c r="Y443" s="35"/>
      <c r="Z443" s="35"/>
      <c r="AA443" s="35"/>
    </row>
    <row r="444">
      <c r="A444" s="35"/>
      <c r="B444" s="35"/>
      <c r="C444" s="35"/>
      <c r="D444" s="35"/>
      <c r="E444" s="107"/>
      <c r="F444" s="35"/>
      <c r="G444" s="35"/>
      <c r="H444" s="35"/>
      <c r="I444" s="35"/>
      <c r="J444" s="35"/>
      <c r="K444" s="35"/>
      <c r="L444" s="35"/>
      <c r="M444" s="35"/>
      <c r="N444" s="35"/>
      <c r="O444" s="35"/>
      <c r="P444" s="35"/>
      <c r="Q444" s="35"/>
      <c r="R444" s="35"/>
      <c r="S444" s="35"/>
      <c r="T444" s="35"/>
      <c r="U444" s="35"/>
      <c r="V444" s="35"/>
      <c r="W444" s="35"/>
      <c r="X444" s="35"/>
      <c r="Y444" s="35"/>
      <c r="Z444" s="35"/>
      <c r="AA444" s="35"/>
    </row>
    <row r="445">
      <c r="A445" s="35"/>
      <c r="B445" s="35"/>
      <c r="C445" s="35"/>
      <c r="D445" s="35"/>
      <c r="E445" s="107"/>
      <c r="F445" s="35"/>
      <c r="G445" s="35"/>
      <c r="H445" s="35"/>
      <c r="I445" s="35"/>
      <c r="J445" s="35"/>
      <c r="K445" s="35"/>
      <c r="L445" s="35"/>
      <c r="M445" s="35"/>
      <c r="N445" s="35"/>
      <c r="O445" s="35"/>
      <c r="P445" s="35"/>
      <c r="Q445" s="35"/>
      <c r="R445" s="35"/>
      <c r="S445" s="35"/>
      <c r="T445" s="35"/>
      <c r="U445" s="35"/>
      <c r="V445" s="35"/>
      <c r="W445" s="35"/>
      <c r="X445" s="35"/>
      <c r="Y445" s="35"/>
      <c r="Z445" s="35"/>
      <c r="AA445" s="35"/>
    </row>
    <row r="446">
      <c r="A446" s="35"/>
      <c r="B446" s="35"/>
      <c r="C446" s="35"/>
      <c r="D446" s="35"/>
      <c r="E446" s="107"/>
      <c r="F446" s="35"/>
      <c r="G446" s="35"/>
      <c r="H446" s="35"/>
      <c r="I446" s="35"/>
      <c r="J446" s="35"/>
      <c r="K446" s="35"/>
      <c r="L446" s="35"/>
      <c r="M446" s="35"/>
      <c r="N446" s="35"/>
      <c r="O446" s="35"/>
      <c r="P446" s="35"/>
      <c r="Q446" s="35"/>
      <c r="R446" s="35"/>
      <c r="S446" s="35"/>
      <c r="T446" s="35"/>
      <c r="U446" s="35"/>
      <c r="V446" s="35"/>
      <c r="W446" s="35"/>
      <c r="X446" s="35"/>
      <c r="Y446" s="35"/>
      <c r="Z446" s="35"/>
      <c r="AA446" s="35"/>
    </row>
    <row r="447">
      <c r="A447" s="35"/>
      <c r="B447" s="35"/>
      <c r="C447" s="35"/>
      <c r="D447" s="35"/>
      <c r="E447" s="107"/>
      <c r="F447" s="35"/>
      <c r="G447" s="35"/>
      <c r="H447" s="35"/>
      <c r="I447" s="35"/>
      <c r="J447" s="35"/>
      <c r="K447" s="35"/>
      <c r="L447" s="35"/>
      <c r="M447" s="35"/>
      <c r="N447" s="35"/>
      <c r="O447" s="35"/>
      <c r="P447" s="35"/>
      <c r="Q447" s="35"/>
      <c r="R447" s="35"/>
      <c r="S447" s="35"/>
      <c r="T447" s="35"/>
      <c r="U447" s="35"/>
      <c r="V447" s="35"/>
      <c r="W447" s="35"/>
      <c r="X447" s="35"/>
      <c r="Y447" s="35"/>
      <c r="Z447" s="35"/>
      <c r="AA447" s="35"/>
    </row>
    <row r="448">
      <c r="A448" s="35"/>
      <c r="B448" s="35"/>
      <c r="C448" s="35"/>
      <c r="D448" s="35"/>
      <c r="E448" s="107"/>
      <c r="F448" s="35"/>
      <c r="G448" s="35"/>
      <c r="H448" s="35"/>
      <c r="I448" s="35"/>
      <c r="J448" s="35"/>
      <c r="K448" s="35"/>
      <c r="L448" s="35"/>
      <c r="M448" s="35"/>
      <c r="N448" s="35"/>
      <c r="O448" s="35"/>
      <c r="P448" s="35"/>
      <c r="Q448" s="35"/>
      <c r="R448" s="35"/>
      <c r="S448" s="35"/>
      <c r="T448" s="35"/>
      <c r="U448" s="35"/>
      <c r="V448" s="35"/>
      <c r="W448" s="35"/>
      <c r="X448" s="35"/>
      <c r="Y448" s="35"/>
      <c r="Z448" s="35"/>
      <c r="AA448" s="35"/>
    </row>
    <row r="449">
      <c r="A449" s="35"/>
      <c r="B449" s="35"/>
      <c r="C449" s="35"/>
      <c r="D449" s="35"/>
      <c r="E449" s="107"/>
      <c r="F449" s="35"/>
      <c r="G449" s="35"/>
      <c r="H449" s="35"/>
      <c r="I449" s="35"/>
      <c r="J449" s="35"/>
      <c r="K449" s="35"/>
      <c r="L449" s="35"/>
      <c r="M449" s="35"/>
      <c r="N449" s="35"/>
      <c r="O449" s="35"/>
      <c r="P449" s="35"/>
      <c r="Q449" s="35"/>
      <c r="R449" s="35"/>
      <c r="S449" s="35"/>
      <c r="T449" s="35"/>
      <c r="U449" s="35"/>
      <c r="V449" s="35"/>
      <c r="W449" s="35"/>
      <c r="X449" s="35"/>
      <c r="Y449" s="35"/>
      <c r="Z449" s="35"/>
      <c r="AA449" s="35"/>
    </row>
    <row r="450">
      <c r="A450" s="35"/>
      <c r="B450" s="35"/>
      <c r="C450" s="35"/>
      <c r="D450" s="35"/>
      <c r="E450" s="107"/>
      <c r="F450" s="35"/>
      <c r="G450" s="35"/>
      <c r="H450" s="35"/>
      <c r="I450" s="35"/>
      <c r="J450" s="35"/>
      <c r="K450" s="35"/>
      <c r="L450" s="35"/>
      <c r="M450" s="35"/>
      <c r="N450" s="35"/>
      <c r="O450" s="35"/>
      <c r="P450" s="35"/>
      <c r="Q450" s="35"/>
      <c r="R450" s="35"/>
      <c r="S450" s="35"/>
      <c r="T450" s="35"/>
      <c r="U450" s="35"/>
      <c r="V450" s="35"/>
      <c r="W450" s="35"/>
      <c r="X450" s="35"/>
      <c r="Y450" s="35"/>
      <c r="Z450" s="35"/>
      <c r="AA450" s="35"/>
    </row>
    <row r="451">
      <c r="A451" s="35"/>
      <c r="B451" s="35"/>
      <c r="C451" s="35"/>
      <c r="D451" s="35"/>
      <c r="E451" s="107"/>
      <c r="F451" s="35"/>
      <c r="G451" s="35"/>
      <c r="H451" s="35"/>
      <c r="I451" s="35"/>
      <c r="J451" s="35"/>
      <c r="K451" s="35"/>
      <c r="L451" s="35"/>
      <c r="M451" s="35"/>
      <c r="N451" s="35"/>
      <c r="O451" s="35"/>
      <c r="P451" s="35"/>
      <c r="Q451" s="35"/>
      <c r="R451" s="35"/>
      <c r="S451" s="35"/>
      <c r="T451" s="35"/>
      <c r="U451" s="35"/>
      <c r="V451" s="35"/>
      <c r="W451" s="35"/>
      <c r="X451" s="35"/>
      <c r="Y451" s="35"/>
      <c r="Z451" s="35"/>
      <c r="AA451" s="35"/>
    </row>
    <row r="452">
      <c r="A452" s="35"/>
      <c r="B452" s="35"/>
      <c r="C452" s="35"/>
      <c r="D452" s="35"/>
      <c r="E452" s="107"/>
      <c r="F452" s="35"/>
      <c r="G452" s="35"/>
      <c r="H452" s="35"/>
      <c r="I452" s="35"/>
      <c r="J452" s="35"/>
      <c r="K452" s="35"/>
      <c r="L452" s="35"/>
      <c r="M452" s="35"/>
      <c r="N452" s="35"/>
      <c r="O452" s="35"/>
      <c r="P452" s="35"/>
      <c r="Q452" s="35"/>
      <c r="R452" s="35"/>
      <c r="S452" s="35"/>
      <c r="T452" s="35"/>
      <c r="U452" s="35"/>
      <c r="V452" s="35"/>
      <c r="W452" s="35"/>
      <c r="X452" s="35"/>
      <c r="Y452" s="35"/>
      <c r="Z452" s="35"/>
      <c r="AA452" s="35"/>
    </row>
    <row r="453">
      <c r="A453" s="35"/>
      <c r="B453" s="35"/>
      <c r="C453" s="35"/>
      <c r="D453" s="35"/>
      <c r="E453" s="107"/>
      <c r="F453" s="35"/>
      <c r="G453" s="35"/>
      <c r="H453" s="35"/>
      <c r="I453" s="35"/>
      <c r="J453" s="35"/>
      <c r="K453" s="35"/>
      <c r="L453" s="35"/>
      <c r="M453" s="35"/>
      <c r="N453" s="35"/>
      <c r="O453" s="35"/>
      <c r="P453" s="35"/>
      <c r="Q453" s="35"/>
      <c r="R453" s="35"/>
      <c r="S453" s="35"/>
      <c r="T453" s="35"/>
      <c r="U453" s="35"/>
      <c r="V453" s="35"/>
      <c r="W453" s="35"/>
      <c r="X453" s="35"/>
      <c r="Y453" s="35"/>
      <c r="Z453" s="35"/>
      <c r="AA453" s="35"/>
    </row>
    <row r="454">
      <c r="A454" s="35"/>
      <c r="B454" s="35"/>
      <c r="C454" s="35"/>
      <c r="D454" s="35"/>
      <c r="E454" s="107"/>
      <c r="F454" s="35"/>
      <c r="G454" s="35"/>
      <c r="H454" s="35"/>
      <c r="I454" s="35"/>
      <c r="J454" s="35"/>
      <c r="K454" s="35"/>
      <c r="L454" s="35"/>
      <c r="M454" s="35"/>
      <c r="N454" s="35"/>
      <c r="O454" s="35"/>
      <c r="P454" s="35"/>
      <c r="Q454" s="35"/>
      <c r="R454" s="35"/>
      <c r="S454" s="35"/>
      <c r="T454" s="35"/>
      <c r="U454" s="35"/>
      <c r="V454" s="35"/>
      <c r="W454" s="35"/>
      <c r="X454" s="35"/>
      <c r="Y454" s="35"/>
      <c r="Z454" s="35"/>
      <c r="AA454" s="35"/>
    </row>
    <row r="455">
      <c r="A455" s="35"/>
      <c r="B455" s="35"/>
      <c r="C455" s="35"/>
      <c r="D455" s="35"/>
      <c r="E455" s="107"/>
      <c r="F455" s="35"/>
      <c r="G455" s="35"/>
      <c r="H455" s="35"/>
      <c r="I455" s="35"/>
      <c r="J455" s="35"/>
      <c r="K455" s="35"/>
      <c r="L455" s="35"/>
      <c r="M455" s="35"/>
      <c r="N455" s="35"/>
      <c r="O455" s="35"/>
      <c r="P455" s="35"/>
      <c r="Q455" s="35"/>
      <c r="R455" s="35"/>
      <c r="S455" s="35"/>
      <c r="T455" s="35"/>
      <c r="U455" s="35"/>
      <c r="V455" s="35"/>
      <c r="W455" s="35"/>
      <c r="X455" s="35"/>
      <c r="Y455" s="35"/>
      <c r="Z455" s="35"/>
      <c r="AA455" s="35"/>
    </row>
    <row r="456">
      <c r="A456" s="35"/>
      <c r="B456" s="35"/>
      <c r="C456" s="35"/>
      <c r="D456" s="35"/>
      <c r="E456" s="107"/>
      <c r="F456" s="35"/>
      <c r="G456" s="35"/>
      <c r="H456" s="35"/>
      <c r="I456" s="35"/>
      <c r="J456" s="35"/>
      <c r="K456" s="35"/>
      <c r="L456" s="35"/>
      <c r="M456" s="35"/>
      <c r="N456" s="35"/>
      <c r="O456" s="35"/>
      <c r="P456" s="35"/>
      <c r="Q456" s="35"/>
      <c r="R456" s="35"/>
      <c r="S456" s="35"/>
      <c r="T456" s="35"/>
      <c r="U456" s="35"/>
      <c r="V456" s="35"/>
      <c r="W456" s="35"/>
      <c r="X456" s="35"/>
      <c r="Y456" s="35"/>
      <c r="Z456" s="35"/>
      <c r="AA456" s="35"/>
    </row>
    <row r="457">
      <c r="A457" s="35"/>
      <c r="B457" s="35"/>
      <c r="C457" s="35"/>
      <c r="D457" s="35"/>
      <c r="E457" s="107"/>
      <c r="F457" s="35"/>
      <c r="G457" s="35"/>
      <c r="H457" s="35"/>
      <c r="I457" s="35"/>
      <c r="J457" s="35"/>
      <c r="K457" s="35"/>
      <c r="L457" s="35"/>
      <c r="M457" s="35"/>
      <c r="N457" s="35"/>
      <c r="O457" s="35"/>
      <c r="P457" s="35"/>
      <c r="Q457" s="35"/>
      <c r="R457" s="35"/>
      <c r="S457" s="35"/>
      <c r="T457" s="35"/>
      <c r="U457" s="35"/>
      <c r="V457" s="35"/>
      <c r="W457" s="35"/>
      <c r="X457" s="35"/>
      <c r="Y457" s="35"/>
      <c r="Z457" s="35"/>
      <c r="AA457" s="35"/>
    </row>
    <row r="458">
      <c r="A458" s="35"/>
      <c r="B458" s="35"/>
      <c r="C458" s="35"/>
      <c r="D458" s="35"/>
      <c r="E458" s="107"/>
      <c r="F458" s="35"/>
      <c r="G458" s="35"/>
      <c r="H458" s="35"/>
      <c r="I458" s="35"/>
      <c r="J458" s="35"/>
      <c r="K458" s="35"/>
      <c r="L458" s="35"/>
      <c r="M458" s="35"/>
      <c r="N458" s="35"/>
      <c r="O458" s="35"/>
      <c r="P458" s="35"/>
      <c r="Q458" s="35"/>
      <c r="R458" s="35"/>
      <c r="S458" s="35"/>
      <c r="T458" s="35"/>
      <c r="U458" s="35"/>
      <c r="V458" s="35"/>
      <c r="W458" s="35"/>
      <c r="X458" s="35"/>
      <c r="Y458" s="35"/>
      <c r="Z458" s="35"/>
      <c r="AA458" s="35"/>
    </row>
    <row r="459">
      <c r="A459" s="35"/>
      <c r="B459" s="35"/>
      <c r="C459" s="35"/>
      <c r="D459" s="35"/>
      <c r="E459" s="107"/>
      <c r="F459" s="35"/>
      <c r="G459" s="35"/>
      <c r="H459" s="35"/>
      <c r="I459" s="35"/>
      <c r="J459" s="35"/>
      <c r="K459" s="35"/>
      <c r="L459" s="35"/>
      <c r="M459" s="35"/>
      <c r="N459" s="35"/>
      <c r="O459" s="35"/>
      <c r="P459" s="35"/>
      <c r="Q459" s="35"/>
      <c r="R459" s="35"/>
      <c r="S459" s="35"/>
      <c r="T459" s="35"/>
      <c r="U459" s="35"/>
      <c r="V459" s="35"/>
      <c r="W459" s="35"/>
      <c r="X459" s="35"/>
      <c r="Y459" s="35"/>
      <c r="Z459" s="35"/>
      <c r="AA459" s="35"/>
    </row>
    <row r="460">
      <c r="A460" s="35"/>
      <c r="B460" s="35"/>
      <c r="C460" s="35"/>
      <c r="D460" s="35"/>
      <c r="E460" s="107"/>
      <c r="F460" s="35"/>
      <c r="G460" s="35"/>
      <c r="H460" s="35"/>
      <c r="I460" s="35"/>
      <c r="J460" s="35"/>
      <c r="K460" s="35"/>
      <c r="L460" s="35"/>
      <c r="M460" s="35"/>
      <c r="N460" s="35"/>
      <c r="O460" s="35"/>
      <c r="P460" s="35"/>
      <c r="Q460" s="35"/>
      <c r="R460" s="35"/>
      <c r="S460" s="35"/>
      <c r="T460" s="35"/>
      <c r="U460" s="35"/>
      <c r="V460" s="35"/>
      <c r="W460" s="35"/>
      <c r="X460" s="35"/>
      <c r="Y460" s="35"/>
      <c r="Z460" s="35"/>
      <c r="AA460" s="35"/>
    </row>
    <row r="461">
      <c r="A461" s="35"/>
      <c r="B461" s="35"/>
      <c r="C461" s="35"/>
      <c r="D461" s="35"/>
      <c r="E461" s="107"/>
      <c r="F461" s="35"/>
      <c r="G461" s="35"/>
      <c r="H461" s="35"/>
      <c r="I461" s="35"/>
      <c r="J461" s="35"/>
      <c r="K461" s="35"/>
      <c r="L461" s="35"/>
      <c r="M461" s="35"/>
      <c r="N461" s="35"/>
      <c r="O461" s="35"/>
      <c r="P461" s="35"/>
      <c r="Q461" s="35"/>
      <c r="R461" s="35"/>
      <c r="S461" s="35"/>
      <c r="T461" s="35"/>
      <c r="U461" s="35"/>
      <c r="V461" s="35"/>
      <c r="W461" s="35"/>
      <c r="X461" s="35"/>
      <c r="Y461" s="35"/>
      <c r="Z461" s="35"/>
      <c r="AA461" s="35"/>
    </row>
    <row r="462">
      <c r="A462" s="35"/>
      <c r="B462" s="35"/>
      <c r="C462" s="35"/>
      <c r="D462" s="35"/>
      <c r="E462" s="107"/>
      <c r="F462" s="35"/>
      <c r="G462" s="35"/>
      <c r="H462" s="35"/>
      <c r="I462" s="35"/>
      <c r="J462" s="35"/>
      <c r="K462" s="35"/>
      <c r="L462" s="35"/>
      <c r="M462" s="35"/>
      <c r="N462" s="35"/>
      <c r="O462" s="35"/>
      <c r="P462" s="35"/>
      <c r="Q462" s="35"/>
      <c r="R462" s="35"/>
      <c r="S462" s="35"/>
      <c r="T462" s="35"/>
      <c r="U462" s="35"/>
      <c r="V462" s="35"/>
      <c r="W462" s="35"/>
      <c r="X462" s="35"/>
      <c r="Y462" s="35"/>
      <c r="Z462" s="35"/>
      <c r="AA462" s="35"/>
    </row>
    <row r="463">
      <c r="A463" s="35"/>
      <c r="B463" s="35"/>
      <c r="C463" s="35"/>
      <c r="D463" s="35"/>
      <c r="E463" s="107"/>
      <c r="F463" s="35"/>
      <c r="G463" s="35"/>
      <c r="H463" s="35"/>
      <c r="I463" s="35"/>
      <c r="J463" s="35"/>
      <c r="K463" s="35"/>
      <c r="L463" s="35"/>
      <c r="M463" s="35"/>
      <c r="N463" s="35"/>
      <c r="O463" s="35"/>
      <c r="P463" s="35"/>
      <c r="Q463" s="35"/>
      <c r="R463" s="35"/>
      <c r="S463" s="35"/>
      <c r="T463" s="35"/>
      <c r="U463" s="35"/>
      <c r="V463" s="35"/>
      <c r="W463" s="35"/>
      <c r="X463" s="35"/>
      <c r="Y463" s="35"/>
      <c r="Z463" s="35"/>
      <c r="AA463" s="35"/>
    </row>
    <row r="464">
      <c r="A464" s="35"/>
      <c r="B464" s="35"/>
      <c r="C464" s="35"/>
      <c r="D464" s="35"/>
      <c r="E464" s="107"/>
      <c r="F464" s="35"/>
      <c r="G464" s="35"/>
      <c r="H464" s="35"/>
      <c r="I464" s="35"/>
      <c r="J464" s="35"/>
      <c r="K464" s="35"/>
      <c r="L464" s="35"/>
      <c r="M464" s="35"/>
      <c r="N464" s="35"/>
      <c r="O464" s="35"/>
      <c r="P464" s="35"/>
      <c r="Q464" s="35"/>
      <c r="R464" s="35"/>
      <c r="S464" s="35"/>
      <c r="T464" s="35"/>
      <c r="U464" s="35"/>
      <c r="V464" s="35"/>
      <c r="W464" s="35"/>
      <c r="X464" s="35"/>
      <c r="Y464" s="35"/>
      <c r="Z464" s="35"/>
      <c r="AA464" s="35"/>
    </row>
    <row r="465">
      <c r="A465" s="35"/>
      <c r="B465" s="35"/>
      <c r="C465" s="35"/>
      <c r="D465" s="35"/>
      <c r="E465" s="107"/>
      <c r="F465" s="35"/>
      <c r="G465" s="35"/>
      <c r="H465" s="35"/>
      <c r="I465" s="35"/>
      <c r="J465" s="35"/>
      <c r="K465" s="35"/>
      <c r="L465" s="35"/>
      <c r="M465" s="35"/>
      <c r="N465" s="35"/>
      <c r="O465" s="35"/>
      <c r="P465" s="35"/>
      <c r="Q465" s="35"/>
      <c r="R465" s="35"/>
      <c r="S465" s="35"/>
      <c r="T465" s="35"/>
      <c r="U465" s="35"/>
      <c r="V465" s="35"/>
      <c r="W465" s="35"/>
      <c r="X465" s="35"/>
      <c r="Y465" s="35"/>
      <c r="Z465" s="35"/>
      <c r="AA465" s="35"/>
    </row>
    <row r="466">
      <c r="A466" s="35"/>
      <c r="B466" s="35"/>
      <c r="C466" s="35"/>
      <c r="D466" s="35"/>
      <c r="E466" s="107"/>
      <c r="F466" s="35"/>
      <c r="G466" s="35"/>
      <c r="H466" s="35"/>
      <c r="I466" s="35"/>
      <c r="J466" s="35"/>
      <c r="K466" s="35"/>
      <c r="L466" s="35"/>
      <c r="M466" s="35"/>
      <c r="N466" s="35"/>
      <c r="O466" s="35"/>
      <c r="P466" s="35"/>
      <c r="Q466" s="35"/>
      <c r="R466" s="35"/>
      <c r="S466" s="35"/>
      <c r="T466" s="35"/>
      <c r="U466" s="35"/>
      <c r="V466" s="35"/>
      <c r="W466" s="35"/>
      <c r="X466" s="35"/>
      <c r="Y466" s="35"/>
      <c r="Z466" s="35"/>
      <c r="AA466" s="35"/>
    </row>
    <row r="467">
      <c r="A467" s="35"/>
      <c r="B467" s="35"/>
      <c r="C467" s="35"/>
      <c r="D467" s="35"/>
      <c r="E467" s="107"/>
      <c r="F467" s="35"/>
      <c r="G467" s="35"/>
      <c r="H467" s="35"/>
      <c r="I467" s="35"/>
      <c r="J467" s="35"/>
      <c r="K467" s="35"/>
      <c r="L467" s="35"/>
      <c r="M467" s="35"/>
      <c r="N467" s="35"/>
      <c r="O467" s="35"/>
      <c r="P467" s="35"/>
      <c r="Q467" s="35"/>
      <c r="R467" s="35"/>
      <c r="S467" s="35"/>
      <c r="T467" s="35"/>
      <c r="U467" s="35"/>
      <c r="V467" s="35"/>
      <c r="W467" s="35"/>
      <c r="X467" s="35"/>
      <c r="Y467" s="35"/>
      <c r="Z467" s="35"/>
      <c r="AA467" s="35"/>
    </row>
    <row r="468">
      <c r="A468" s="35"/>
      <c r="B468" s="35"/>
      <c r="C468" s="35"/>
      <c r="D468" s="35"/>
      <c r="E468" s="107"/>
      <c r="F468" s="35"/>
      <c r="G468" s="35"/>
      <c r="H468" s="35"/>
      <c r="I468" s="35"/>
      <c r="J468" s="35"/>
      <c r="K468" s="35"/>
      <c r="L468" s="35"/>
      <c r="M468" s="35"/>
      <c r="N468" s="35"/>
      <c r="O468" s="35"/>
      <c r="P468" s="35"/>
      <c r="Q468" s="35"/>
      <c r="R468" s="35"/>
      <c r="S468" s="35"/>
      <c r="T468" s="35"/>
      <c r="U468" s="35"/>
      <c r="V468" s="35"/>
      <c r="W468" s="35"/>
      <c r="X468" s="35"/>
      <c r="Y468" s="35"/>
      <c r="Z468" s="35"/>
      <c r="AA468" s="35"/>
    </row>
    <row r="469">
      <c r="A469" s="35"/>
      <c r="B469" s="35"/>
      <c r="C469" s="35"/>
      <c r="D469" s="35"/>
      <c r="E469" s="107"/>
      <c r="F469" s="35"/>
      <c r="G469" s="35"/>
      <c r="H469" s="35"/>
      <c r="I469" s="35"/>
      <c r="J469" s="35"/>
      <c r="K469" s="35"/>
      <c r="L469" s="35"/>
      <c r="M469" s="35"/>
      <c r="N469" s="35"/>
      <c r="O469" s="35"/>
      <c r="P469" s="35"/>
      <c r="Q469" s="35"/>
      <c r="R469" s="35"/>
      <c r="S469" s="35"/>
      <c r="T469" s="35"/>
      <c r="U469" s="35"/>
      <c r="V469" s="35"/>
      <c r="W469" s="35"/>
      <c r="X469" s="35"/>
      <c r="Y469" s="35"/>
      <c r="Z469" s="35"/>
      <c r="AA469" s="35"/>
    </row>
    <row r="470">
      <c r="A470" s="35"/>
      <c r="B470" s="35"/>
      <c r="C470" s="35"/>
      <c r="D470" s="35"/>
      <c r="E470" s="107"/>
      <c r="F470" s="35"/>
      <c r="G470" s="35"/>
      <c r="H470" s="35"/>
      <c r="I470" s="35"/>
      <c r="J470" s="35"/>
      <c r="K470" s="35"/>
      <c r="L470" s="35"/>
      <c r="M470" s="35"/>
      <c r="N470" s="35"/>
      <c r="O470" s="35"/>
      <c r="P470" s="35"/>
      <c r="Q470" s="35"/>
      <c r="R470" s="35"/>
      <c r="S470" s="35"/>
      <c r="T470" s="35"/>
      <c r="U470" s="35"/>
      <c r="V470" s="35"/>
      <c r="W470" s="35"/>
      <c r="X470" s="35"/>
      <c r="Y470" s="35"/>
      <c r="Z470" s="35"/>
      <c r="AA470" s="35"/>
    </row>
    <row r="471">
      <c r="A471" s="35"/>
      <c r="B471" s="35"/>
      <c r="C471" s="35"/>
      <c r="D471" s="35"/>
      <c r="E471" s="107"/>
      <c r="F471" s="35"/>
      <c r="G471" s="35"/>
      <c r="H471" s="35"/>
      <c r="I471" s="35"/>
      <c r="J471" s="35"/>
      <c r="K471" s="35"/>
      <c r="L471" s="35"/>
      <c r="M471" s="35"/>
      <c r="N471" s="35"/>
      <c r="O471" s="35"/>
      <c r="P471" s="35"/>
      <c r="Q471" s="35"/>
      <c r="R471" s="35"/>
      <c r="S471" s="35"/>
      <c r="T471" s="35"/>
      <c r="U471" s="35"/>
      <c r="V471" s="35"/>
      <c r="W471" s="35"/>
      <c r="X471" s="35"/>
      <c r="Y471" s="35"/>
      <c r="Z471" s="35"/>
      <c r="AA471" s="35"/>
    </row>
    <row r="472">
      <c r="A472" s="35"/>
      <c r="B472" s="35"/>
      <c r="C472" s="35"/>
      <c r="D472" s="35"/>
      <c r="E472" s="107"/>
      <c r="F472" s="35"/>
      <c r="G472" s="35"/>
      <c r="H472" s="35"/>
      <c r="I472" s="35"/>
      <c r="J472" s="35"/>
      <c r="K472" s="35"/>
      <c r="L472" s="35"/>
      <c r="M472" s="35"/>
      <c r="N472" s="35"/>
      <c r="O472" s="35"/>
      <c r="P472" s="35"/>
      <c r="Q472" s="35"/>
      <c r="R472" s="35"/>
      <c r="S472" s="35"/>
      <c r="T472" s="35"/>
      <c r="U472" s="35"/>
      <c r="V472" s="35"/>
      <c r="W472" s="35"/>
      <c r="X472" s="35"/>
      <c r="Y472" s="35"/>
      <c r="Z472" s="35"/>
      <c r="AA472" s="35"/>
    </row>
    <row r="473">
      <c r="A473" s="35"/>
      <c r="B473" s="35"/>
      <c r="C473" s="35"/>
      <c r="D473" s="35"/>
      <c r="E473" s="107"/>
      <c r="F473" s="35"/>
      <c r="G473" s="35"/>
      <c r="H473" s="35"/>
      <c r="I473" s="35"/>
      <c r="J473" s="35"/>
      <c r="K473" s="35"/>
      <c r="L473" s="35"/>
      <c r="M473" s="35"/>
      <c r="N473" s="35"/>
      <c r="O473" s="35"/>
      <c r="P473" s="35"/>
      <c r="Q473" s="35"/>
      <c r="R473" s="35"/>
      <c r="S473" s="35"/>
      <c r="T473" s="35"/>
      <c r="U473" s="35"/>
      <c r="V473" s="35"/>
      <c r="W473" s="35"/>
      <c r="X473" s="35"/>
      <c r="Y473" s="35"/>
      <c r="Z473" s="35"/>
      <c r="AA473" s="35"/>
    </row>
    <row r="474">
      <c r="A474" s="35"/>
      <c r="B474" s="35"/>
      <c r="C474" s="35"/>
      <c r="D474" s="35"/>
      <c r="E474" s="107"/>
      <c r="F474" s="35"/>
      <c r="G474" s="35"/>
      <c r="H474" s="35"/>
      <c r="I474" s="35"/>
      <c r="J474" s="35"/>
      <c r="K474" s="35"/>
      <c r="L474" s="35"/>
      <c r="M474" s="35"/>
      <c r="N474" s="35"/>
      <c r="O474" s="35"/>
      <c r="P474" s="35"/>
      <c r="Q474" s="35"/>
      <c r="R474" s="35"/>
      <c r="S474" s="35"/>
      <c r="T474" s="35"/>
      <c r="U474" s="35"/>
      <c r="V474" s="35"/>
      <c r="W474" s="35"/>
      <c r="X474" s="35"/>
      <c r="Y474" s="35"/>
      <c r="Z474" s="35"/>
      <c r="AA474" s="35"/>
    </row>
    <row r="475">
      <c r="A475" s="35"/>
      <c r="B475" s="35"/>
      <c r="C475" s="35"/>
      <c r="D475" s="35"/>
      <c r="E475" s="107"/>
      <c r="F475" s="35"/>
      <c r="G475" s="35"/>
      <c r="H475" s="35"/>
      <c r="I475" s="35"/>
      <c r="J475" s="35"/>
      <c r="K475" s="35"/>
      <c r="L475" s="35"/>
      <c r="M475" s="35"/>
      <c r="N475" s="35"/>
      <c r="O475" s="35"/>
      <c r="P475" s="35"/>
      <c r="Q475" s="35"/>
      <c r="R475" s="35"/>
      <c r="S475" s="35"/>
      <c r="T475" s="35"/>
      <c r="U475" s="35"/>
      <c r="V475" s="35"/>
      <c r="W475" s="35"/>
      <c r="X475" s="35"/>
      <c r="Y475" s="35"/>
      <c r="Z475" s="35"/>
      <c r="AA475" s="35"/>
    </row>
    <row r="476">
      <c r="A476" s="35"/>
      <c r="B476" s="35"/>
      <c r="C476" s="35"/>
      <c r="D476" s="35"/>
      <c r="E476" s="107"/>
      <c r="F476" s="35"/>
      <c r="G476" s="35"/>
      <c r="H476" s="35"/>
      <c r="I476" s="35"/>
      <c r="J476" s="35"/>
      <c r="K476" s="35"/>
      <c r="L476" s="35"/>
      <c r="M476" s="35"/>
      <c r="N476" s="35"/>
      <c r="O476" s="35"/>
      <c r="P476" s="35"/>
      <c r="Q476" s="35"/>
      <c r="R476" s="35"/>
      <c r="S476" s="35"/>
      <c r="T476" s="35"/>
      <c r="U476" s="35"/>
      <c r="V476" s="35"/>
      <c r="W476" s="35"/>
      <c r="X476" s="35"/>
      <c r="Y476" s="35"/>
      <c r="Z476" s="35"/>
      <c r="AA476" s="35"/>
    </row>
    <row r="477">
      <c r="A477" s="35"/>
      <c r="B477" s="35"/>
      <c r="C477" s="35"/>
      <c r="D477" s="35"/>
      <c r="E477" s="107"/>
      <c r="F477" s="35"/>
      <c r="G477" s="35"/>
      <c r="H477" s="35"/>
      <c r="I477" s="35"/>
      <c r="J477" s="35"/>
      <c r="K477" s="35"/>
      <c r="L477" s="35"/>
      <c r="M477" s="35"/>
      <c r="N477" s="35"/>
      <c r="O477" s="35"/>
      <c r="P477" s="35"/>
      <c r="Q477" s="35"/>
      <c r="R477" s="35"/>
      <c r="S477" s="35"/>
      <c r="T477" s="35"/>
      <c r="U477" s="35"/>
      <c r="V477" s="35"/>
      <c r="W477" s="35"/>
      <c r="X477" s="35"/>
      <c r="Y477" s="35"/>
      <c r="Z477" s="35"/>
      <c r="AA477" s="35"/>
    </row>
    <row r="478">
      <c r="A478" s="35"/>
      <c r="B478" s="35"/>
      <c r="C478" s="35"/>
      <c r="D478" s="35"/>
      <c r="E478" s="107"/>
      <c r="F478" s="35"/>
      <c r="G478" s="35"/>
      <c r="H478" s="35"/>
      <c r="I478" s="35"/>
      <c r="J478" s="35"/>
      <c r="K478" s="35"/>
      <c r="L478" s="35"/>
      <c r="M478" s="35"/>
      <c r="N478" s="35"/>
      <c r="O478" s="35"/>
      <c r="P478" s="35"/>
      <c r="Q478" s="35"/>
      <c r="R478" s="35"/>
      <c r="S478" s="35"/>
      <c r="T478" s="35"/>
      <c r="U478" s="35"/>
      <c r="V478" s="35"/>
      <c r="W478" s="35"/>
      <c r="X478" s="35"/>
      <c r="Y478" s="35"/>
      <c r="Z478" s="35"/>
      <c r="AA478" s="35"/>
    </row>
    <row r="479">
      <c r="A479" s="35"/>
      <c r="B479" s="35"/>
      <c r="C479" s="35"/>
      <c r="D479" s="35"/>
      <c r="E479" s="107"/>
      <c r="F479" s="35"/>
      <c r="G479" s="35"/>
      <c r="H479" s="35"/>
      <c r="I479" s="35"/>
      <c r="J479" s="35"/>
      <c r="K479" s="35"/>
      <c r="L479" s="35"/>
      <c r="M479" s="35"/>
      <c r="N479" s="35"/>
      <c r="O479" s="35"/>
      <c r="P479" s="35"/>
      <c r="Q479" s="35"/>
      <c r="R479" s="35"/>
      <c r="S479" s="35"/>
      <c r="T479" s="35"/>
      <c r="U479" s="35"/>
      <c r="V479" s="35"/>
      <c r="W479" s="35"/>
      <c r="X479" s="35"/>
      <c r="Y479" s="35"/>
      <c r="Z479" s="35"/>
      <c r="AA479" s="35"/>
    </row>
    <row r="480">
      <c r="A480" s="35"/>
      <c r="B480" s="35"/>
      <c r="C480" s="35"/>
      <c r="D480" s="35"/>
      <c r="E480" s="107"/>
      <c r="F480" s="35"/>
      <c r="G480" s="35"/>
      <c r="H480" s="35"/>
      <c r="I480" s="35"/>
      <c r="J480" s="35"/>
      <c r="K480" s="35"/>
      <c r="L480" s="35"/>
      <c r="M480" s="35"/>
      <c r="N480" s="35"/>
      <c r="O480" s="35"/>
      <c r="P480" s="35"/>
      <c r="Q480" s="35"/>
      <c r="R480" s="35"/>
      <c r="S480" s="35"/>
      <c r="T480" s="35"/>
      <c r="U480" s="35"/>
      <c r="V480" s="35"/>
      <c r="W480" s="35"/>
      <c r="X480" s="35"/>
      <c r="Y480" s="35"/>
      <c r="Z480" s="35"/>
      <c r="AA480" s="35"/>
    </row>
    <row r="481">
      <c r="A481" s="35"/>
      <c r="B481" s="35"/>
      <c r="C481" s="35"/>
      <c r="D481" s="35"/>
      <c r="E481" s="107"/>
      <c r="F481" s="35"/>
      <c r="G481" s="35"/>
      <c r="H481" s="35"/>
      <c r="I481" s="35"/>
      <c r="J481" s="35"/>
      <c r="K481" s="35"/>
      <c r="L481" s="35"/>
      <c r="M481" s="35"/>
      <c r="N481" s="35"/>
      <c r="O481" s="35"/>
      <c r="P481" s="35"/>
      <c r="Q481" s="35"/>
      <c r="R481" s="35"/>
      <c r="S481" s="35"/>
      <c r="T481" s="35"/>
      <c r="U481" s="35"/>
      <c r="V481" s="35"/>
      <c r="W481" s="35"/>
      <c r="X481" s="35"/>
      <c r="Y481" s="35"/>
      <c r="Z481" s="35"/>
      <c r="AA481" s="35"/>
    </row>
    <row r="482">
      <c r="A482" s="35"/>
      <c r="B482" s="35"/>
      <c r="C482" s="35"/>
      <c r="D482" s="35"/>
      <c r="E482" s="107"/>
      <c r="F482" s="35"/>
      <c r="G482" s="35"/>
      <c r="H482" s="35"/>
      <c r="I482" s="35"/>
      <c r="J482" s="35"/>
      <c r="K482" s="35"/>
      <c r="L482" s="35"/>
      <c r="M482" s="35"/>
      <c r="N482" s="35"/>
      <c r="O482" s="35"/>
      <c r="P482" s="35"/>
      <c r="Q482" s="35"/>
      <c r="R482" s="35"/>
      <c r="S482" s="35"/>
      <c r="T482" s="35"/>
      <c r="U482" s="35"/>
      <c r="V482" s="35"/>
      <c r="W482" s="35"/>
      <c r="X482" s="35"/>
      <c r="Y482" s="35"/>
      <c r="Z482" s="35"/>
      <c r="AA482" s="35"/>
    </row>
    <row r="483">
      <c r="A483" s="35"/>
      <c r="B483" s="35"/>
      <c r="C483" s="35"/>
      <c r="D483" s="35"/>
      <c r="E483" s="107"/>
      <c r="F483" s="35"/>
      <c r="G483" s="35"/>
      <c r="H483" s="35"/>
      <c r="I483" s="35"/>
      <c r="J483" s="35"/>
      <c r="K483" s="35"/>
      <c r="L483" s="35"/>
      <c r="M483" s="35"/>
      <c r="N483" s="35"/>
      <c r="O483" s="35"/>
      <c r="P483" s="35"/>
      <c r="Q483" s="35"/>
      <c r="R483" s="35"/>
      <c r="S483" s="35"/>
      <c r="T483" s="35"/>
      <c r="U483" s="35"/>
      <c r="V483" s="35"/>
      <c r="W483" s="35"/>
      <c r="X483" s="35"/>
      <c r="Y483" s="35"/>
      <c r="Z483" s="35"/>
      <c r="AA483" s="35"/>
    </row>
    <row r="484">
      <c r="A484" s="35"/>
      <c r="B484" s="35"/>
      <c r="C484" s="35"/>
      <c r="D484" s="35"/>
      <c r="E484" s="107"/>
      <c r="F484" s="35"/>
      <c r="G484" s="35"/>
      <c r="H484" s="35"/>
      <c r="I484" s="35"/>
      <c r="J484" s="35"/>
      <c r="K484" s="35"/>
      <c r="L484" s="35"/>
      <c r="M484" s="35"/>
      <c r="N484" s="35"/>
      <c r="O484" s="35"/>
      <c r="P484" s="35"/>
      <c r="Q484" s="35"/>
      <c r="R484" s="35"/>
      <c r="S484" s="35"/>
      <c r="T484" s="35"/>
      <c r="U484" s="35"/>
      <c r="V484" s="35"/>
      <c r="W484" s="35"/>
      <c r="X484" s="35"/>
      <c r="Y484" s="35"/>
      <c r="Z484" s="35"/>
      <c r="AA484" s="35"/>
    </row>
    <row r="485">
      <c r="A485" s="35"/>
      <c r="B485" s="35"/>
      <c r="C485" s="35"/>
      <c r="D485" s="35"/>
      <c r="E485" s="107"/>
      <c r="F485" s="35"/>
      <c r="G485" s="35"/>
      <c r="H485" s="35"/>
      <c r="I485" s="35"/>
      <c r="J485" s="35"/>
      <c r="K485" s="35"/>
      <c r="L485" s="35"/>
      <c r="M485" s="35"/>
      <c r="N485" s="35"/>
      <c r="O485" s="35"/>
      <c r="P485" s="35"/>
      <c r="Q485" s="35"/>
      <c r="R485" s="35"/>
      <c r="S485" s="35"/>
      <c r="T485" s="35"/>
      <c r="U485" s="35"/>
      <c r="V485" s="35"/>
      <c r="W485" s="35"/>
      <c r="X485" s="35"/>
      <c r="Y485" s="35"/>
      <c r="Z485" s="35"/>
      <c r="AA485" s="35"/>
    </row>
    <row r="486">
      <c r="A486" s="35"/>
      <c r="B486" s="35"/>
      <c r="C486" s="35"/>
      <c r="D486" s="35"/>
      <c r="E486" s="107"/>
      <c r="F486" s="35"/>
      <c r="G486" s="35"/>
      <c r="H486" s="35"/>
      <c r="I486" s="35"/>
      <c r="J486" s="35"/>
      <c r="K486" s="35"/>
      <c r="L486" s="35"/>
      <c r="M486" s="35"/>
      <c r="N486" s="35"/>
      <c r="O486" s="35"/>
      <c r="P486" s="35"/>
      <c r="Q486" s="35"/>
      <c r="R486" s="35"/>
      <c r="S486" s="35"/>
      <c r="T486" s="35"/>
      <c r="U486" s="35"/>
      <c r="V486" s="35"/>
      <c r="W486" s="35"/>
      <c r="X486" s="35"/>
      <c r="Y486" s="35"/>
      <c r="Z486" s="35"/>
      <c r="AA486" s="35"/>
    </row>
    <row r="487">
      <c r="A487" s="35"/>
      <c r="B487" s="35"/>
      <c r="C487" s="35"/>
      <c r="D487" s="35"/>
      <c r="E487" s="107"/>
      <c r="F487" s="35"/>
      <c r="G487" s="35"/>
      <c r="H487" s="35"/>
      <c r="I487" s="35"/>
      <c r="J487" s="35"/>
      <c r="K487" s="35"/>
      <c r="L487" s="35"/>
      <c r="M487" s="35"/>
      <c r="N487" s="35"/>
      <c r="O487" s="35"/>
      <c r="P487" s="35"/>
      <c r="Q487" s="35"/>
      <c r="R487" s="35"/>
      <c r="S487" s="35"/>
      <c r="T487" s="35"/>
      <c r="U487" s="35"/>
      <c r="V487" s="35"/>
      <c r="W487" s="35"/>
      <c r="X487" s="35"/>
      <c r="Y487" s="35"/>
      <c r="Z487" s="35"/>
      <c r="AA487" s="35"/>
    </row>
    <row r="488">
      <c r="A488" s="35"/>
      <c r="B488" s="35"/>
      <c r="C488" s="35"/>
      <c r="D488" s="35"/>
      <c r="E488" s="107"/>
      <c r="F488" s="35"/>
      <c r="G488" s="35"/>
      <c r="H488" s="35"/>
      <c r="I488" s="35"/>
      <c r="J488" s="35"/>
      <c r="K488" s="35"/>
      <c r="L488" s="35"/>
      <c r="M488" s="35"/>
      <c r="N488" s="35"/>
      <c r="O488" s="35"/>
      <c r="P488" s="35"/>
      <c r="Q488" s="35"/>
      <c r="R488" s="35"/>
      <c r="S488" s="35"/>
      <c r="T488" s="35"/>
      <c r="U488" s="35"/>
      <c r="V488" s="35"/>
      <c r="W488" s="35"/>
      <c r="X488" s="35"/>
      <c r="Y488" s="35"/>
      <c r="Z488" s="35"/>
      <c r="AA488" s="35"/>
    </row>
    <row r="489">
      <c r="A489" s="35"/>
      <c r="B489" s="35"/>
      <c r="C489" s="35"/>
      <c r="D489" s="35"/>
      <c r="E489" s="107"/>
      <c r="F489" s="35"/>
      <c r="G489" s="35"/>
      <c r="H489" s="35"/>
      <c r="I489" s="35"/>
      <c r="J489" s="35"/>
      <c r="K489" s="35"/>
      <c r="L489" s="35"/>
      <c r="M489" s="35"/>
      <c r="N489" s="35"/>
      <c r="O489" s="35"/>
      <c r="P489" s="35"/>
      <c r="Q489" s="35"/>
      <c r="R489" s="35"/>
      <c r="S489" s="35"/>
      <c r="T489" s="35"/>
      <c r="U489" s="35"/>
      <c r="V489" s="35"/>
      <c r="W489" s="35"/>
      <c r="X489" s="35"/>
      <c r="Y489" s="35"/>
      <c r="Z489" s="35"/>
      <c r="AA489" s="35"/>
    </row>
    <row r="490">
      <c r="A490" s="35"/>
      <c r="B490" s="35"/>
      <c r="C490" s="35"/>
      <c r="D490" s="35"/>
      <c r="E490" s="107"/>
      <c r="F490" s="35"/>
      <c r="G490" s="35"/>
      <c r="H490" s="35"/>
      <c r="I490" s="35"/>
      <c r="J490" s="35"/>
      <c r="K490" s="35"/>
      <c r="L490" s="35"/>
      <c r="M490" s="35"/>
      <c r="N490" s="35"/>
      <c r="O490" s="35"/>
      <c r="P490" s="35"/>
      <c r="Q490" s="35"/>
      <c r="R490" s="35"/>
      <c r="S490" s="35"/>
      <c r="T490" s="35"/>
      <c r="U490" s="35"/>
      <c r="V490" s="35"/>
      <c r="W490" s="35"/>
      <c r="X490" s="35"/>
      <c r="Y490" s="35"/>
      <c r="Z490" s="35"/>
      <c r="AA490" s="35"/>
    </row>
    <row r="491">
      <c r="A491" s="35"/>
      <c r="B491" s="35"/>
      <c r="C491" s="35"/>
      <c r="D491" s="35"/>
      <c r="E491" s="107"/>
      <c r="F491" s="35"/>
      <c r="G491" s="35"/>
      <c r="H491" s="35"/>
      <c r="I491" s="35"/>
      <c r="J491" s="35"/>
      <c r="K491" s="35"/>
      <c r="L491" s="35"/>
      <c r="M491" s="35"/>
      <c r="N491" s="35"/>
      <c r="O491" s="35"/>
      <c r="P491" s="35"/>
      <c r="Q491" s="35"/>
      <c r="R491" s="35"/>
      <c r="S491" s="35"/>
      <c r="T491" s="35"/>
      <c r="U491" s="35"/>
      <c r="V491" s="35"/>
      <c r="W491" s="35"/>
      <c r="X491" s="35"/>
      <c r="Y491" s="35"/>
      <c r="Z491" s="35"/>
      <c r="AA491" s="35"/>
    </row>
    <row r="492">
      <c r="A492" s="35"/>
      <c r="B492" s="35"/>
      <c r="C492" s="35"/>
      <c r="D492" s="35"/>
      <c r="E492" s="107"/>
      <c r="F492" s="35"/>
      <c r="G492" s="35"/>
      <c r="H492" s="35"/>
      <c r="I492" s="35"/>
      <c r="J492" s="35"/>
      <c r="K492" s="35"/>
      <c r="L492" s="35"/>
      <c r="M492" s="35"/>
      <c r="N492" s="35"/>
      <c r="O492" s="35"/>
      <c r="P492" s="35"/>
      <c r="Q492" s="35"/>
      <c r="R492" s="35"/>
      <c r="S492" s="35"/>
      <c r="T492" s="35"/>
      <c r="U492" s="35"/>
      <c r="V492" s="35"/>
      <c r="W492" s="35"/>
      <c r="X492" s="35"/>
      <c r="Y492" s="35"/>
      <c r="Z492" s="35"/>
      <c r="AA492" s="35"/>
    </row>
    <row r="493">
      <c r="A493" s="35"/>
      <c r="B493" s="35"/>
      <c r="C493" s="35"/>
      <c r="D493" s="35"/>
      <c r="E493" s="107"/>
      <c r="F493" s="35"/>
      <c r="G493" s="35"/>
      <c r="H493" s="35"/>
      <c r="I493" s="35"/>
      <c r="J493" s="35"/>
      <c r="K493" s="35"/>
      <c r="L493" s="35"/>
      <c r="M493" s="35"/>
      <c r="N493" s="35"/>
      <c r="O493" s="35"/>
      <c r="P493" s="35"/>
      <c r="Q493" s="35"/>
      <c r="R493" s="35"/>
      <c r="S493" s="35"/>
      <c r="T493" s="35"/>
      <c r="U493" s="35"/>
      <c r="V493" s="35"/>
      <c r="W493" s="35"/>
      <c r="X493" s="35"/>
      <c r="Y493" s="35"/>
      <c r="Z493" s="35"/>
      <c r="AA493" s="35"/>
    </row>
    <row r="494">
      <c r="A494" s="35"/>
      <c r="B494" s="35"/>
      <c r="C494" s="35"/>
      <c r="D494" s="35"/>
      <c r="E494" s="107"/>
      <c r="F494" s="35"/>
      <c r="G494" s="35"/>
      <c r="H494" s="35"/>
      <c r="I494" s="35"/>
      <c r="J494" s="35"/>
      <c r="K494" s="35"/>
      <c r="L494" s="35"/>
      <c r="M494" s="35"/>
      <c r="N494" s="35"/>
      <c r="O494" s="35"/>
      <c r="P494" s="35"/>
      <c r="Q494" s="35"/>
      <c r="R494" s="35"/>
      <c r="S494" s="35"/>
      <c r="T494" s="35"/>
      <c r="U494" s="35"/>
      <c r="V494" s="35"/>
      <c r="W494" s="35"/>
      <c r="X494" s="35"/>
      <c r="Y494" s="35"/>
      <c r="Z494" s="35"/>
      <c r="AA494" s="35"/>
    </row>
    <row r="495">
      <c r="A495" s="35"/>
      <c r="B495" s="35"/>
      <c r="C495" s="35"/>
      <c r="D495" s="35"/>
      <c r="E495" s="107"/>
      <c r="F495" s="35"/>
      <c r="G495" s="35"/>
      <c r="H495" s="35"/>
      <c r="I495" s="35"/>
      <c r="J495" s="35"/>
      <c r="K495" s="35"/>
      <c r="L495" s="35"/>
      <c r="M495" s="35"/>
      <c r="N495" s="35"/>
      <c r="O495" s="35"/>
      <c r="P495" s="35"/>
      <c r="Q495" s="35"/>
      <c r="R495" s="35"/>
      <c r="S495" s="35"/>
      <c r="T495" s="35"/>
      <c r="U495" s="35"/>
      <c r="V495" s="35"/>
      <c r="W495" s="35"/>
      <c r="X495" s="35"/>
      <c r="Y495" s="35"/>
      <c r="Z495" s="35"/>
      <c r="AA495" s="35"/>
    </row>
    <row r="496">
      <c r="A496" s="35"/>
      <c r="B496" s="35"/>
      <c r="C496" s="35"/>
      <c r="D496" s="35"/>
      <c r="E496" s="107"/>
      <c r="F496" s="35"/>
      <c r="G496" s="35"/>
      <c r="H496" s="35"/>
      <c r="I496" s="35"/>
      <c r="J496" s="35"/>
      <c r="K496" s="35"/>
      <c r="L496" s="35"/>
      <c r="M496" s="35"/>
      <c r="N496" s="35"/>
      <c r="O496" s="35"/>
      <c r="P496" s="35"/>
      <c r="Q496" s="35"/>
      <c r="R496" s="35"/>
      <c r="S496" s="35"/>
      <c r="T496" s="35"/>
      <c r="U496" s="35"/>
      <c r="V496" s="35"/>
      <c r="W496" s="35"/>
      <c r="X496" s="35"/>
      <c r="Y496" s="35"/>
      <c r="Z496" s="35"/>
      <c r="AA496" s="35"/>
    </row>
    <row r="497">
      <c r="A497" s="35"/>
      <c r="B497" s="35"/>
      <c r="C497" s="35"/>
      <c r="D497" s="35"/>
      <c r="E497" s="107"/>
      <c r="F497" s="35"/>
      <c r="G497" s="35"/>
      <c r="H497" s="35"/>
      <c r="I497" s="35"/>
      <c r="J497" s="35"/>
      <c r="K497" s="35"/>
      <c r="L497" s="35"/>
      <c r="M497" s="35"/>
      <c r="N497" s="35"/>
      <c r="O497" s="35"/>
      <c r="P497" s="35"/>
      <c r="Q497" s="35"/>
      <c r="R497" s="35"/>
      <c r="S497" s="35"/>
      <c r="T497" s="35"/>
      <c r="U497" s="35"/>
      <c r="V497" s="35"/>
      <c r="W497" s="35"/>
      <c r="X497" s="35"/>
      <c r="Y497" s="35"/>
      <c r="Z497" s="35"/>
      <c r="AA497" s="35"/>
    </row>
    <row r="498">
      <c r="A498" s="35"/>
      <c r="B498" s="35"/>
      <c r="C498" s="35"/>
      <c r="D498" s="35"/>
      <c r="E498" s="107"/>
      <c r="F498" s="35"/>
      <c r="G498" s="35"/>
      <c r="H498" s="35"/>
      <c r="I498" s="35"/>
      <c r="J498" s="35"/>
      <c r="K498" s="35"/>
      <c r="L498" s="35"/>
      <c r="M498" s="35"/>
      <c r="N498" s="35"/>
      <c r="O498" s="35"/>
      <c r="P498" s="35"/>
      <c r="Q498" s="35"/>
      <c r="R498" s="35"/>
      <c r="S498" s="35"/>
      <c r="T498" s="35"/>
      <c r="U498" s="35"/>
      <c r="V498" s="35"/>
      <c r="W498" s="35"/>
      <c r="X498" s="35"/>
      <c r="Y498" s="35"/>
      <c r="Z498" s="35"/>
      <c r="AA498" s="35"/>
    </row>
    <row r="499">
      <c r="A499" s="35"/>
      <c r="B499" s="35"/>
      <c r="C499" s="35"/>
      <c r="D499" s="35"/>
      <c r="E499" s="107"/>
      <c r="F499" s="35"/>
      <c r="G499" s="35"/>
      <c r="H499" s="35"/>
      <c r="I499" s="35"/>
      <c r="J499" s="35"/>
      <c r="K499" s="35"/>
      <c r="L499" s="35"/>
      <c r="M499" s="35"/>
      <c r="N499" s="35"/>
      <c r="O499" s="35"/>
      <c r="P499" s="35"/>
      <c r="Q499" s="35"/>
      <c r="R499" s="35"/>
      <c r="S499" s="35"/>
      <c r="T499" s="35"/>
      <c r="U499" s="35"/>
      <c r="V499" s="35"/>
      <c r="W499" s="35"/>
      <c r="X499" s="35"/>
      <c r="Y499" s="35"/>
      <c r="Z499" s="35"/>
      <c r="AA499" s="35"/>
    </row>
    <row r="500">
      <c r="A500" s="35"/>
      <c r="B500" s="35"/>
      <c r="C500" s="35"/>
      <c r="D500" s="35"/>
      <c r="E500" s="107"/>
      <c r="F500" s="35"/>
      <c r="G500" s="35"/>
      <c r="H500" s="35"/>
      <c r="I500" s="35"/>
      <c r="J500" s="35"/>
      <c r="K500" s="35"/>
      <c r="L500" s="35"/>
      <c r="M500" s="35"/>
      <c r="N500" s="35"/>
      <c r="O500" s="35"/>
      <c r="P500" s="35"/>
      <c r="Q500" s="35"/>
      <c r="R500" s="35"/>
      <c r="S500" s="35"/>
      <c r="T500" s="35"/>
      <c r="U500" s="35"/>
      <c r="V500" s="35"/>
      <c r="W500" s="35"/>
      <c r="X500" s="35"/>
      <c r="Y500" s="35"/>
      <c r="Z500" s="35"/>
      <c r="AA500" s="35"/>
    </row>
    <row r="501">
      <c r="A501" s="35"/>
      <c r="B501" s="35"/>
      <c r="C501" s="35"/>
      <c r="D501" s="35"/>
      <c r="E501" s="107"/>
      <c r="F501" s="35"/>
      <c r="G501" s="35"/>
      <c r="H501" s="35"/>
      <c r="I501" s="35"/>
      <c r="J501" s="35"/>
      <c r="K501" s="35"/>
      <c r="L501" s="35"/>
      <c r="M501" s="35"/>
      <c r="N501" s="35"/>
      <c r="O501" s="35"/>
      <c r="P501" s="35"/>
      <c r="Q501" s="35"/>
      <c r="R501" s="35"/>
      <c r="S501" s="35"/>
      <c r="T501" s="35"/>
      <c r="U501" s="35"/>
      <c r="V501" s="35"/>
      <c r="W501" s="35"/>
      <c r="X501" s="35"/>
      <c r="Y501" s="35"/>
      <c r="Z501" s="35"/>
      <c r="AA501" s="35"/>
    </row>
    <row r="502">
      <c r="A502" s="35"/>
      <c r="B502" s="35"/>
      <c r="C502" s="35"/>
      <c r="D502" s="35"/>
      <c r="E502" s="107"/>
      <c r="F502" s="35"/>
      <c r="G502" s="35"/>
      <c r="H502" s="35"/>
      <c r="I502" s="35"/>
      <c r="J502" s="35"/>
      <c r="K502" s="35"/>
      <c r="L502" s="35"/>
      <c r="M502" s="35"/>
      <c r="N502" s="35"/>
      <c r="O502" s="35"/>
      <c r="P502" s="35"/>
      <c r="Q502" s="35"/>
      <c r="R502" s="35"/>
      <c r="S502" s="35"/>
      <c r="T502" s="35"/>
      <c r="U502" s="35"/>
      <c r="V502" s="35"/>
      <c r="W502" s="35"/>
      <c r="X502" s="35"/>
      <c r="Y502" s="35"/>
      <c r="Z502" s="35"/>
      <c r="AA502" s="35"/>
    </row>
    <row r="503">
      <c r="A503" s="35"/>
      <c r="B503" s="35"/>
      <c r="C503" s="35"/>
      <c r="D503" s="35"/>
      <c r="E503" s="107"/>
      <c r="F503" s="35"/>
      <c r="G503" s="35"/>
      <c r="H503" s="35"/>
      <c r="I503" s="35"/>
      <c r="J503" s="35"/>
      <c r="K503" s="35"/>
      <c r="L503" s="35"/>
      <c r="M503" s="35"/>
      <c r="N503" s="35"/>
      <c r="O503" s="35"/>
      <c r="P503" s="35"/>
      <c r="Q503" s="35"/>
      <c r="R503" s="35"/>
      <c r="S503" s="35"/>
      <c r="T503" s="35"/>
      <c r="U503" s="35"/>
      <c r="V503" s="35"/>
      <c r="W503" s="35"/>
      <c r="X503" s="35"/>
      <c r="Y503" s="35"/>
      <c r="Z503" s="35"/>
      <c r="AA503" s="35"/>
    </row>
    <row r="504">
      <c r="A504" s="35"/>
      <c r="B504" s="35"/>
      <c r="C504" s="35"/>
      <c r="D504" s="35"/>
      <c r="E504" s="107"/>
      <c r="F504" s="35"/>
      <c r="G504" s="35"/>
      <c r="H504" s="35"/>
      <c r="I504" s="35"/>
      <c r="J504" s="35"/>
      <c r="K504" s="35"/>
      <c r="L504" s="35"/>
      <c r="M504" s="35"/>
      <c r="N504" s="35"/>
      <c r="O504" s="35"/>
      <c r="P504" s="35"/>
      <c r="Q504" s="35"/>
      <c r="R504" s="35"/>
      <c r="S504" s="35"/>
      <c r="T504" s="35"/>
      <c r="U504" s="35"/>
      <c r="V504" s="35"/>
      <c r="W504" s="35"/>
      <c r="X504" s="35"/>
      <c r="Y504" s="35"/>
      <c r="Z504" s="35"/>
      <c r="AA504" s="35"/>
    </row>
    <row r="505">
      <c r="A505" s="35"/>
      <c r="B505" s="35"/>
      <c r="C505" s="35"/>
      <c r="D505" s="35"/>
      <c r="E505" s="107"/>
      <c r="F505" s="35"/>
      <c r="G505" s="35"/>
      <c r="H505" s="35"/>
      <c r="I505" s="35"/>
      <c r="J505" s="35"/>
      <c r="K505" s="35"/>
      <c r="L505" s="35"/>
      <c r="M505" s="35"/>
      <c r="N505" s="35"/>
      <c r="O505" s="35"/>
      <c r="P505" s="35"/>
      <c r="Q505" s="35"/>
      <c r="R505" s="35"/>
      <c r="S505" s="35"/>
      <c r="T505" s="35"/>
      <c r="U505" s="35"/>
      <c r="V505" s="35"/>
      <c r="W505" s="35"/>
      <c r="X505" s="35"/>
      <c r="Y505" s="35"/>
      <c r="Z505" s="35"/>
      <c r="AA505" s="35"/>
    </row>
    <row r="506">
      <c r="A506" s="35"/>
      <c r="B506" s="35"/>
      <c r="C506" s="35"/>
      <c r="D506" s="35"/>
      <c r="E506" s="107"/>
      <c r="F506" s="35"/>
      <c r="G506" s="35"/>
      <c r="H506" s="35"/>
      <c r="I506" s="35"/>
      <c r="J506" s="35"/>
      <c r="K506" s="35"/>
      <c r="L506" s="35"/>
      <c r="M506" s="35"/>
      <c r="N506" s="35"/>
      <c r="O506" s="35"/>
      <c r="P506" s="35"/>
      <c r="Q506" s="35"/>
      <c r="R506" s="35"/>
      <c r="S506" s="35"/>
      <c r="T506" s="35"/>
      <c r="U506" s="35"/>
      <c r="V506" s="35"/>
      <c r="W506" s="35"/>
      <c r="X506" s="35"/>
      <c r="Y506" s="35"/>
      <c r="Z506" s="35"/>
      <c r="AA506" s="35"/>
    </row>
    <row r="507">
      <c r="A507" s="35"/>
      <c r="B507" s="35"/>
      <c r="C507" s="35"/>
      <c r="D507" s="35"/>
      <c r="E507" s="107"/>
      <c r="F507" s="35"/>
      <c r="G507" s="35"/>
      <c r="H507" s="35"/>
      <c r="I507" s="35"/>
      <c r="J507" s="35"/>
      <c r="K507" s="35"/>
      <c r="L507" s="35"/>
      <c r="M507" s="35"/>
      <c r="N507" s="35"/>
      <c r="O507" s="35"/>
      <c r="P507" s="35"/>
      <c r="Q507" s="35"/>
      <c r="R507" s="35"/>
      <c r="S507" s="35"/>
      <c r="T507" s="35"/>
      <c r="U507" s="35"/>
      <c r="V507" s="35"/>
      <c r="W507" s="35"/>
      <c r="X507" s="35"/>
      <c r="Y507" s="35"/>
      <c r="Z507" s="35"/>
      <c r="AA507" s="35"/>
    </row>
    <row r="508">
      <c r="A508" s="35"/>
      <c r="B508" s="35"/>
      <c r="C508" s="35"/>
      <c r="D508" s="35"/>
      <c r="E508" s="107"/>
      <c r="F508" s="35"/>
      <c r="G508" s="35"/>
      <c r="H508" s="35"/>
      <c r="I508" s="35"/>
      <c r="J508" s="35"/>
      <c r="K508" s="35"/>
      <c r="L508" s="35"/>
      <c r="M508" s="35"/>
      <c r="N508" s="35"/>
      <c r="O508" s="35"/>
      <c r="P508" s="35"/>
      <c r="Q508" s="35"/>
      <c r="R508" s="35"/>
      <c r="S508" s="35"/>
      <c r="T508" s="35"/>
      <c r="U508" s="35"/>
      <c r="V508" s="35"/>
      <c r="W508" s="35"/>
      <c r="X508" s="35"/>
      <c r="Y508" s="35"/>
      <c r="Z508" s="35"/>
      <c r="AA508" s="35"/>
    </row>
    <row r="509">
      <c r="A509" s="35"/>
      <c r="B509" s="35"/>
      <c r="C509" s="35"/>
      <c r="D509" s="35"/>
      <c r="E509" s="107"/>
      <c r="F509" s="35"/>
      <c r="G509" s="35"/>
      <c r="H509" s="35"/>
      <c r="I509" s="35"/>
      <c r="J509" s="35"/>
      <c r="K509" s="35"/>
      <c r="L509" s="35"/>
      <c r="M509" s="35"/>
      <c r="N509" s="35"/>
      <c r="O509" s="35"/>
      <c r="P509" s="35"/>
      <c r="Q509" s="35"/>
      <c r="R509" s="35"/>
      <c r="S509" s="35"/>
      <c r="T509" s="35"/>
      <c r="U509" s="35"/>
      <c r="V509" s="35"/>
      <c r="W509" s="35"/>
      <c r="X509" s="35"/>
      <c r="Y509" s="35"/>
      <c r="Z509" s="35"/>
      <c r="AA509" s="35"/>
    </row>
    <row r="510">
      <c r="A510" s="35"/>
      <c r="B510" s="35"/>
      <c r="C510" s="35"/>
      <c r="D510" s="35"/>
      <c r="E510" s="107"/>
      <c r="F510" s="35"/>
      <c r="G510" s="35"/>
      <c r="H510" s="35"/>
      <c r="I510" s="35"/>
      <c r="J510" s="35"/>
      <c r="K510" s="35"/>
      <c r="L510" s="35"/>
      <c r="M510" s="35"/>
      <c r="N510" s="35"/>
      <c r="O510" s="35"/>
      <c r="P510" s="35"/>
      <c r="Q510" s="35"/>
      <c r="R510" s="35"/>
      <c r="S510" s="35"/>
      <c r="T510" s="35"/>
      <c r="U510" s="35"/>
      <c r="V510" s="35"/>
      <c r="W510" s="35"/>
      <c r="X510" s="35"/>
      <c r="Y510" s="35"/>
      <c r="Z510" s="35"/>
      <c r="AA510" s="35"/>
    </row>
    <row r="511">
      <c r="A511" s="35"/>
      <c r="B511" s="35"/>
      <c r="C511" s="35"/>
      <c r="D511" s="35"/>
      <c r="E511" s="107"/>
      <c r="F511" s="35"/>
      <c r="G511" s="35"/>
      <c r="H511" s="35"/>
      <c r="I511" s="35"/>
      <c r="J511" s="35"/>
      <c r="K511" s="35"/>
      <c r="L511" s="35"/>
      <c r="M511" s="35"/>
      <c r="N511" s="35"/>
      <c r="O511" s="35"/>
      <c r="P511" s="35"/>
      <c r="Q511" s="35"/>
      <c r="R511" s="35"/>
      <c r="S511" s="35"/>
      <c r="T511" s="35"/>
      <c r="U511" s="35"/>
      <c r="V511" s="35"/>
      <c r="W511" s="35"/>
      <c r="X511" s="35"/>
      <c r="Y511" s="35"/>
      <c r="Z511" s="35"/>
      <c r="AA511" s="35"/>
    </row>
    <row r="512">
      <c r="A512" s="35"/>
      <c r="B512" s="35"/>
      <c r="C512" s="35"/>
      <c r="D512" s="35"/>
      <c r="E512" s="107"/>
      <c r="F512" s="35"/>
      <c r="G512" s="35"/>
      <c r="H512" s="35"/>
      <c r="I512" s="35"/>
      <c r="J512" s="35"/>
      <c r="K512" s="35"/>
      <c r="L512" s="35"/>
      <c r="M512" s="35"/>
      <c r="N512" s="35"/>
      <c r="O512" s="35"/>
      <c r="P512" s="35"/>
      <c r="Q512" s="35"/>
      <c r="R512" s="35"/>
      <c r="S512" s="35"/>
      <c r="T512" s="35"/>
      <c r="U512" s="35"/>
      <c r="V512" s="35"/>
      <c r="W512" s="35"/>
      <c r="X512" s="35"/>
      <c r="Y512" s="35"/>
      <c r="Z512" s="35"/>
      <c r="AA512" s="35"/>
    </row>
    <row r="513">
      <c r="A513" s="35"/>
      <c r="B513" s="35"/>
      <c r="C513" s="35"/>
      <c r="D513" s="35"/>
      <c r="E513" s="107"/>
      <c r="F513" s="35"/>
      <c r="G513" s="35"/>
      <c r="H513" s="35"/>
      <c r="I513" s="35"/>
      <c r="J513" s="35"/>
      <c r="K513" s="35"/>
      <c r="L513" s="35"/>
      <c r="M513" s="35"/>
      <c r="N513" s="35"/>
      <c r="O513" s="35"/>
      <c r="P513" s="35"/>
      <c r="Q513" s="35"/>
      <c r="R513" s="35"/>
      <c r="S513" s="35"/>
      <c r="T513" s="35"/>
      <c r="U513" s="35"/>
      <c r="V513" s="35"/>
      <c r="W513" s="35"/>
      <c r="X513" s="35"/>
      <c r="Y513" s="35"/>
      <c r="Z513" s="35"/>
      <c r="AA513" s="35"/>
    </row>
    <row r="514">
      <c r="A514" s="35"/>
      <c r="B514" s="35"/>
      <c r="C514" s="35"/>
      <c r="D514" s="35"/>
      <c r="E514" s="107"/>
      <c r="F514" s="35"/>
      <c r="G514" s="35"/>
      <c r="H514" s="35"/>
      <c r="I514" s="35"/>
      <c r="J514" s="35"/>
      <c r="K514" s="35"/>
      <c r="L514" s="35"/>
      <c r="M514" s="35"/>
      <c r="N514" s="35"/>
      <c r="O514" s="35"/>
      <c r="P514" s="35"/>
      <c r="Q514" s="35"/>
      <c r="R514" s="35"/>
      <c r="S514" s="35"/>
      <c r="T514" s="35"/>
      <c r="U514" s="35"/>
      <c r="V514" s="35"/>
      <c r="W514" s="35"/>
      <c r="X514" s="35"/>
      <c r="Y514" s="35"/>
      <c r="Z514" s="35"/>
      <c r="AA514" s="35"/>
    </row>
    <row r="515">
      <c r="A515" s="35"/>
      <c r="B515" s="35"/>
      <c r="C515" s="35"/>
      <c r="D515" s="35"/>
      <c r="E515" s="107"/>
      <c r="F515" s="35"/>
      <c r="G515" s="35"/>
      <c r="H515" s="35"/>
      <c r="I515" s="35"/>
      <c r="J515" s="35"/>
      <c r="K515" s="35"/>
      <c r="L515" s="35"/>
      <c r="M515" s="35"/>
      <c r="N515" s="35"/>
      <c r="O515" s="35"/>
      <c r="P515" s="35"/>
      <c r="Q515" s="35"/>
      <c r="R515" s="35"/>
      <c r="S515" s="35"/>
      <c r="T515" s="35"/>
      <c r="U515" s="35"/>
      <c r="V515" s="35"/>
      <c r="W515" s="35"/>
      <c r="X515" s="35"/>
      <c r="Y515" s="35"/>
      <c r="Z515" s="35"/>
      <c r="AA515" s="35"/>
    </row>
    <row r="516">
      <c r="A516" s="35"/>
      <c r="B516" s="35"/>
      <c r="C516" s="35"/>
      <c r="D516" s="35"/>
      <c r="E516" s="107"/>
      <c r="F516" s="35"/>
      <c r="G516" s="35"/>
      <c r="H516" s="35"/>
      <c r="I516" s="35"/>
      <c r="J516" s="35"/>
      <c r="K516" s="35"/>
      <c r="L516" s="35"/>
      <c r="M516" s="35"/>
      <c r="N516" s="35"/>
      <c r="O516" s="35"/>
      <c r="P516" s="35"/>
      <c r="Q516" s="35"/>
      <c r="R516" s="35"/>
      <c r="S516" s="35"/>
      <c r="T516" s="35"/>
      <c r="U516" s="35"/>
      <c r="V516" s="35"/>
      <c r="W516" s="35"/>
      <c r="X516" s="35"/>
      <c r="Y516" s="35"/>
      <c r="Z516" s="35"/>
      <c r="AA516" s="35"/>
    </row>
    <row r="517">
      <c r="A517" s="35"/>
      <c r="B517" s="35"/>
      <c r="C517" s="35"/>
      <c r="D517" s="35"/>
      <c r="E517" s="107"/>
      <c r="F517" s="35"/>
      <c r="G517" s="35"/>
      <c r="H517" s="35"/>
      <c r="I517" s="35"/>
      <c r="J517" s="35"/>
      <c r="K517" s="35"/>
      <c r="L517" s="35"/>
      <c r="M517" s="35"/>
      <c r="N517" s="35"/>
      <c r="O517" s="35"/>
      <c r="P517" s="35"/>
      <c r="Q517" s="35"/>
      <c r="R517" s="35"/>
      <c r="S517" s="35"/>
      <c r="T517" s="35"/>
      <c r="U517" s="35"/>
      <c r="V517" s="35"/>
      <c r="W517" s="35"/>
      <c r="X517" s="35"/>
      <c r="Y517" s="35"/>
      <c r="Z517" s="35"/>
      <c r="AA517" s="35"/>
    </row>
    <row r="518">
      <c r="A518" s="35"/>
      <c r="B518" s="35"/>
      <c r="C518" s="35"/>
      <c r="D518" s="35"/>
      <c r="E518" s="107"/>
      <c r="F518" s="35"/>
      <c r="G518" s="35"/>
      <c r="H518" s="35"/>
      <c r="I518" s="35"/>
      <c r="J518" s="35"/>
      <c r="K518" s="35"/>
      <c r="L518" s="35"/>
      <c r="M518" s="35"/>
      <c r="N518" s="35"/>
      <c r="O518" s="35"/>
      <c r="P518" s="35"/>
      <c r="Q518" s="35"/>
      <c r="R518" s="35"/>
      <c r="S518" s="35"/>
      <c r="T518" s="35"/>
      <c r="U518" s="35"/>
      <c r="V518" s="35"/>
      <c r="W518" s="35"/>
      <c r="X518" s="35"/>
      <c r="Y518" s="35"/>
      <c r="Z518" s="35"/>
      <c r="AA518" s="35"/>
    </row>
    <row r="519">
      <c r="A519" s="35"/>
      <c r="B519" s="35"/>
      <c r="C519" s="35"/>
      <c r="D519" s="35"/>
      <c r="E519" s="107"/>
      <c r="F519" s="35"/>
      <c r="G519" s="35"/>
      <c r="H519" s="35"/>
      <c r="I519" s="35"/>
      <c r="J519" s="35"/>
      <c r="K519" s="35"/>
      <c r="L519" s="35"/>
      <c r="M519" s="35"/>
      <c r="N519" s="35"/>
      <c r="O519" s="35"/>
      <c r="P519" s="35"/>
      <c r="Q519" s="35"/>
      <c r="R519" s="35"/>
      <c r="S519" s="35"/>
      <c r="T519" s="35"/>
      <c r="U519" s="35"/>
      <c r="V519" s="35"/>
      <c r="W519" s="35"/>
      <c r="X519" s="35"/>
      <c r="Y519" s="35"/>
      <c r="Z519" s="35"/>
      <c r="AA519" s="35"/>
    </row>
    <row r="520">
      <c r="A520" s="35"/>
      <c r="B520" s="35"/>
      <c r="C520" s="35"/>
      <c r="D520" s="35"/>
      <c r="E520" s="107"/>
      <c r="F520" s="35"/>
      <c r="G520" s="35"/>
      <c r="H520" s="35"/>
      <c r="I520" s="35"/>
      <c r="J520" s="35"/>
      <c r="K520" s="35"/>
      <c r="L520" s="35"/>
      <c r="M520" s="35"/>
      <c r="N520" s="35"/>
      <c r="O520" s="35"/>
      <c r="P520" s="35"/>
      <c r="Q520" s="35"/>
      <c r="R520" s="35"/>
      <c r="S520" s="35"/>
      <c r="T520" s="35"/>
      <c r="U520" s="35"/>
      <c r="V520" s="35"/>
      <c r="W520" s="35"/>
      <c r="X520" s="35"/>
      <c r="Y520" s="35"/>
      <c r="Z520" s="35"/>
      <c r="AA520" s="35"/>
    </row>
    <row r="521">
      <c r="A521" s="35"/>
      <c r="B521" s="35"/>
      <c r="C521" s="35"/>
      <c r="D521" s="35"/>
      <c r="E521" s="107"/>
      <c r="F521" s="35"/>
      <c r="G521" s="35"/>
      <c r="H521" s="35"/>
      <c r="I521" s="35"/>
      <c r="J521" s="35"/>
      <c r="K521" s="35"/>
      <c r="L521" s="35"/>
      <c r="M521" s="35"/>
      <c r="N521" s="35"/>
      <c r="O521" s="35"/>
      <c r="P521" s="35"/>
      <c r="Q521" s="35"/>
      <c r="R521" s="35"/>
      <c r="S521" s="35"/>
      <c r="T521" s="35"/>
      <c r="U521" s="35"/>
      <c r="V521" s="35"/>
      <c r="W521" s="35"/>
      <c r="X521" s="35"/>
      <c r="Y521" s="35"/>
      <c r="Z521" s="35"/>
      <c r="AA521" s="35"/>
    </row>
    <row r="522">
      <c r="A522" s="35"/>
      <c r="B522" s="35"/>
      <c r="C522" s="35"/>
      <c r="D522" s="35"/>
      <c r="E522" s="107"/>
      <c r="F522" s="35"/>
      <c r="G522" s="35"/>
      <c r="H522" s="35"/>
      <c r="I522" s="35"/>
      <c r="J522" s="35"/>
      <c r="K522" s="35"/>
      <c r="L522" s="35"/>
      <c r="M522" s="35"/>
      <c r="N522" s="35"/>
      <c r="O522" s="35"/>
      <c r="P522" s="35"/>
      <c r="Q522" s="35"/>
      <c r="R522" s="35"/>
      <c r="S522" s="35"/>
      <c r="T522" s="35"/>
      <c r="U522" s="35"/>
      <c r="V522" s="35"/>
      <c r="W522" s="35"/>
      <c r="X522" s="35"/>
      <c r="Y522" s="35"/>
      <c r="Z522" s="35"/>
      <c r="AA522" s="35"/>
    </row>
    <row r="523">
      <c r="A523" s="35"/>
      <c r="B523" s="35"/>
      <c r="C523" s="35"/>
      <c r="D523" s="35"/>
      <c r="E523" s="107"/>
      <c r="F523" s="35"/>
      <c r="G523" s="35"/>
      <c r="H523" s="35"/>
      <c r="I523" s="35"/>
      <c r="J523" s="35"/>
      <c r="K523" s="35"/>
      <c r="L523" s="35"/>
      <c r="M523" s="35"/>
      <c r="N523" s="35"/>
      <c r="O523" s="35"/>
      <c r="P523" s="35"/>
      <c r="Q523" s="35"/>
      <c r="R523" s="35"/>
      <c r="S523" s="35"/>
      <c r="T523" s="35"/>
      <c r="U523" s="35"/>
      <c r="V523" s="35"/>
      <c r="W523" s="35"/>
      <c r="X523" s="35"/>
      <c r="Y523" s="35"/>
      <c r="Z523" s="35"/>
      <c r="AA523" s="35"/>
    </row>
    <row r="524">
      <c r="A524" s="35"/>
      <c r="B524" s="35"/>
      <c r="C524" s="35"/>
      <c r="D524" s="35"/>
      <c r="E524" s="107"/>
      <c r="F524" s="35"/>
      <c r="G524" s="35"/>
      <c r="H524" s="35"/>
      <c r="I524" s="35"/>
      <c r="J524" s="35"/>
      <c r="K524" s="35"/>
      <c r="L524" s="35"/>
      <c r="M524" s="35"/>
      <c r="N524" s="35"/>
      <c r="O524" s="35"/>
      <c r="P524" s="35"/>
      <c r="Q524" s="35"/>
      <c r="R524" s="35"/>
      <c r="S524" s="35"/>
      <c r="T524" s="35"/>
      <c r="U524" s="35"/>
      <c r="V524" s="35"/>
      <c r="W524" s="35"/>
      <c r="X524" s="35"/>
      <c r="Y524" s="35"/>
      <c r="Z524" s="35"/>
      <c r="AA524" s="35"/>
    </row>
    <row r="525">
      <c r="A525" s="35"/>
      <c r="B525" s="35"/>
      <c r="C525" s="35"/>
      <c r="D525" s="35"/>
      <c r="E525" s="107"/>
      <c r="F525" s="35"/>
      <c r="G525" s="35"/>
      <c r="H525" s="35"/>
      <c r="I525" s="35"/>
      <c r="J525" s="35"/>
      <c r="K525" s="35"/>
      <c r="L525" s="35"/>
      <c r="M525" s="35"/>
      <c r="N525" s="35"/>
      <c r="O525" s="35"/>
      <c r="P525" s="35"/>
      <c r="Q525" s="35"/>
      <c r="R525" s="35"/>
      <c r="S525" s="35"/>
      <c r="T525" s="35"/>
      <c r="U525" s="35"/>
      <c r="V525" s="35"/>
      <c r="W525" s="35"/>
      <c r="X525" s="35"/>
      <c r="Y525" s="35"/>
      <c r="Z525" s="35"/>
      <c r="AA525" s="35"/>
    </row>
    <row r="526">
      <c r="A526" s="35"/>
      <c r="B526" s="35"/>
      <c r="C526" s="35"/>
      <c r="D526" s="35"/>
      <c r="E526" s="107"/>
      <c r="F526" s="35"/>
      <c r="G526" s="35"/>
      <c r="H526" s="35"/>
      <c r="I526" s="35"/>
      <c r="J526" s="35"/>
      <c r="K526" s="35"/>
      <c r="L526" s="35"/>
      <c r="M526" s="35"/>
      <c r="N526" s="35"/>
      <c r="O526" s="35"/>
      <c r="P526" s="35"/>
      <c r="Q526" s="35"/>
      <c r="R526" s="35"/>
      <c r="S526" s="35"/>
      <c r="T526" s="35"/>
      <c r="U526" s="35"/>
      <c r="V526" s="35"/>
      <c r="W526" s="35"/>
      <c r="X526" s="35"/>
      <c r="Y526" s="35"/>
      <c r="Z526" s="35"/>
      <c r="AA526" s="35"/>
    </row>
    <row r="527">
      <c r="A527" s="35"/>
      <c r="B527" s="35"/>
      <c r="C527" s="35"/>
      <c r="D527" s="35"/>
      <c r="E527" s="107"/>
      <c r="F527" s="35"/>
      <c r="G527" s="35"/>
      <c r="H527" s="35"/>
      <c r="I527" s="35"/>
      <c r="J527" s="35"/>
      <c r="K527" s="35"/>
      <c r="L527" s="35"/>
      <c r="M527" s="35"/>
      <c r="N527" s="35"/>
      <c r="O527" s="35"/>
      <c r="P527" s="35"/>
      <c r="Q527" s="35"/>
      <c r="R527" s="35"/>
      <c r="S527" s="35"/>
      <c r="T527" s="35"/>
      <c r="U527" s="35"/>
      <c r="V527" s="35"/>
      <c r="W527" s="35"/>
      <c r="X527" s="35"/>
      <c r="Y527" s="35"/>
      <c r="Z527" s="35"/>
      <c r="AA527" s="35"/>
    </row>
    <row r="528">
      <c r="A528" s="35"/>
      <c r="B528" s="35"/>
      <c r="C528" s="35"/>
      <c r="D528" s="35"/>
      <c r="E528" s="107"/>
      <c r="F528" s="35"/>
      <c r="G528" s="35"/>
      <c r="H528" s="35"/>
      <c r="I528" s="35"/>
      <c r="J528" s="35"/>
      <c r="K528" s="35"/>
      <c r="L528" s="35"/>
      <c r="M528" s="35"/>
      <c r="N528" s="35"/>
      <c r="O528" s="35"/>
      <c r="P528" s="35"/>
      <c r="Q528" s="35"/>
      <c r="R528" s="35"/>
      <c r="S528" s="35"/>
      <c r="T528" s="35"/>
      <c r="U528" s="35"/>
      <c r="V528" s="35"/>
      <c r="W528" s="35"/>
      <c r="X528" s="35"/>
      <c r="Y528" s="35"/>
      <c r="Z528" s="35"/>
      <c r="AA528" s="35"/>
    </row>
    <row r="529">
      <c r="A529" s="35"/>
      <c r="B529" s="35"/>
      <c r="C529" s="35"/>
      <c r="D529" s="35"/>
      <c r="E529" s="107"/>
      <c r="F529" s="35"/>
      <c r="G529" s="35"/>
      <c r="H529" s="35"/>
      <c r="I529" s="35"/>
      <c r="J529" s="35"/>
      <c r="K529" s="35"/>
      <c r="L529" s="35"/>
      <c r="M529" s="35"/>
      <c r="N529" s="35"/>
      <c r="O529" s="35"/>
      <c r="P529" s="35"/>
      <c r="Q529" s="35"/>
      <c r="R529" s="35"/>
      <c r="S529" s="35"/>
      <c r="T529" s="35"/>
      <c r="U529" s="35"/>
      <c r="V529" s="35"/>
      <c r="W529" s="35"/>
      <c r="X529" s="35"/>
      <c r="Y529" s="35"/>
      <c r="Z529" s="35"/>
      <c r="AA529" s="35"/>
    </row>
    <row r="530">
      <c r="A530" s="35"/>
      <c r="B530" s="35"/>
      <c r="C530" s="35"/>
      <c r="D530" s="35"/>
      <c r="E530" s="107"/>
      <c r="F530" s="35"/>
      <c r="G530" s="35"/>
      <c r="H530" s="35"/>
      <c r="I530" s="35"/>
      <c r="J530" s="35"/>
      <c r="K530" s="35"/>
      <c r="L530" s="35"/>
      <c r="M530" s="35"/>
      <c r="N530" s="35"/>
      <c r="O530" s="35"/>
      <c r="P530" s="35"/>
      <c r="Q530" s="35"/>
      <c r="R530" s="35"/>
      <c r="S530" s="35"/>
      <c r="T530" s="35"/>
      <c r="U530" s="35"/>
      <c r="V530" s="35"/>
      <c r="W530" s="35"/>
      <c r="X530" s="35"/>
      <c r="Y530" s="35"/>
      <c r="Z530" s="35"/>
      <c r="AA530" s="35"/>
    </row>
    <row r="531">
      <c r="A531" s="35"/>
      <c r="B531" s="35"/>
      <c r="C531" s="35"/>
      <c r="D531" s="35"/>
      <c r="E531" s="107"/>
      <c r="F531" s="35"/>
      <c r="G531" s="35"/>
      <c r="H531" s="35"/>
      <c r="I531" s="35"/>
      <c r="J531" s="35"/>
      <c r="K531" s="35"/>
      <c r="L531" s="35"/>
      <c r="M531" s="35"/>
      <c r="N531" s="35"/>
      <c r="O531" s="35"/>
      <c r="P531" s="35"/>
      <c r="Q531" s="35"/>
      <c r="R531" s="35"/>
      <c r="S531" s="35"/>
      <c r="T531" s="35"/>
      <c r="U531" s="35"/>
      <c r="V531" s="35"/>
      <c r="W531" s="35"/>
      <c r="X531" s="35"/>
      <c r="Y531" s="35"/>
      <c r="Z531" s="35"/>
      <c r="AA531" s="35"/>
    </row>
    <row r="532">
      <c r="A532" s="35"/>
      <c r="B532" s="35"/>
      <c r="C532" s="35"/>
      <c r="D532" s="35"/>
      <c r="E532" s="107"/>
      <c r="F532" s="35"/>
      <c r="G532" s="35"/>
      <c r="H532" s="35"/>
      <c r="I532" s="35"/>
      <c r="J532" s="35"/>
      <c r="K532" s="35"/>
      <c r="L532" s="35"/>
      <c r="M532" s="35"/>
      <c r="N532" s="35"/>
      <c r="O532" s="35"/>
      <c r="P532" s="35"/>
      <c r="Q532" s="35"/>
      <c r="R532" s="35"/>
      <c r="S532" s="35"/>
      <c r="T532" s="35"/>
      <c r="U532" s="35"/>
      <c r="V532" s="35"/>
      <c r="W532" s="35"/>
      <c r="X532" s="35"/>
      <c r="Y532" s="35"/>
      <c r="Z532" s="35"/>
      <c r="AA532" s="35"/>
    </row>
    <row r="533">
      <c r="A533" s="35"/>
      <c r="B533" s="35"/>
      <c r="C533" s="35"/>
      <c r="D533" s="35"/>
      <c r="E533" s="107"/>
      <c r="F533" s="35"/>
      <c r="G533" s="35"/>
      <c r="H533" s="35"/>
      <c r="I533" s="35"/>
      <c r="J533" s="35"/>
      <c r="K533" s="35"/>
      <c r="L533" s="35"/>
      <c r="M533" s="35"/>
      <c r="N533" s="35"/>
      <c r="O533" s="35"/>
      <c r="P533" s="35"/>
      <c r="Q533" s="35"/>
      <c r="R533" s="35"/>
      <c r="S533" s="35"/>
      <c r="T533" s="35"/>
      <c r="U533" s="35"/>
      <c r="V533" s="35"/>
      <c r="W533" s="35"/>
      <c r="X533" s="35"/>
      <c r="Y533" s="35"/>
      <c r="Z533" s="35"/>
      <c r="AA533" s="35"/>
    </row>
    <row r="534">
      <c r="A534" s="35"/>
      <c r="B534" s="35"/>
      <c r="C534" s="35"/>
      <c r="D534" s="35"/>
      <c r="E534" s="107"/>
      <c r="F534" s="35"/>
      <c r="G534" s="35"/>
      <c r="H534" s="35"/>
      <c r="I534" s="35"/>
      <c r="J534" s="35"/>
      <c r="K534" s="35"/>
      <c r="L534" s="35"/>
      <c r="M534" s="35"/>
      <c r="N534" s="35"/>
      <c r="O534" s="35"/>
      <c r="P534" s="35"/>
      <c r="Q534" s="35"/>
      <c r="R534" s="35"/>
      <c r="S534" s="35"/>
      <c r="T534" s="35"/>
      <c r="U534" s="35"/>
      <c r="V534" s="35"/>
      <c r="W534" s="35"/>
      <c r="X534" s="35"/>
      <c r="Y534" s="35"/>
      <c r="Z534" s="35"/>
      <c r="AA534" s="35"/>
    </row>
    <row r="535">
      <c r="A535" s="35"/>
      <c r="B535" s="35"/>
      <c r="C535" s="35"/>
      <c r="D535" s="35"/>
      <c r="E535" s="107"/>
      <c r="F535" s="35"/>
      <c r="G535" s="35"/>
      <c r="H535" s="35"/>
      <c r="I535" s="35"/>
      <c r="J535" s="35"/>
      <c r="K535" s="35"/>
      <c r="L535" s="35"/>
      <c r="M535" s="35"/>
      <c r="N535" s="35"/>
      <c r="O535" s="35"/>
      <c r="P535" s="35"/>
      <c r="Q535" s="35"/>
      <c r="R535" s="35"/>
      <c r="S535" s="35"/>
      <c r="T535" s="35"/>
      <c r="U535" s="35"/>
      <c r="V535" s="35"/>
      <c r="W535" s="35"/>
      <c r="X535" s="35"/>
      <c r="Y535" s="35"/>
      <c r="Z535" s="35"/>
      <c r="AA535" s="35"/>
    </row>
    <row r="536">
      <c r="A536" s="35"/>
      <c r="B536" s="35"/>
      <c r="C536" s="35"/>
      <c r="D536" s="35"/>
      <c r="E536" s="107"/>
      <c r="F536" s="35"/>
      <c r="G536" s="35"/>
      <c r="H536" s="35"/>
      <c r="I536" s="35"/>
      <c r="J536" s="35"/>
      <c r="K536" s="35"/>
      <c r="L536" s="35"/>
      <c r="M536" s="35"/>
      <c r="N536" s="35"/>
      <c r="O536" s="35"/>
      <c r="P536" s="35"/>
      <c r="Q536" s="35"/>
      <c r="R536" s="35"/>
      <c r="S536" s="35"/>
      <c r="T536" s="35"/>
      <c r="U536" s="35"/>
      <c r="V536" s="35"/>
      <c r="W536" s="35"/>
      <c r="X536" s="35"/>
      <c r="Y536" s="35"/>
      <c r="Z536" s="35"/>
      <c r="AA536" s="35"/>
    </row>
    <row r="537">
      <c r="A537" s="35"/>
      <c r="B537" s="35"/>
      <c r="C537" s="35"/>
      <c r="D537" s="35"/>
      <c r="E537" s="107"/>
      <c r="F537" s="35"/>
      <c r="G537" s="35"/>
      <c r="H537" s="35"/>
      <c r="I537" s="35"/>
      <c r="J537" s="35"/>
      <c r="K537" s="35"/>
      <c r="L537" s="35"/>
      <c r="M537" s="35"/>
      <c r="N537" s="35"/>
      <c r="O537" s="35"/>
      <c r="P537" s="35"/>
      <c r="Q537" s="35"/>
      <c r="R537" s="35"/>
      <c r="S537" s="35"/>
      <c r="T537" s="35"/>
      <c r="U537" s="35"/>
      <c r="V537" s="35"/>
      <c r="W537" s="35"/>
      <c r="X537" s="35"/>
      <c r="Y537" s="35"/>
      <c r="Z537" s="35"/>
      <c r="AA537" s="35"/>
    </row>
    <row r="538">
      <c r="A538" s="35"/>
      <c r="B538" s="35"/>
      <c r="C538" s="35"/>
      <c r="D538" s="35"/>
      <c r="E538" s="107"/>
      <c r="F538" s="35"/>
      <c r="G538" s="35"/>
      <c r="H538" s="35"/>
      <c r="I538" s="35"/>
      <c r="J538" s="35"/>
      <c r="K538" s="35"/>
      <c r="L538" s="35"/>
      <c r="M538" s="35"/>
      <c r="N538" s="35"/>
      <c r="O538" s="35"/>
      <c r="P538" s="35"/>
      <c r="Q538" s="35"/>
      <c r="R538" s="35"/>
      <c r="S538" s="35"/>
      <c r="T538" s="35"/>
      <c r="U538" s="35"/>
      <c r="V538" s="35"/>
      <c r="W538" s="35"/>
      <c r="X538" s="35"/>
      <c r="Y538" s="35"/>
      <c r="Z538" s="35"/>
      <c r="AA538" s="35"/>
    </row>
    <row r="539">
      <c r="A539" s="35"/>
      <c r="B539" s="35"/>
      <c r="C539" s="35"/>
      <c r="D539" s="35"/>
      <c r="E539" s="107"/>
      <c r="F539" s="35"/>
      <c r="G539" s="35"/>
      <c r="H539" s="35"/>
      <c r="I539" s="35"/>
      <c r="J539" s="35"/>
      <c r="K539" s="35"/>
      <c r="L539" s="35"/>
      <c r="M539" s="35"/>
      <c r="N539" s="35"/>
      <c r="O539" s="35"/>
      <c r="P539" s="35"/>
      <c r="Q539" s="35"/>
      <c r="R539" s="35"/>
      <c r="S539" s="35"/>
      <c r="T539" s="35"/>
      <c r="U539" s="35"/>
      <c r="V539" s="35"/>
      <c r="W539" s="35"/>
      <c r="X539" s="35"/>
      <c r="Y539" s="35"/>
      <c r="Z539" s="35"/>
      <c r="AA539" s="35"/>
    </row>
    <row r="540">
      <c r="A540" s="35"/>
      <c r="B540" s="35"/>
      <c r="C540" s="35"/>
      <c r="D540" s="35"/>
      <c r="E540" s="107"/>
      <c r="F540" s="35"/>
      <c r="G540" s="35"/>
      <c r="H540" s="35"/>
      <c r="I540" s="35"/>
      <c r="J540" s="35"/>
      <c r="K540" s="35"/>
      <c r="L540" s="35"/>
      <c r="M540" s="35"/>
      <c r="N540" s="35"/>
      <c r="O540" s="35"/>
      <c r="P540" s="35"/>
      <c r="Q540" s="35"/>
      <c r="R540" s="35"/>
      <c r="S540" s="35"/>
      <c r="T540" s="35"/>
      <c r="U540" s="35"/>
      <c r="V540" s="35"/>
      <c r="W540" s="35"/>
      <c r="X540" s="35"/>
      <c r="Y540" s="35"/>
      <c r="Z540" s="35"/>
      <c r="AA540" s="35"/>
    </row>
    <row r="541">
      <c r="A541" s="35"/>
      <c r="B541" s="35"/>
      <c r="C541" s="35"/>
      <c r="D541" s="35"/>
      <c r="E541" s="107"/>
      <c r="F541" s="35"/>
      <c r="G541" s="35"/>
      <c r="H541" s="35"/>
      <c r="I541" s="35"/>
      <c r="J541" s="35"/>
      <c r="K541" s="35"/>
      <c r="L541" s="35"/>
      <c r="M541" s="35"/>
      <c r="N541" s="35"/>
      <c r="O541" s="35"/>
      <c r="P541" s="35"/>
      <c r="Q541" s="35"/>
      <c r="R541" s="35"/>
      <c r="S541" s="35"/>
      <c r="T541" s="35"/>
      <c r="U541" s="35"/>
      <c r="V541" s="35"/>
      <c r="W541" s="35"/>
      <c r="X541" s="35"/>
      <c r="Y541" s="35"/>
      <c r="Z541" s="35"/>
      <c r="AA541" s="35"/>
    </row>
    <row r="542">
      <c r="A542" s="35"/>
      <c r="B542" s="35"/>
      <c r="C542" s="35"/>
      <c r="D542" s="35"/>
      <c r="E542" s="107"/>
      <c r="F542" s="35"/>
      <c r="G542" s="35"/>
      <c r="H542" s="35"/>
      <c r="I542" s="35"/>
      <c r="J542" s="35"/>
      <c r="K542" s="35"/>
      <c r="L542" s="35"/>
      <c r="M542" s="35"/>
      <c r="N542" s="35"/>
      <c r="O542" s="35"/>
      <c r="P542" s="35"/>
      <c r="Q542" s="35"/>
      <c r="R542" s="35"/>
      <c r="S542" s="35"/>
      <c r="T542" s="35"/>
      <c r="U542" s="35"/>
      <c r="V542" s="35"/>
      <c r="W542" s="35"/>
      <c r="X542" s="35"/>
      <c r="Y542" s="35"/>
      <c r="Z542" s="35"/>
      <c r="AA542" s="35"/>
    </row>
    <row r="543">
      <c r="A543" s="35"/>
      <c r="B543" s="35"/>
      <c r="C543" s="35"/>
      <c r="D543" s="35"/>
      <c r="E543" s="107"/>
      <c r="F543" s="35"/>
      <c r="G543" s="35"/>
      <c r="H543" s="35"/>
      <c r="I543" s="35"/>
      <c r="J543" s="35"/>
      <c r="K543" s="35"/>
      <c r="L543" s="35"/>
      <c r="M543" s="35"/>
      <c r="N543" s="35"/>
      <c r="O543" s="35"/>
      <c r="P543" s="35"/>
      <c r="Q543" s="35"/>
      <c r="R543" s="35"/>
      <c r="S543" s="35"/>
      <c r="T543" s="35"/>
      <c r="U543" s="35"/>
      <c r="V543" s="35"/>
      <c r="W543" s="35"/>
      <c r="X543" s="35"/>
      <c r="Y543" s="35"/>
      <c r="Z543" s="35"/>
      <c r="AA543" s="35"/>
    </row>
    <row r="544">
      <c r="A544" s="35"/>
      <c r="B544" s="35"/>
      <c r="C544" s="35"/>
      <c r="D544" s="35"/>
      <c r="E544" s="107"/>
      <c r="F544" s="35"/>
      <c r="G544" s="35"/>
      <c r="H544" s="35"/>
      <c r="I544" s="35"/>
      <c r="J544" s="35"/>
      <c r="K544" s="35"/>
      <c r="L544" s="35"/>
      <c r="M544" s="35"/>
      <c r="N544" s="35"/>
      <c r="O544" s="35"/>
      <c r="P544" s="35"/>
      <c r="Q544" s="35"/>
      <c r="R544" s="35"/>
      <c r="S544" s="35"/>
      <c r="T544" s="35"/>
      <c r="U544" s="35"/>
      <c r="V544" s="35"/>
      <c r="W544" s="35"/>
      <c r="X544" s="35"/>
      <c r="Y544" s="35"/>
      <c r="Z544" s="35"/>
      <c r="AA544" s="35"/>
    </row>
    <row r="545">
      <c r="A545" s="35"/>
      <c r="B545" s="35"/>
      <c r="C545" s="35"/>
      <c r="D545" s="35"/>
      <c r="E545" s="107"/>
      <c r="F545" s="35"/>
      <c r="G545" s="35"/>
      <c r="H545" s="35"/>
      <c r="I545" s="35"/>
      <c r="J545" s="35"/>
      <c r="K545" s="35"/>
      <c r="L545" s="35"/>
      <c r="M545" s="35"/>
      <c r="N545" s="35"/>
      <c r="O545" s="35"/>
      <c r="P545" s="35"/>
      <c r="Q545" s="35"/>
      <c r="R545" s="35"/>
      <c r="S545" s="35"/>
      <c r="T545" s="35"/>
      <c r="U545" s="35"/>
      <c r="V545" s="35"/>
      <c r="W545" s="35"/>
      <c r="X545" s="35"/>
      <c r="Y545" s="35"/>
      <c r="Z545" s="35"/>
      <c r="AA545" s="35"/>
    </row>
    <row r="546">
      <c r="A546" s="35"/>
      <c r="B546" s="35"/>
      <c r="C546" s="35"/>
      <c r="D546" s="35"/>
      <c r="E546" s="107"/>
      <c r="F546" s="35"/>
      <c r="G546" s="35"/>
      <c r="H546" s="35"/>
      <c r="I546" s="35"/>
      <c r="J546" s="35"/>
      <c r="K546" s="35"/>
      <c r="L546" s="35"/>
      <c r="M546" s="35"/>
      <c r="N546" s="35"/>
      <c r="O546" s="35"/>
      <c r="P546" s="35"/>
      <c r="Q546" s="35"/>
      <c r="R546" s="35"/>
      <c r="S546" s="35"/>
      <c r="T546" s="35"/>
      <c r="U546" s="35"/>
      <c r="V546" s="35"/>
      <c r="W546" s="35"/>
      <c r="X546" s="35"/>
      <c r="Y546" s="35"/>
      <c r="Z546" s="35"/>
      <c r="AA546" s="35"/>
    </row>
    <row r="547">
      <c r="A547" s="35"/>
      <c r="B547" s="35"/>
      <c r="C547" s="35"/>
      <c r="D547" s="35"/>
      <c r="E547" s="107"/>
      <c r="F547" s="35"/>
      <c r="G547" s="35"/>
      <c r="H547" s="35"/>
      <c r="I547" s="35"/>
      <c r="J547" s="35"/>
      <c r="K547" s="35"/>
      <c r="L547" s="35"/>
      <c r="M547" s="35"/>
      <c r="N547" s="35"/>
      <c r="O547" s="35"/>
      <c r="P547" s="35"/>
      <c r="Q547" s="35"/>
      <c r="R547" s="35"/>
      <c r="S547" s="35"/>
      <c r="T547" s="35"/>
      <c r="U547" s="35"/>
      <c r="V547" s="35"/>
      <c r="W547" s="35"/>
      <c r="X547" s="35"/>
      <c r="Y547" s="35"/>
      <c r="Z547" s="35"/>
      <c r="AA547" s="35"/>
    </row>
    <row r="548">
      <c r="A548" s="35"/>
      <c r="B548" s="35"/>
      <c r="C548" s="35"/>
      <c r="D548" s="35"/>
      <c r="E548" s="107"/>
      <c r="F548" s="35"/>
      <c r="G548" s="35"/>
      <c r="H548" s="35"/>
      <c r="I548" s="35"/>
      <c r="J548" s="35"/>
      <c r="K548" s="35"/>
      <c r="L548" s="35"/>
      <c r="M548" s="35"/>
      <c r="N548" s="35"/>
      <c r="O548" s="35"/>
      <c r="P548" s="35"/>
      <c r="Q548" s="35"/>
      <c r="R548" s="35"/>
      <c r="S548" s="35"/>
      <c r="T548" s="35"/>
      <c r="U548" s="35"/>
      <c r="V548" s="35"/>
      <c r="W548" s="35"/>
      <c r="X548" s="35"/>
      <c r="Y548" s="35"/>
      <c r="Z548" s="35"/>
      <c r="AA548" s="35"/>
    </row>
    <row r="549">
      <c r="A549" s="35"/>
      <c r="B549" s="35"/>
      <c r="C549" s="35"/>
      <c r="D549" s="35"/>
      <c r="E549" s="107"/>
      <c r="F549" s="35"/>
      <c r="G549" s="35"/>
      <c r="H549" s="35"/>
      <c r="I549" s="35"/>
      <c r="J549" s="35"/>
      <c r="K549" s="35"/>
      <c r="L549" s="35"/>
      <c r="M549" s="35"/>
      <c r="N549" s="35"/>
      <c r="O549" s="35"/>
      <c r="P549" s="35"/>
      <c r="Q549" s="35"/>
      <c r="R549" s="35"/>
      <c r="S549" s="35"/>
      <c r="T549" s="35"/>
      <c r="U549" s="35"/>
      <c r="V549" s="35"/>
      <c r="W549" s="35"/>
      <c r="X549" s="35"/>
      <c r="Y549" s="35"/>
      <c r="Z549" s="35"/>
      <c r="AA549" s="35"/>
    </row>
    <row r="550">
      <c r="A550" s="35"/>
      <c r="B550" s="35"/>
      <c r="C550" s="35"/>
      <c r="D550" s="35"/>
      <c r="E550" s="107"/>
      <c r="F550" s="35"/>
      <c r="G550" s="35"/>
      <c r="H550" s="35"/>
      <c r="I550" s="35"/>
      <c r="J550" s="35"/>
      <c r="K550" s="35"/>
      <c r="L550" s="35"/>
      <c r="M550" s="35"/>
      <c r="N550" s="35"/>
      <c r="O550" s="35"/>
      <c r="P550" s="35"/>
      <c r="Q550" s="35"/>
      <c r="R550" s="35"/>
      <c r="S550" s="35"/>
      <c r="T550" s="35"/>
      <c r="U550" s="35"/>
      <c r="V550" s="35"/>
      <c r="W550" s="35"/>
      <c r="X550" s="35"/>
      <c r="Y550" s="35"/>
      <c r="Z550" s="35"/>
      <c r="AA550" s="35"/>
    </row>
    <row r="551">
      <c r="A551" s="35"/>
      <c r="B551" s="35"/>
      <c r="C551" s="35"/>
      <c r="D551" s="35"/>
      <c r="E551" s="107"/>
      <c r="F551" s="35"/>
      <c r="G551" s="35"/>
      <c r="H551" s="35"/>
      <c r="I551" s="35"/>
      <c r="J551" s="35"/>
      <c r="K551" s="35"/>
      <c r="L551" s="35"/>
      <c r="M551" s="35"/>
      <c r="N551" s="35"/>
      <c r="O551" s="35"/>
      <c r="P551" s="35"/>
      <c r="Q551" s="35"/>
      <c r="R551" s="35"/>
      <c r="S551" s="35"/>
      <c r="T551" s="35"/>
      <c r="U551" s="35"/>
      <c r="V551" s="35"/>
      <c r="W551" s="35"/>
      <c r="X551" s="35"/>
      <c r="Y551" s="35"/>
      <c r="Z551" s="35"/>
      <c r="AA551" s="35"/>
    </row>
    <row r="552">
      <c r="A552" s="35"/>
      <c r="B552" s="35"/>
      <c r="C552" s="35"/>
      <c r="D552" s="35"/>
      <c r="E552" s="107"/>
      <c r="F552" s="35"/>
      <c r="G552" s="35"/>
      <c r="H552" s="35"/>
      <c r="I552" s="35"/>
      <c r="J552" s="35"/>
      <c r="K552" s="35"/>
      <c r="L552" s="35"/>
      <c r="M552" s="35"/>
      <c r="N552" s="35"/>
      <c r="O552" s="35"/>
      <c r="P552" s="35"/>
      <c r="Q552" s="35"/>
      <c r="R552" s="35"/>
      <c r="S552" s="35"/>
      <c r="T552" s="35"/>
      <c r="U552" s="35"/>
      <c r="V552" s="35"/>
      <c r="W552" s="35"/>
      <c r="X552" s="35"/>
      <c r="Y552" s="35"/>
      <c r="Z552" s="35"/>
      <c r="AA552" s="35"/>
    </row>
    <row r="553">
      <c r="A553" s="35"/>
      <c r="B553" s="35"/>
      <c r="C553" s="35"/>
      <c r="D553" s="35"/>
      <c r="E553" s="107"/>
      <c r="F553" s="35"/>
      <c r="G553" s="35"/>
      <c r="H553" s="35"/>
      <c r="I553" s="35"/>
      <c r="J553" s="35"/>
      <c r="K553" s="35"/>
      <c r="L553" s="35"/>
      <c r="M553" s="35"/>
      <c r="N553" s="35"/>
      <c r="O553" s="35"/>
      <c r="P553" s="35"/>
      <c r="Q553" s="35"/>
      <c r="R553" s="35"/>
      <c r="S553" s="35"/>
      <c r="T553" s="35"/>
      <c r="U553" s="35"/>
      <c r="V553" s="35"/>
      <c r="W553" s="35"/>
      <c r="X553" s="35"/>
      <c r="Y553" s="35"/>
      <c r="Z553" s="35"/>
      <c r="AA553" s="35"/>
    </row>
    <row r="554">
      <c r="A554" s="35"/>
      <c r="B554" s="35"/>
      <c r="C554" s="35"/>
      <c r="D554" s="35"/>
      <c r="E554" s="107"/>
      <c r="F554" s="35"/>
      <c r="G554" s="35"/>
      <c r="H554" s="35"/>
      <c r="I554" s="35"/>
      <c r="J554" s="35"/>
      <c r="K554" s="35"/>
      <c r="L554" s="35"/>
      <c r="M554" s="35"/>
      <c r="N554" s="35"/>
      <c r="O554" s="35"/>
      <c r="P554" s="35"/>
      <c r="Q554" s="35"/>
      <c r="R554" s="35"/>
      <c r="S554" s="35"/>
      <c r="T554" s="35"/>
      <c r="U554" s="35"/>
      <c r="V554" s="35"/>
      <c r="W554" s="35"/>
      <c r="X554" s="35"/>
      <c r="Y554" s="35"/>
      <c r="Z554" s="35"/>
      <c r="AA554" s="35"/>
    </row>
    <row r="555">
      <c r="A555" s="35"/>
      <c r="B555" s="35"/>
      <c r="C555" s="35"/>
      <c r="D555" s="35"/>
      <c r="E555" s="107"/>
      <c r="F555" s="35"/>
      <c r="G555" s="35"/>
      <c r="H555" s="35"/>
      <c r="I555" s="35"/>
      <c r="J555" s="35"/>
      <c r="K555" s="35"/>
      <c r="L555" s="35"/>
      <c r="M555" s="35"/>
      <c r="N555" s="35"/>
      <c r="O555" s="35"/>
      <c r="P555" s="35"/>
      <c r="Q555" s="35"/>
      <c r="R555" s="35"/>
      <c r="S555" s="35"/>
      <c r="T555" s="35"/>
      <c r="U555" s="35"/>
      <c r="V555" s="35"/>
      <c r="W555" s="35"/>
      <c r="X555" s="35"/>
      <c r="Y555" s="35"/>
      <c r="Z555" s="35"/>
      <c r="AA555" s="35"/>
    </row>
    <row r="556">
      <c r="A556" s="35"/>
      <c r="B556" s="35"/>
      <c r="C556" s="35"/>
      <c r="D556" s="35"/>
      <c r="E556" s="107"/>
      <c r="F556" s="35"/>
      <c r="G556" s="35"/>
      <c r="H556" s="35"/>
      <c r="I556" s="35"/>
      <c r="J556" s="35"/>
      <c r="K556" s="35"/>
      <c r="L556" s="35"/>
      <c r="M556" s="35"/>
      <c r="N556" s="35"/>
      <c r="O556" s="35"/>
      <c r="P556" s="35"/>
      <c r="Q556" s="35"/>
      <c r="R556" s="35"/>
      <c r="S556" s="35"/>
      <c r="T556" s="35"/>
      <c r="U556" s="35"/>
      <c r="V556" s="35"/>
      <c r="W556" s="35"/>
      <c r="X556" s="35"/>
      <c r="Y556" s="35"/>
      <c r="Z556" s="35"/>
      <c r="AA556" s="35"/>
    </row>
    <row r="557">
      <c r="A557" s="35"/>
      <c r="B557" s="35"/>
      <c r="C557" s="35"/>
      <c r="D557" s="35"/>
      <c r="E557" s="107"/>
      <c r="F557" s="35"/>
      <c r="G557" s="35"/>
      <c r="H557" s="35"/>
      <c r="I557" s="35"/>
      <c r="J557" s="35"/>
      <c r="K557" s="35"/>
      <c r="L557" s="35"/>
      <c r="M557" s="35"/>
      <c r="N557" s="35"/>
      <c r="O557" s="35"/>
      <c r="P557" s="35"/>
      <c r="Q557" s="35"/>
      <c r="R557" s="35"/>
      <c r="S557" s="35"/>
      <c r="T557" s="35"/>
      <c r="U557" s="35"/>
      <c r="V557" s="35"/>
      <c r="W557" s="35"/>
      <c r="X557" s="35"/>
      <c r="Y557" s="35"/>
      <c r="Z557" s="35"/>
      <c r="AA557" s="35"/>
    </row>
    <row r="558">
      <c r="A558" s="35"/>
      <c r="B558" s="35"/>
      <c r="C558" s="35"/>
      <c r="D558" s="35"/>
      <c r="E558" s="107"/>
      <c r="F558" s="35"/>
      <c r="G558" s="35"/>
      <c r="H558" s="35"/>
      <c r="I558" s="35"/>
      <c r="J558" s="35"/>
      <c r="K558" s="35"/>
      <c r="L558" s="35"/>
      <c r="M558" s="35"/>
      <c r="N558" s="35"/>
      <c r="O558" s="35"/>
      <c r="P558" s="35"/>
      <c r="Q558" s="35"/>
      <c r="R558" s="35"/>
      <c r="S558" s="35"/>
      <c r="T558" s="35"/>
      <c r="U558" s="35"/>
      <c r="V558" s="35"/>
      <c r="W558" s="35"/>
      <c r="X558" s="35"/>
      <c r="Y558" s="35"/>
      <c r="Z558" s="35"/>
      <c r="AA558" s="35"/>
    </row>
    <row r="559">
      <c r="A559" s="35"/>
      <c r="B559" s="35"/>
      <c r="C559" s="35"/>
      <c r="D559" s="35"/>
      <c r="E559" s="107"/>
      <c r="F559" s="35"/>
      <c r="G559" s="35"/>
      <c r="H559" s="35"/>
      <c r="I559" s="35"/>
      <c r="J559" s="35"/>
      <c r="K559" s="35"/>
      <c r="L559" s="35"/>
      <c r="M559" s="35"/>
      <c r="N559" s="35"/>
      <c r="O559" s="35"/>
      <c r="P559" s="35"/>
      <c r="Q559" s="35"/>
      <c r="R559" s="35"/>
      <c r="S559" s="35"/>
      <c r="T559" s="35"/>
      <c r="U559" s="35"/>
      <c r="V559" s="35"/>
      <c r="W559" s="35"/>
      <c r="X559" s="35"/>
      <c r="Y559" s="35"/>
      <c r="Z559" s="35"/>
      <c r="AA559" s="35"/>
    </row>
    <row r="560">
      <c r="A560" s="35"/>
      <c r="B560" s="35"/>
      <c r="C560" s="35"/>
      <c r="D560" s="35"/>
      <c r="E560" s="107"/>
      <c r="F560" s="35"/>
      <c r="G560" s="35"/>
      <c r="H560" s="35"/>
      <c r="I560" s="35"/>
      <c r="J560" s="35"/>
      <c r="K560" s="35"/>
      <c r="L560" s="35"/>
      <c r="M560" s="35"/>
      <c r="N560" s="35"/>
      <c r="O560" s="35"/>
      <c r="P560" s="35"/>
      <c r="Q560" s="35"/>
      <c r="R560" s="35"/>
      <c r="S560" s="35"/>
      <c r="T560" s="35"/>
      <c r="U560" s="35"/>
      <c r="V560" s="35"/>
      <c r="W560" s="35"/>
      <c r="X560" s="35"/>
      <c r="Y560" s="35"/>
      <c r="Z560" s="35"/>
      <c r="AA560" s="35"/>
    </row>
    <row r="561">
      <c r="A561" s="35"/>
      <c r="B561" s="35"/>
      <c r="C561" s="35"/>
      <c r="D561" s="35"/>
      <c r="E561" s="107"/>
      <c r="F561" s="35"/>
      <c r="G561" s="35"/>
      <c r="H561" s="35"/>
      <c r="I561" s="35"/>
      <c r="J561" s="35"/>
      <c r="K561" s="35"/>
      <c r="L561" s="35"/>
      <c r="M561" s="35"/>
      <c r="N561" s="35"/>
      <c r="O561" s="35"/>
      <c r="P561" s="35"/>
      <c r="Q561" s="35"/>
      <c r="R561" s="35"/>
      <c r="S561" s="35"/>
      <c r="T561" s="35"/>
      <c r="U561" s="35"/>
      <c r="V561" s="35"/>
      <c r="W561" s="35"/>
      <c r="X561" s="35"/>
      <c r="Y561" s="35"/>
      <c r="Z561" s="35"/>
      <c r="AA561" s="35"/>
    </row>
    <row r="562">
      <c r="A562" s="35"/>
      <c r="B562" s="35"/>
      <c r="C562" s="35"/>
      <c r="D562" s="35"/>
      <c r="E562" s="107"/>
      <c r="F562" s="35"/>
      <c r="G562" s="35"/>
      <c r="H562" s="35"/>
      <c r="I562" s="35"/>
      <c r="J562" s="35"/>
      <c r="K562" s="35"/>
      <c r="L562" s="35"/>
      <c r="M562" s="35"/>
      <c r="N562" s="35"/>
      <c r="O562" s="35"/>
      <c r="P562" s="35"/>
      <c r="Q562" s="35"/>
      <c r="R562" s="35"/>
      <c r="S562" s="35"/>
      <c r="T562" s="35"/>
      <c r="U562" s="35"/>
      <c r="V562" s="35"/>
      <c r="W562" s="35"/>
      <c r="X562" s="35"/>
      <c r="Y562" s="35"/>
      <c r="Z562" s="35"/>
      <c r="AA562" s="35"/>
    </row>
    <row r="563">
      <c r="A563" s="35"/>
      <c r="B563" s="35"/>
      <c r="C563" s="35"/>
      <c r="D563" s="35"/>
      <c r="E563" s="107"/>
      <c r="F563" s="35"/>
      <c r="G563" s="35"/>
      <c r="H563" s="35"/>
      <c r="I563" s="35"/>
      <c r="J563" s="35"/>
      <c r="K563" s="35"/>
      <c r="L563" s="35"/>
      <c r="M563" s="35"/>
      <c r="N563" s="35"/>
      <c r="O563" s="35"/>
      <c r="P563" s="35"/>
      <c r="Q563" s="35"/>
      <c r="R563" s="35"/>
      <c r="S563" s="35"/>
      <c r="T563" s="35"/>
      <c r="U563" s="35"/>
      <c r="V563" s="35"/>
      <c r="W563" s="35"/>
      <c r="X563" s="35"/>
      <c r="Y563" s="35"/>
      <c r="Z563" s="35"/>
      <c r="AA563" s="35"/>
    </row>
    <row r="564">
      <c r="A564" s="35"/>
      <c r="B564" s="35"/>
      <c r="C564" s="35"/>
      <c r="D564" s="35"/>
      <c r="E564" s="107"/>
      <c r="F564" s="35"/>
      <c r="G564" s="35"/>
      <c r="H564" s="35"/>
      <c r="I564" s="35"/>
      <c r="J564" s="35"/>
      <c r="K564" s="35"/>
      <c r="L564" s="35"/>
      <c r="M564" s="35"/>
      <c r="N564" s="35"/>
      <c r="O564" s="35"/>
      <c r="P564" s="35"/>
      <c r="Q564" s="35"/>
      <c r="R564" s="35"/>
      <c r="S564" s="35"/>
      <c r="T564" s="35"/>
      <c r="U564" s="35"/>
      <c r="V564" s="35"/>
      <c r="W564" s="35"/>
      <c r="X564" s="35"/>
      <c r="Y564" s="35"/>
      <c r="Z564" s="35"/>
      <c r="AA564" s="35"/>
    </row>
    <row r="565">
      <c r="A565" s="35"/>
      <c r="B565" s="35"/>
      <c r="C565" s="35"/>
      <c r="D565" s="35"/>
      <c r="E565" s="107"/>
      <c r="F565" s="35"/>
      <c r="G565" s="35"/>
      <c r="H565" s="35"/>
      <c r="I565" s="35"/>
      <c r="J565" s="35"/>
      <c r="K565" s="35"/>
      <c r="L565" s="35"/>
      <c r="M565" s="35"/>
      <c r="N565" s="35"/>
      <c r="O565" s="35"/>
      <c r="P565" s="35"/>
      <c r="Q565" s="35"/>
      <c r="R565" s="35"/>
      <c r="S565" s="35"/>
      <c r="T565" s="35"/>
      <c r="U565" s="35"/>
      <c r="V565" s="35"/>
      <c r="W565" s="35"/>
      <c r="X565" s="35"/>
      <c r="Y565" s="35"/>
      <c r="Z565" s="35"/>
      <c r="AA565" s="35"/>
    </row>
    <row r="566">
      <c r="A566" s="35"/>
      <c r="B566" s="35"/>
      <c r="C566" s="35"/>
      <c r="D566" s="35"/>
      <c r="E566" s="107"/>
      <c r="F566" s="35"/>
      <c r="G566" s="35"/>
      <c r="H566" s="35"/>
      <c r="I566" s="35"/>
      <c r="J566" s="35"/>
      <c r="K566" s="35"/>
      <c r="L566" s="35"/>
      <c r="M566" s="35"/>
      <c r="N566" s="35"/>
      <c r="O566" s="35"/>
      <c r="P566" s="35"/>
      <c r="Q566" s="35"/>
      <c r="R566" s="35"/>
      <c r="S566" s="35"/>
      <c r="T566" s="35"/>
      <c r="U566" s="35"/>
      <c r="V566" s="35"/>
      <c r="W566" s="35"/>
      <c r="X566" s="35"/>
      <c r="Y566" s="35"/>
      <c r="Z566" s="35"/>
      <c r="AA566" s="35"/>
    </row>
    <row r="567">
      <c r="A567" s="35"/>
      <c r="B567" s="35"/>
      <c r="C567" s="35"/>
      <c r="D567" s="35"/>
      <c r="E567" s="107"/>
      <c r="F567" s="35"/>
      <c r="G567" s="35"/>
      <c r="H567" s="35"/>
      <c r="I567" s="35"/>
      <c r="J567" s="35"/>
      <c r="K567" s="35"/>
      <c r="L567" s="35"/>
      <c r="M567" s="35"/>
      <c r="N567" s="35"/>
      <c r="O567" s="35"/>
      <c r="P567" s="35"/>
      <c r="Q567" s="35"/>
      <c r="R567" s="35"/>
      <c r="S567" s="35"/>
      <c r="T567" s="35"/>
      <c r="U567" s="35"/>
      <c r="V567" s="35"/>
      <c r="W567" s="35"/>
      <c r="X567" s="35"/>
      <c r="Y567" s="35"/>
      <c r="Z567" s="35"/>
      <c r="AA567" s="35"/>
    </row>
    <row r="568">
      <c r="A568" s="35"/>
      <c r="B568" s="35"/>
      <c r="C568" s="35"/>
      <c r="D568" s="35"/>
      <c r="E568" s="107"/>
      <c r="F568" s="35"/>
      <c r="G568" s="35"/>
      <c r="H568" s="35"/>
      <c r="I568" s="35"/>
      <c r="J568" s="35"/>
      <c r="K568" s="35"/>
      <c r="L568" s="35"/>
      <c r="M568" s="35"/>
      <c r="N568" s="35"/>
      <c r="O568" s="35"/>
      <c r="P568" s="35"/>
      <c r="Q568" s="35"/>
      <c r="R568" s="35"/>
      <c r="S568" s="35"/>
      <c r="T568" s="35"/>
      <c r="U568" s="35"/>
      <c r="V568" s="35"/>
      <c r="W568" s="35"/>
      <c r="X568" s="35"/>
      <c r="Y568" s="35"/>
      <c r="Z568" s="35"/>
      <c r="AA568" s="35"/>
    </row>
    <row r="569">
      <c r="A569" s="35"/>
      <c r="B569" s="35"/>
      <c r="C569" s="35"/>
      <c r="D569" s="35"/>
      <c r="E569" s="107"/>
      <c r="F569" s="35"/>
      <c r="G569" s="35"/>
      <c r="H569" s="35"/>
      <c r="I569" s="35"/>
      <c r="J569" s="35"/>
      <c r="K569" s="35"/>
      <c r="L569" s="35"/>
      <c r="M569" s="35"/>
      <c r="N569" s="35"/>
      <c r="O569" s="35"/>
      <c r="P569" s="35"/>
      <c r="Q569" s="35"/>
      <c r="R569" s="35"/>
      <c r="S569" s="35"/>
      <c r="T569" s="35"/>
      <c r="U569" s="35"/>
      <c r="V569" s="35"/>
      <c r="W569" s="35"/>
      <c r="X569" s="35"/>
      <c r="Y569" s="35"/>
      <c r="Z569" s="35"/>
      <c r="AA569" s="35"/>
    </row>
    <row r="570">
      <c r="A570" s="35"/>
      <c r="B570" s="35"/>
      <c r="C570" s="35"/>
      <c r="D570" s="35"/>
      <c r="E570" s="107"/>
      <c r="F570" s="35"/>
      <c r="G570" s="35"/>
      <c r="H570" s="35"/>
      <c r="I570" s="35"/>
      <c r="J570" s="35"/>
      <c r="K570" s="35"/>
      <c r="L570" s="35"/>
      <c r="M570" s="35"/>
      <c r="N570" s="35"/>
      <c r="O570" s="35"/>
      <c r="P570" s="35"/>
      <c r="Q570" s="35"/>
      <c r="R570" s="35"/>
      <c r="S570" s="35"/>
      <c r="T570" s="35"/>
      <c r="U570" s="35"/>
      <c r="V570" s="35"/>
      <c r="W570" s="35"/>
      <c r="X570" s="35"/>
      <c r="Y570" s="35"/>
      <c r="Z570" s="35"/>
      <c r="AA570" s="35"/>
    </row>
    <row r="571">
      <c r="A571" s="35"/>
      <c r="B571" s="35"/>
      <c r="C571" s="35"/>
      <c r="D571" s="35"/>
      <c r="E571" s="107"/>
      <c r="F571" s="35"/>
      <c r="G571" s="35"/>
      <c r="H571" s="35"/>
      <c r="I571" s="35"/>
      <c r="J571" s="35"/>
      <c r="K571" s="35"/>
      <c r="L571" s="35"/>
      <c r="M571" s="35"/>
      <c r="N571" s="35"/>
      <c r="O571" s="35"/>
      <c r="P571" s="35"/>
      <c r="Q571" s="35"/>
      <c r="R571" s="35"/>
      <c r="S571" s="35"/>
      <c r="T571" s="35"/>
      <c r="U571" s="35"/>
      <c r="V571" s="35"/>
      <c r="W571" s="35"/>
      <c r="X571" s="35"/>
      <c r="Y571" s="35"/>
      <c r="Z571" s="35"/>
      <c r="AA571" s="35"/>
    </row>
    <row r="572">
      <c r="A572" s="35"/>
      <c r="B572" s="35"/>
      <c r="C572" s="35"/>
      <c r="D572" s="35"/>
      <c r="E572" s="107"/>
      <c r="F572" s="35"/>
      <c r="G572" s="35"/>
      <c r="H572" s="35"/>
      <c r="I572" s="35"/>
      <c r="J572" s="35"/>
      <c r="K572" s="35"/>
      <c r="L572" s="35"/>
      <c r="M572" s="35"/>
      <c r="N572" s="35"/>
      <c r="O572" s="35"/>
      <c r="P572" s="35"/>
      <c r="Q572" s="35"/>
      <c r="R572" s="35"/>
      <c r="S572" s="35"/>
      <c r="T572" s="35"/>
      <c r="U572" s="35"/>
      <c r="V572" s="35"/>
      <c r="W572" s="35"/>
      <c r="X572" s="35"/>
      <c r="Y572" s="35"/>
      <c r="Z572" s="35"/>
      <c r="AA572" s="35"/>
    </row>
    <row r="573">
      <c r="A573" s="35"/>
      <c r="B573" s="35"/>
      <c r="C573" s="35"/>
      <c r="D573" s="35"/>
      <c r="E573" s="107"/>
      <c r="F573" s="35"/>
      <c r="G573" s="35"/>
      <c r="H573" s="35"/>
      <c r="I573" s="35"/>
      <c r="J573" s="35"/>
      <c r="K573" s="35"/>
      <c r="L573" s="35"/>
      <c r="M573" s="35"/>
      <c r="N573" s="35"/>
      <c r="O573" s="35"/>
      <c r="P573" s="35"/>
      <c r="Q573" s="35"/>
      <c r="R573" s="35"/>
      <c r="S573" s="35"/>
      <c r="T573" s="35"/>
      <c r="U573" s="35"/>
      <c r="V573" s="35"/>
      <c r="W573" s="35"/>
      <c r="X573" s="35"/>
      <c r="Y573" s="35"/>
      <c r="Z573" s="35"/>
      <c r="AA573" s="35"/>
    </row>
    <row r="574">
      <c r="A574" s="35"/>
      <c r="B574" s="35"/>
      <c r="C574" s="35"/>
      <c r="D574" s="35"/>
      <c r="E574" s="107"/>
      <c r="F574" s="35"/>
      <c r="G574" s="35"/>
      <c r="H574" s="35"/>
      <c r="I574" s="35"/>
      <c r="J574" s="35"/>
      <c r="K574" s="35"/>
      <c r="L574" s="35"/>
      <c r="M574" s="35"/>
      <c r="N574" s="35"/>
      <c r="O574" s="35"/>
      <c r="P574" s="35"/>
      <c r="Q574" s="35"/>
      <c r="R574" s="35"/>
      <c r="S574" s="35"/>
      <c r="T574" s="35"/>
      <c r="U574" s="35"/>
      <c r="V574" s="35"/>
      <c r="W574" s="35"/>
      <c r="X574" s="35"/>
      <c r="Y574" s="35"/>
      <c r="Z574" s="35"/>
      <c r="AA574" s="35"/>
    </row>
    <row r="575">
      <c r="A575" s="35"/>
      <c r="B575" s="35"/>
      <c r="C575" s="35"/>
      <c r="D575" s="35"/>
      <c r="E575" s="107"/>
      <c r="F575" s="35"/>
      <c r="G575" s="35"/>
      <c r="H575" s="35"/>
      <c r="I575" s="35"/>
      <c r="J575" s="35"/>
      <c r="K575" s="35"/>
      <c r="L575" s="35"/>
      <c r="M575" s="35"/>
      <c r="N575" s="35"/>
      <c r="O575" s="35"/>
      <c r="P575" s="35"/>
      <c r="Q575" s="35"/>
      <c r="R575" s="35"/>
      <c r="S575" s="35"/>
      <c r="T575" s="35"/>
      <c r="U575" s="35"/>
      <c r="V575" s="35"/>
      <c r="W575" s="35"/>
      <c r="X575" s="35"/>
      <c r="Y575" s="35"/>
      <c r="Z575" s="35"/>
      <c r="AA575" s="35"/>
    </row>
    <row r="576">
      <c r="A576" s="35"/>
      <c r="B576" s="35"/>
      <c r="C576" s="35"/>
      <c r="D576" s="35"/>
      <c r="E576" s="107"/>
      <c r="F576" s="35"/>
      <c r="G576" s="35"/>
      <c r="H576" s="35"/>
      <c r="I576" s="35"/>
      <c r="J576" s="35"/>
      <c r="K576" s="35"/>
      <c r="L576" s="35"/>
      <c r="M576" s="35"/>
      <c r="N576" s="35"/>
      <c r="O576" s="35"/>
      <c r="P576" s="35"/>
      <c r="Q576" s="35"/>
      <c r="R576" s="35"/>
      <c r="S576" s="35"/>
      <c r="T576" s="35"/>
      <c r="U576" s="35"/>
      <c r="V576" s="35"/>
      <c r="W576" s="35"/>
      <c r="X576" s="35"/>
      <c r="Y576" s="35"/>
      <c r="Z576" s="35"/>
      <c r="AA576" s="35"/>
    </row>
    <row r="577">
      <c r="A577" s="35"/>
      <c r="B577" s="35"/>
      <c r="C577" s="35"/>
      <c r="D577" s="35"/>
      <c r="E577" s="107"/>
      <c r="F577" s="35"/>
      <c r="G577" s="35"/>
      <c r="H577" s="35"/>
      <c r="I577" s="35"/>
      <c r="J577" s="35"/>
      <c r="K577" s="35"/>
      <c r="L577" s="35"/>
      <c r="M577" s="35"/>
      <c r="N577" s="35"/>
      <c r="O577" s="35"/>
      <c r="P577" s="35"/>
      <c r="Q577" s="35"/>
      <c r="R577" s="35"/>
      <c r="S577" s="35"/>
      <c r="T577" s="35"/>
      <c r="U577" s="35"/>
      <c r="V577" s="35"/>
      <c r="W577" s="35"/>
      <c r="X577" s="35"/>
      <c r="Y577" s="35"/>
      <c r="Z577" s="35"/>
      <c r="AA577" s="35"/>
    </row>
    <row r="578">
      <c r="A578" s="35"/>
      <c r="B578" s="35"/>
      <c r="C578" s="35"/>
      <c r="D578" s="35"/>
      <c r="E578" s="107"/>
      <c r="F578" s="35"/>
      <c r="G578" s="35"/>
      <c r="H578" s="35"/>
      <c r="I578" s="35"/>
      <c r="J578" s="35"/>
      <c r="K578" s="35"/>
      <c r="L578" s="35"/>
      <c r="M578" s="35"/>
      <c r="N578" s="35"/>
      <c r="O578" s="35"/>
      <c r="P578" s="35"/>
      <c r="Q578" s="35"/>
      <c r="R578" s="35"/>
      <c r="S578" s="35"/>
      <c r="T578" s="35"/>
      <c r="U578" s="35"/>
      <c r="V578" s="35"/>
      <c r="W578" s="35"/>
      <c r="X578" s="35"/>
      <c r="Y578" s="35"/>
      <c r="Z578" s="35"/>
      <c r="AA578" s="35"/>
    </row>
    <row r="579">
      <c r="A579" s="35"/>
      <c r="B579" s="35"/>
      <c r="C579" s="35"/>
      <c r="D579" s="35"/>
      <c r="E579" s="107"/>
      <c r="F579" s="35"/>
      <c r="G579" s="35"/>
      <c r="H579" s="35"/>
      <c r="I579" s="35"/>
      <c r="J579" s="35"/>
      <c r="K579" s="35"/>
      <c r="L579" s="35"/>
      <c r="M579" s="35"/>
      <c r="N579" s="35"/>
      <c r="O579" s="35"/>
      <c r="P579" s="35"/>
      <c r="Q579" s="35"/>
      <c r="R579" s="35"/>
      <c r="S579" s="35"/>
      <c r="T579" s="35"/>
      <c r="U579" s="35"/>
      <c r="V579" s="35"/>
      <c r="W579" s="35"/>
      <c r="X579" s="35"/>
      <c r="Y579" s="35"/>
      <c r="Z579" s="35"/>
      <c r="AA579" s="35"/>
    </row>
    <row r="580">
      <c r="A580" s="35"/>
      <c r="B580" s="35"/>
      <c r="C580" s="35"/>
      <c r="D580" s="35"/>
      <c r="E580" s="107"/>
      <c r="F580" s="35"/>
      <c r="G580" s="35"/>
      <c r="H580" s="35"/>
      <c r="I580" s="35"/>
      <c r="J580" s="35"/>
      <c r="K580" s="35"/>
      <c r="L580" s="35"/>
      <c r="M580" s="35"/>
      <c r="N580" s="35"/>
      <c r="O580" s="35"/>
      <c r="P580" s="35"/>
      <c r="Q580" s="35"/>
      <c r="R580" s="35"/>
      <c r="S580" s="35"/>
      <c r="T580" s="35"/>
      <c r="U580" s="35"/>
      <c r="V580" s="35"/>
      <c r="W580" s="35"/>
      <c r="X580" s="35"/>
      <c r="Y580" s="35"/>
      <c r="Z580" s="35"/>
      <c r="AA580" s="35"/>
    </row>
    <row r="581">
      <c r="A581" s="35"/>
      <c r="B581" s="35"/>
      <c r="C581" s="35"/>
      <c r="D581" s="35"/>
      <c r="E581" s="107"/>
      <c r="F581" s="35"/>
      <c r="G581" s="35"/>
      <c r="H581" s="35"/>
      <c r="I581" s="35"/>
      <c r="J581" s="35"/>
      <c r="K581" s="35"/>
      <c r="L581" s="35"/>
      <c r="M581" s="35"/>
      <c r="N581" s="35"/>
      <c r="O581" s="35"/>
      <c r="P581" s="35"/>
      <c r="Q581" s="35"/>
      <c r="R581" s="35"/>
      <c r="S581" s="35"/>
      <c r="T581" s="35"/>
      <c r="U581" s="35"/>
      <c r="V581" s="35"/>
      <c r="W581" s="35"/>
      <c r="X581" s="35"/>
      <c r="Y581" s="35"/>
      <c r="Z581" s="35"/>
      <c r="AA581" s="35"/>
    </row>
    <row r="582">
      <c r="A582" s="35"/>
      <c r="B582" s="35"/>
      <c r="C582" s="35"/>
      <c r="D582" s="35"/>
      <c r="E582" s="107"/>
      <c r="F582" s="35"/>
      <c r="G582" s="35"/>
      <c r="H582" s="35"/>
      <c r="I582" s="35"/>
      <c r="J582" s="35"/>
      <c r="K582" s="35"/>
      <c r="L582" s="35"/>
      <c r="M582" s="35"/>
      <c r="N582" s="35"/>
      <c r="O582" s="35"/>
      <c r="P582" s="35"/>
      <c r="Q582" s="35"/>
      <c r="R582" s="35"/>
      <c r="S582" s="35"/>
      <c r="T582" s="35"/>
      <c r="U582" s="35"/>
      <c r="V582" s="35"/>
      <c r="W582" s="35"/>
      <c r="X582" s="35"/>
      <c r="Y582" s="35"/>
      <c r="Z582" s="35"/>
      <c r="AA582" s="35"/>
    </row>
    <row r="583">
      <c r="A583" s="35"/>
      <c r="B583" s="35"/>
      <c r="C583" s="35"/>
      <c r="D583" s="35"/>
      <c r="E583" s="107"/>
      <c r="F583" s="35"/>
      <c r="G583" s="35"/>
      <c r="H583" s="35"/>
      <c r="I583" s="35"/>
      <c r="J583" s="35"/>
      <c r="K583" s="35"/>
      <c r="L583" s="35"/>
      <c r="M583" s="35"/>
      <c r="N583" s="35"/>
      <c r="O583" s="35"/>
      <c r="P583" s="35"/>
      <c r="Q583" s="35"/>
      <c r="R583" s="35"/>
      <c r="S583" s="35"/>
      <c r="T583" s="35"/>
      <c r="U583" s="35"/>
      <c r="V583" s="35"/>
      <c r="W583" s="35"/>
      <c r="X583" s="35"/>
      <c r="Y583" s="35"/>
      <c r="Z583" s="35"/>
      <c r="AA583" s="35"/>
    </row>
    <row r="584">
      <c r="A584" s="35"/>
      <c r="B584" s="35"/>
      <c r="C584" s="35"/>
      <c r="D584" s="35"/>
      <c r="E584" s="107"/>
      <c r="F584" s="35"/>
      <c r="G584" s="35"/>
      <c r="H584" s="35"/>
      <c r="I584" s="35"/>
      <c r="J584" s="35"/>
      <c r="K584" s="35"/>
      <c r="L584" s="35"/>
      <c r="M584" s="35"/>
      <c r="N584" s="35"/>
      <c r="O584" s="35"/>
      <c r="P584" s="35"/>
      <c r="Q584" s="35"/>
      <c r="R584" s="35"/>
      <c r="S584" s="35"/>
      <c r="T584" s="35"/>
      <c r="U584" s="35"/>
      <c r="V584" s="35"/>
      <c r="W584" s="35"/>
      <c r="X584" s="35"/>
      <c r="Y584" s="35"/>
      <c r="Z584" s="35"/>
      <c r="AA584" s="35"/>
    </row>
    <row r="585">
      <c r="A585" s="35"/>
      <c r="B585" s="35"/>
      <c r="C585" s="35"/>
      <c r="D585" s="35"/>
      <c r="E585" s="107"/>
      <c r="F585" s="35"/>
      <c r="G585" s="35"/>
      <c r="H585" s="35"/>
      <c r="I585" s="35"/>
      <c r="J585" s="35"/>
      <c r="K585" s="35"/>
      <c r="L585" s="35"/>
      <c r="M585" s="35"/>
      <c r="N585" s="35"/>
      <c r="O585" s="35"/>
      <c r="P585" s="35"/>
      <c r="Q585" s="35"/>
      <c r="R585" s="35"/>
      <c r="S585" s="35"/>
      <c r="T585" s="35"/>
      <c r="U585" s="35"/>
      <c r="V585" s="35"/>
      <c r="W585" s="35"/>
      <c r="X585" s="35"/>
      <c r="Y585" s="35"/>
      <c r="Z585" s="35"/>
      <c r="AA585" s="35"/>
    </row>
    <row r="586">
      <c r="A586" s="35"/>
      <c r="B586" s="35"/>
      <c r="C586" s="35"/>
      <c r="D586" s="35"/>
      <c r="E586" s="107"/>
      <c r="F586" s="35"/>
      <c r="G586" s="35"/>
      <c r="H586" s="35"/>
      <c r="I586" s="35"/>
      <c r="J586" s="35"/>
      <c r="K586" s="35"/>
      <c r="L586" s="35"/>
      <c r="M586" s="35"/>
      <c r="N586" s="35"/>
      <c r="O586" s="35"/>
      <c r="P586" s="35"/>
      <c r="Q586" s="35"/>
      <c r="R586" s="35"/>
      <c r="S586" s="35"/>
      <c r="T586" s="35"/>
      <c r="U586" s="35"/>
      <c r="V586" s="35"/>
      <c r="W586" s="35"/>
      <c r="X586" s="35"/>
      <c r="Y586" s="35"/>
      <c r="Z586" s="35"/>
      <c r="AA586" s="35"/>
    </row>
    <row r="587">
      <c r="A587" s="35"/>
      <c r="B587" s="35"/>
      <c r="C587" s="35"/>
      <c r="D587" s="35"/>
      <c r="E587" s="107"/>
      <c r="F587" s="35"/>
      <c r="G587" s="35"/>
      <c r="H587" s="35"/>
      <c r="I587" s="35"/>
      <c r="J587" s="35"/>
      <c r="K587" s="35"/>
      <c r="L587" s="35"/>
      <c r="M587" s="35"/>
      <c r="N587" s="35"/>
      <c r="O587" s="35"/>
      <c r="P587" s="35"/>
      <c r="Q587" s="35"/>
      <c r="R587" s="35"/>
      <c r="S587" s="35"/>
      <c r="T587" s="35"/>
      <c r="U587" s="35"/>
      <c r="V587" s="35"/>
      <c r="W587" s="35"/>
      <c r="X587" s="35"/>
      <c r="Y587" s="35"/>
      <c r="Z587" s="35"/>
      <c r="AA587" s="35"/>
    </row>
    <row r="588">
      <c r="A588" s="35"/>
      <c r="B588" s="35"/>
      <c r="C588" s="35"/>
      <c r="D588" s="35"/>
      <c r="E588" s="107"/>
      <c r="F588" s="35"/>
      <c r="G588" s="35"/>
      <c r="H588" s="35"/>
      <c r="I588" s="35"/>
      <c r="J588" s="35"/>
      <c r="K588" s="35"/>
      <c r="L588" s="35"/>
      <c r="M588" s="35"/>
      <c r="N588" s="35"/>
      <c r="O588" s="35"/>
      <c r="P588" s="35"/>
      <c r="Q588" s="35"/>
      <c r="R588" s="35"/>
      <c r="S588" s="35"/>
      <c r="T588" s="35"/>
      <c r="U588" s="35"/>
      <c r="V588" s="35"/>
      <c r="W588" s="35"/>
      <c r="X588" s="35"/>
      <c r="Y588" s="35"/>
      <c r="Z588" s="35"/>
      <c r="AA588" s="35"/>
    </row>
    <row r="589">
      <c r="A589" s="35"/>
      <c r="B589" s="35"/>
      <c r="C589" s="35"/>
      <c r="D589" s="35"/>
      <c r="E589" s="107"/>
      <c r="F589" s="35"/>
      <c r="G589" s="35"/>
      <c r="H589" s="35"/>
      <c r="I589" s="35"/>
      <c r="J589" s="35"/>
      <c r="K589" s="35"/>
      <c r="L589" s="35"/>
      <c r="M589" s="35"/>
      <c r="N589" s="35"/>
      <c r="O589" s="35"/>
      <c r="P589" s="35"/>
      <c r="Q589" s="35"/>
      <c r="R589" s="35"/>
      <c r="S589" s="35"/>
      <c r="T589" s="35"/>
      <c r="U589" s="35"/>
      <c r="V589" s="35"/>
      <c r="W589" s="35"/>
      <c r="X589" s="35"/>
      <c r="Y589" s="35"/>
      <c r="Z589" s="35"/>
      <c r="AA589" s="35"/>
    </row>
    <row r="590">
      <c r="A590" s="35"/>
      <c r="B590" s="35"/>
      <c r="C590" s="35"/>
      <c r="D590" s="35"/>
      <c r="E590" s="107"/>
      <c r="F590" s="35"/>
      <c r="G590" s="35"/>
      <c r="H590" s="35"/>
      <c r="I590" s="35"/>
      <c r="J590" s="35"/>
      <c r="K590" s="35"/>
      <c r="L590" s="35"/>
      <c r="M590" s="35"/>
      <c r="N590" s="35"/>
      <c r="O590" s="35"/>
      <c r="P590" s="35"/>
      <c r="Q590" s="35"/>
      <c r="R590" s="35"/>
      <c r="S590" s="35"/>
      <c r="T590" s="35"/>
      <c r="U590" s="35"/>
      <c r="V590" s="35"/>
      <c r="W590" s="35"/>
      <c r="X590" s="35"/>
      <c r="Y590" s="35"/>
      <c r="Z590" s="35"/>
      <c r="AA590" s="35"/>
    </row>
    <row r="591">
      <c r="A591" s="35"/>
      <c r="B591" s="35"/>
      <c r="C591" s="35"/>
      <c r="D591" s="35"/>
      <c r="E591" s="107"/>
      <c r="F591" s="35"/>
      <c r="G591" s="35"/>
      <c r="H591" s="35"/>
      <c r="I591" s="35"/>
      <c r="J591" s="35"/>
      <c r="K591" s="35"/>
      <c r="L591" s="35"/>
      <c r="M591" s="35"/>
      <c r="N591" s="35"/>
      <c r="O591" s="35"/>
      <c r="P591" s="35"/>
      <c r="Q591" s="35"/>
      <c r="R591" s="35"/>
      <c r="S591" s="35"/>
      <c r="T591" s="35"/>
      <c r="U591" s="35"/>
      <c r="V591" s="35"/>
      <c r="W591" s="35"/>
      <c r="X591" s="35"/>
      <c r="Y591" s="35"/>
      <c r="Z591" s="35"/>
      <c r="AA591" s="35"/>
    </row>
    <row r="592">
      <c r="A592" s="35"/>
      <c r="B592" s="35"/>
      <c r="C592" s="35"/>
      <c r="D592" s="35"/>
      <c r="E592" s="107"/>
      <c r="F592" s="35"/>
      <c r="G592" s="35"/>
      <c r="H592" s="35"/>
      <c r="I592" s="35"/>
      <c r="J592" s="35"/>
      <c r="K592" s="35"/>
      <c r="L592" s="35"/>
      <c r="M592" s="35"/>
      <c r="N592" s="35"/>
      <c r="O592" s="35"/>
      <c r="P592" s="35"/>
      <c r="Q592" s="35"/>
      <c r="R592" s="35"/>
      <c r="S592" s="35"/>
      <c r="T592" s="35"/>
      <c r="U592" s="35"/>
      <c r="V592" s="35"/>
      <c r="W592" s="35"/>
      <c r="X592" s="35"/>
      <c r="Y592" s="35"/>
      <c r="Z592" s="35"/>
      <c r="AA592" s="35"/>
    </row>
    <row r="593">
      <c r="A593" s="35"/>
      <c r="B593" s="35"/>
      <c r="C593" s="35"/>
      <c r="D593" s="35"/>
      <c r="E593" s="107"/>
      <c r="F593" s="35"/>
      <c r="G593" s="35"/>
      <c r="H593" s="35"/>
      <c r="I593" s="35"/>
      <c r="J593" s="35"/>
      <c r="K593" s="35"/>
      <c r="L593" s="35"/>
      <c r="M593" s="35"/>
      <c r="N593" s="35"/>
      <c r="O593" s="35"/>
      <c r="P593" s="35"/>
      <c r="Q593" s="35"/>
      <c r="R593" s="35"/>
      <c r="S593" s="35"/>
      <c r="T593" s="35"/>
      <c r="U593" s="35"/>
      <c r="V593" s="35"/>
      <c r="W593" s="35"/>
      <c r="X593" s="35"/>
      <c r="Y593" s="35"/>
      <c r="Z593" s="35"/>
      <c r="AA593" s="35"/>
    </row>
    <row r="594">
      <c r="A594" s="35"/>
      <c r="B594" s="35"/>
      <c r="C594" s="35"/>
      <c r="D594" s="35"/>
      <c r="E594" s="107"/>
      <c r="F594" s="35"/>
      <c r="G594" s="35"/>
      <c r="H594" s="35"/>
      <c r="I594" s="35"/>
      <c r="J594" s="35"/>
      <c r="K594" s="35"/>
      <c r="L594" s="35"/>
      <c r="M594" s="35"/>
      <c r="N594" s="35"/>
      <c r="O594" s="35"/>
      <c r="P594" s="35"/>
      <c r="Q594" s="35"/>
      <c r="R594" s="35"/>
      <c r="S594" s="35"/>
      <c r="T594" s="35"/>
      <c r="U594" s="35"/>
      <c r="V594" s="35"/>
      <c r="W594" s="35"/>
      <c r="X594" s="35"/>
      <c r="Y594" s="35"/>
      <c r="Z594" s="35"/>
      <c r="AA594" s="35"/>
    </row>
    <row r="595">
      <c r="A595" s="35"/>
      <c r="B595" s="35"/>
      <c r="C595" s="35"/>
      <c r="D595" s="35"/>
      <c r="E595" s="107"/>
      <c r="F595" s="35"/>
      <c r="G595" s="35"/>
      <c r="H595" s="35"/>
      <c r="I595" s="35"/>
      <c r="J595" s="35"/>
      <c r="K595" s="35"/>
      <c r="L595" s="35"/>
      <c r="M595" s="35"/>
      <c r="N595" s="35"/>
      <c r="O595" s="35"/>
      <c r="P595" s="35"/>
      <c r="Q595" s="35"/>
      <c r="R595" s="35"/>
      <c r="S595" s="35"/>
      <c r="T595" s="35"/>
      <c r="U595" s="35"/>
      <c r="V595" s="35"/>
      <c r="W595" s="35"/>
      <c r="X595" s="35"/>
      <c r="Y595" s="35"/>
      <c r="Z595" s="35"/>
      <c r="AA595" s="35"/>
    </row>
    <row r="596">
      <c r="A596" s="35"/>
      <c r="B596" s="35"/>
      <c r="C596" s="35"/>
      <c r="D596" s="35"/>
      <c r="E596" s="107"/>
      <c r="F596" s="35"/>
      <c r="G596" s="35"/>
      <c r="H596" s="35"/>
      <c r="I596" s="35"/>
      <c r="J596" s="35"/>
      <c r="K596" s="35"/>
      <c r="L596" s="35"/>
      <c r="M596" s="35"/>
      <c r="N596" s="35"/>
      <c r="O596" s="35"/>
      <c r="P596" s="35"/>
      <c r="Q596" s="35"/>
      <c r="R596" s="35"/>
      <c r="S596" s="35"/>
      <c r="T596" s="35"/>
      <c r="U596" s="35"/>
      <c r="V596" s="35"/>
      <c r="W596" s="35"/>
      <c r="X596" s="35"/>
      <c r="Y596" s="35"/>
      <c r="Z596" s="35"/>
      <c r="AA596" s="35"/>
    </row>
    <row r="597">
      <c r="A597" s="35"/>
      <c r="B597" s="35"/>
      <c r="C597" s="35"/>
      <c r="D597" s="35"/>
      <c r="E597" s="107"/>
      <c r="F597" s="35"/>
      <c r="G597" s="35"/>
      <c r="H597" s="35"/>
      <c r="I597" s="35"/>
      <c r="J597" s="35"/>
      <c r="K597" s="35"/>
      <c r="L597" s="35"/>
      <c r="M597" s="35"/>
      <c r="N597" s="35"/>
      <c r="O597" s="35"/>
      <c r="P597" s="35"/>
      <c r="Q597" s="35"/>
      <c r="R597" s="35"/>
      <c r="S597" s="35"/>
      <c r="T597" s="35"/>
      <c r="U597" s="35"/>
      <c r="V597" s="35"/>
      <c r="W597" s="35"/>
      <c r="X597" s="35"/>
      <c r="Y597" s="35"/>
      <c r="Z597" s="35"/>
      <c r="AA597" s="35"/>
    </row>
    <row r="598">
      <c r="A598" s="35"/>
      <c r="B598" s="35"/>
      <c r="C598" s="35"/>
      <c r="D598" s="35"/>
      <c r="E598" s="107"/>
      <c r="F598" s="35"/>
      <c r="G598" s="35"/>
      <c r="H598" s="35"/>
      <c r="I598" s="35"/>
      <c r="J598" s="35"/>
      <c r="K598" s="35"/>
      <c r="L598" s="35"/>
      <c r="M598" s="35"/>
      <c r="N598" s="35"/>
      <c r="O598" s="35"/>
      <c r="P598" s="35"/>
      <c r="Q598" s="35"/>
      <c r="R598" s="35"/>
      <c r="S598" s="35"/>
      <c r="T598" s="35"/>
      <c r="U598" s="35"/>
      <c r="V598" s="35"/>
      <c r="W598" s="35"/>
      <c r="X598" s="35"/>
      <c r="Y598" s="35"/>
      <c r="Z598" s="35"/>
      <c r="AA598" s="35"/>
    </row>
    <row r="599">
      <c r="A599" s="35"/>
      <c r="B599" s="35"/>
      <c r="C599" s="35"/>
      <c r="D599" s="35"/>
      <c r="E599" s="107"/>
      <c r="F599" s="35"/>
      <c r="G599" s="35"/>
      <c r="H599" s="35"/>
      <c r="I599" s="35"/>
      <c r="J599" s="35"/>
      <c r="K599" s="35"/>
      <c r="L599" s="35"/>
      <c r="M599" s="35"/>
      <c r="N599" s="35"/>
      <c r="O599" s="35"/>
      <c r="P599" s="35"/>
      <c r="Q599" s="35"/>
      <c r="R599" s="35"/>
      <c r="S599" s="35"/>
      <c r="T599" s="35"/>
      <c r="U599" s="35"/>
      <c r="V599" s="35"/>
      <c r="W599" s="35"/>
      <c r="X599" s="35"/>
      <c r="Y599" s="35"/>
      <c r="Z599" s="35"/>
      <c r="AA599" s="35"/>
    </row>
    <row r="600">
      <c r="A600" s="35"/>
      <c r="B600" s="35"/>
      <c r="C600" s="35"/>
      <c r="D600" s="35"/>
      <c r="E600" s="107"/>
      <c r="F600" s="35"/>
      <c r="G600" s="35"/>
      <c r="H600" s="35"/>
      <c r="I600" s="35"/>
      <c r="J600" s="35"/>
      <c r="K600" s="35"/>
      <c r="L600" s="35"/>
      <c r="M600" s="35"/>
      <c r="N600" s="35"/>
      <c r="O600" s="35"/>
      <c r="P600" s="35"/>
      <c r="Q600" s="35"/>
      <c r="R600" s="35"/>
      <c r="S600" s="35"/>
      <c r="T600" s="35"/>
      <c r="U600" s="35"/>
      <c r="V600" s="35"/>
      <c r="W600" s="35"/>
      <c r="X600" s="35"/>
      <c r="Y600" s="35"/>
      <c r="Z600" s="35"/>
      <c r="AA600" s="35"/>
    </row>
    <row r="601">
      <c r="A601" s="35"/>
      <c r="B601" s="35"/>
      <c r="C601" s="35"/>
      <c r="D601" s="35"/>
      <c r="E601" s="107"/>
      <c r="F601" s="35"/>
      <c r="G601" s="35"/>
      <c r="H601" s="35"/>
      <c r="I601" s="35"/>
      <c r="J601" s="35"/>
      <c r="K601" s="35"/>
      <c r="L601" s="35"/>
      <c r="M601" s="35"/>
      <c r="N601" s="35"/>
      <c r="O601" s="35"/>
      <c r="P601" s="35"/>
      <c r="Q601" s="35"/>
      <c r="R601" s="35"/>
      <c r="S601" s="35"/>
      <c r="T601" s="35"/>
      <c r="U601" s="35"/>
      <c r="V601" s="35"/>
      <c r="W601" s="35"/>
      <c r="X601" s="35"/>
      <c r="Y601" s="35"/>
      <c r="Z601" s="35"/>
      <c r="AA601" s="35"/>
    </row>
    <row r="602">
      <c r="A602" s="35"/>
      <c r="B602" s="35"/>
      <c r="C602" s="35"/>
      <c r="D602" s="35"/>
      <c r="E602" s="107"/>
      <c r="F602" s="35"/>
      <c r="G602" s="35"/>
      <c r="H602" s="35"/>
      <c r="I602" s="35"/>
      <c r="J602" s="35"/>
      <c r="K602" s="35"/>
      <c r="L602" s="35"/>
      <c r="M602" s="35"/>
      <c r="N602" s="35"/>
      <c r="O602" s="35"/>
      <c r="P602" s="35"/>
      <c r="Q602" s="35"/>
      <c r="R602" s="35"/>
      <c r="S602" s="35"/>
      <c r="T602" s="35"/>
      <c r="U602" s="35"/>
      <c r="V602" s="35"/>
      <c r="W602" s="35"/>
      <c r="X602" s="35"/>
      <c r="Y602" s="35"/>
      <c r="Z602" s="35"/>
      <c r="AA602" s="35"/>
    </row>
    <row r="603">
      <c r="A603" s="35"/>
      <c r="B603" s="35"/>
      <c r="C603" s="35"/>
      <c r="D603" s="35"/>
      <c r="E603" s="107"/>
      <c r="F603" s="35"/>
      <c r="G603" s="35"/>
      <c r="H603" s="35"/>
      <c r="I603" s="35"/>
      <c r="J603" s="35"/>
      <c r="K603" s="35"/>
      <c r="L603" s="35"/>
      <c r="M603" s="35"/>
      <c r="N603" s="35"/>
      <c r="O603" s="35"/>
      <c r="P603" s="35"/>
      <c r="Q603" s="35"/>
      <c r="R603" s="35"/>
      <c r="S603" s="35"/>
      <c r="T603" s="35"/>
      <c r="U603" s="35"/>
      <c r="V603" s="35"/>
      <c r="W603" s="35"/>
      <c r="X603" s="35"/>
      <c r="Y603" s="35"/>
      <c r="Z603" s="35"/>
      <c r="AA603" s="35"/>
    </row>
    <row r="604">
      <c r="A604" s="35"/>
      <c r="B604" s="35"/>
      <c r="C604" s="35"/>
      <c r="D604" s="35"/>
      <c r="E604" s="107"/>
      <c r="F604" s="35"/>
      <c r="G604" s="35"/>
      <c r="H604" s="35"/>
      <c r="I604" s="35"/>
      <c r="J604" s="35"/>
      <c r="K604" s="35"/>
      <c r="L604" s="35"/>
      <c r="M604" s="35"/>
      <c r="N604" s="35"/>
      <c r="O604" s="35"/>
      <c r="P604" s="35"/>
      <c r="Q604" s="35"/>
      <c r="R604" s="35"/>
      <c r="S604" s="35"/>
      <c r="T604" s="35"/>
      <c r="U604" s="35"/>
      <c r="V604" s="35"/>
      <c r="W604" s="35"/>
      <c r="X604" s="35"/>
      <c r="Y604" s="35"/>
      <c r="Z604" s="35"/>
      <c r="AA604" s="35"/>
    </row>
    <row r="605">
      <c r="A605" s="35"/>
      <c r="B605" s="35"/>
      <c r="C605" s="35"/>
      <c r="D605" s="35"/>
      <c r="E605" s="107"/>
      <c r="F605" s="35"/>
      <c r="G605" s="35"/>
      <c r="H605" s="35"/>
      <c r="I605" s="35"/>
      <c r="J605" s="35"/>
      <c r="K605" s="35"/>
      <c r="L605" s="35"/>
      <c r="M605" s="35"/>
      <c r="N605" s="35"/>
      <c r="O605" s="35"/>
      <c r="P605" s="35"/>
      <c r="Q605" s="35"/>
      <c r="R605" s="35"/>
      <c r="S605" s="35"/>
      <c r="T605" s="35"/>
      <c r="U605" s="35"/>
      <c r="V605" s="35"/>
      <c r="W605" s="35"/>
      <c r="X605" s="35"/>
      <c r="Y605" s="35"/>
      <c r="Z605" s="35"/>
      <c r="AA605" s="35"/>
    </row>
    <row r="606">
      <c r="A606" s="35"/>
      <c r="B606" s="35"/>
      <c r="C606" s="35"/>
      <c r="D606" s="35"/>
      <c r="E606" s="107"/>
      <c r="F606" s="35"/>
      <c r="G606" s="35"/>
      <c r="H606" s="35"/>
      <c r="I606" s="35"/>
      <c r="J606" s="35"/>
      <c r="K606" s="35"/>
      <c r="L606" s="35"/>
      <c r="M606" s="35"/>
      <c r="N606" s="35"/>
      <c r="O606" s="35"/>
      <c r="P606" s="35"/>
      <c r="Q606" s="35"/>
      <c r="R606" s="35"/>
      <c r="S606" s="35"/>
      <c r="T606" s="35"/>
      <c r="U606" s="35"/>
      <c r="V606" s="35"/>
      <c r="W606" s="35"/>
      <c r="X606" s="35"/>
      <c r="Y606" s="35"/>
      <c r="Z606" s="35"/>
      <c r="AA606" s="35"/>
    </row>
    <row r="607">
      <c r="A607" s="35"/>
      <c r="B607" s="35"/>
      <c r="C607" s="35"/>
      <c r="D607" s="35"/>
      <c r="E607" s="107"/>
      <c r="F607" s="35"/>
      <c r="G607" s="35"/>
      <c r="H607" s="35"/>
      <c r="I607" s="35"/>
      <c r="J607" s="35"/>
      <c r="K607" s="35"/>
      <c r="L607" s="35"/>
      <c r="M607" s="35"/>
      <c r="N607" s="35"/>
      <c r="O607" s="35"/>
      <c r="P607" s="35"/>
      <c r="Q607" s="35"/>
      <c r="R607" s="35"/>
      <c r="S607" s="35"/>
      <c r="T607" s="35"/>
      <c r="U607" s="35"/>
      <c r="V607" s="35"/>
      <c r="W607" s="35"/>
      <c r="X607" s="35"/>
      <c r="Y607" s="35"/>
      <c r="Z607" s="35"/>
      <c r="AA607" s="35"/>
    </row>
    <row r="608">
      <c r="A608" s="35"/>
      <c r="B608" s="35"/>
      <c r="C608" s="35"/>
      <c r="D608" s="35"/>
      <c r="E608" s="107"/>
      <c r="F608" s="35"/>
      <c r="G608" s="35"/>
      <c r="H608" s="35"/>
      <c r="I608" s="35"/>
      <c r="J608" s="35"/>
      <c r="K608" s="35"/>
      <c r="L608" s="35"/>
      <c r="M608" s="35"/>
      <c r="N608" s="35"/>
      <c r="O608" s="35"/>
      <c r="P608" s="35"/>
      <c r="Q608" s="35"/>
      <c r="R608" s="35"/>
      <c r="S608" s="35"/>
      <c r="T608" s="35"/>
      <c r="U608" s="35"/>
      <c r="V608" s="35"/>
      <c r="W608" s="35"/>
      <c r="X608" s="35"/>
      <c r="Y608" s="35"/>
      <c r="Z608" s="35"/>
      <c r="AA608" s="35"/>
    </row>
    <row r="609">
      <c r="A609" s="35"/>
      <c r="B609" s="35"/>
      <c r="C609" s="35"/>
      <c r="D609" s="35"/>
      <c r="E609" s="107"/>
      <c r="F609" s="35"/>
      <c r="G609" s="35"/>
      <c r="H609" s="35"/>
      <c r="I609" s="35"/>
      <c r="J609" s="35"/>
      <c r="K609" s="35"/>
      <c r="L609" s="35"/>
      <c r="M609" s="35"/>
      <c r="N609" s="35"/>
      <c r="O609" s="35"/>
      <c r="P609" s="35"/>
      <c r="Q609" s="35"/>
      <c r="R609" s="35"/>
      <c r="S609" s="35"/>
      <c r="T609" s="35"/>
      <c r="U609" s="35"/>
      <c r="V609" s="35"/>
      <c r="W609" s="35"/>
      <c r="X609" s="35"/>
      <c r="Y609" s="35"/>
      <c r="Z609" s="35"/>
      <c r="AA609" s="35"/>
    </row>
    <row r="610">
      <c r="A610" s="35"/>
      <c r="B610" s="35"/>
      <c r="C610" s="35"/>
      <c r="D610" s="35"/>
      <c r="E610" s="107"/>
      <c r="F610" s="35"/>
      <c r="G610" s="35"/>
      <c r="H610" s="35"/>
      <c r="I610" s="35"/>
      <c r="J610" s="35"/>
      <c r="K610" s="35"/>
      <c r="L610" s="35"/>
      <c r="M610" s="35"/>
      <c r="N610" s="35"/>
      <c r="O610" s="35"/>
      <c r="P610" s="35"/>
      <c r="Q610" s="35"/>
      <c r="R610" s="35"/>
      <c r="S610" s="35"/>
      <c r="T610" s="35"/>
      <c r="U610" s="35"/>
      <c r="V610" s="35"/>
      <c r="W610" s="35"/>
      <c r="X610" s="35"/>
      <c r="Y610" s="35"/>
      <c r="Z610" s="35"/>
      <c r="AA610" s="35"/>
    </row>
    <row r="611">
      <c r="A611" s="35"/>
      <c r="B611" s="35"/>
      <c r="C611" s="35"/>
      <c r="D611" s="35"/>
      <c r="E611" s="107"/>
      <c r="F611" s="35"/>
      <c r="G611" s="35"/>
      <c r="H611" s="35"/>
      <c r="I611" s="35"/>
      <c r="J611" s="35"/>
      <c r="K611" s="35"/>
      <c r="L611" s="35"/>
      <c r="M611" s="35"/>
      <c r="N611" s="35"/>
      <c r="O611" s="35"/>
      <c r="P611" s="35"/>
      <c r="Q611" s="35"/>
      <c r="R611" s="35"/>
      <c r="S611" s="35"/>
      <c r="T611" s="35"/>
      <c r="U611" s="35"/>
      <c r="V611" s="35"/>
      <c r="W611" s="35"/>
      <c r="X611" s="35"/>
      <c r="Y611" s="35"/>
      <c r="Z611" s="35"/>
      <c r="AA611" s="35"/>
    </row>
    <row r="612">
      <c r="A612" s="35"/>
      <c r="B612" s="35"/>
      <c r="C612" s="35"/>
      <c r="D612" s="35"/>
      <c r="E612" s="107"/>
      <c r="F612" s="35"/>
      <c r="G612" s="35"/>
      <c r="H612" s="35"/>
      <c r="I612" s="35"/>
      <c r="J612" s="35"/>
      <c r="K612" s="35"/>
      <c r="L612" s="35"/>
      <c r="M612" s="35"/>
      <c r="N612" s="35"/>
      <c r="O612" s="35"/>
      <c r="P612" s="35"/>
      <c r="Q612" s="35"/>
      <c r="R612" s="35"/>
      <c r="S612" s="35"/>
      <c r="T612" s="35"/>
      <c r="U612" s="35"/>
      <c r="V612" s="35"/>
      <c r="W612" s="35"/>
      <c r="X612" s="35"/>
      <c r="Y612" s="35"/>
      <c r="Z612" s="35"/>
      <c r="AA612" s="35"/>
    </row>
    <row r="613">
      <c r="A613" s="35"/>
      <c r="B613" s="35"/>
      <c r="C613" s="35"/>
      <c r="D613" s="35"/>
      <c r="E613" s="107"/>
      <c r="F613" s="35"/>
      <c r="G613" s="35"/>
      <c r="H613" s="35"/>
      <c r="I613" s="35"/>
      <c r="J613" s="35"/>
      <c r="K613" s="35"/>
      <c r="L613" s="35"/>
      <c r="M613" s="35"/>
      <c r="N613" s="35"/>
      <c r="O613" s="35"/>
      <c r="P613" s="35"/>
      <c r="Q613" s="35"/>
      <c r="R613" s="35"/>
      <c r="S613" s="35"/>
      <c r="T613" s="35"/>
      <c r="U613" s="35"/>
      <c r="V613" s="35"/>
      <c r="W613" s="35"/>
      <c r="X613" s="35"/>
      <c r="Y613" s="35"/>
      <c r="Z613" s="35"/>
      <c r="AA613" s="35"/>
    </row>
    <row r="614">
      <c r="A614" s="35"/>
      <c r="B614" s="35"/>
      <c r="C614" s="35"/>
      <c r="D614" s="35"/>
      <c r="E614" s="107"/>
      <c r="F614" s="35"/>
      <c r="G614" s="35"/>
      <c r="H614" s="35"/>
      <c r="I614" s="35"/>
      <c r="J614" s="35"/>
      <c r="K614" s="35"/>
      <c r="L614" s="35"/>
      <c r="M614" s="35"/>
      <c r="N614" s="35"/>
      <c r="O614" s="35"/>
      <c r="P614" s="35"/>
      <c r="Q614" s="35"/>
      <c r="R614" s="35"/>
      <c r="S614" s="35"/>
      <c r="T614" s="35"/>
      <c r="U614" s="35"/>
      <c r="V614" s="35"/>
      <c r="W614" s="35"/>
      <c r="X614" s="35"/>
      <c r="Y614" s="35"/>
      <c r="Z614" s="35"/>
      <c r="AA614" s="35"/>
    </row>
    <row r="615">
      <c r="A615" s="35"/>
      <c r="B615" s="35"/>
      <c r="C615" s="35"/>
      <c r="D615" s="35"/>
      <c r="E615" s="107"/>
      <c r="F615" s="35"/>
      <c r="G615" s="35"/>
      <c r="H615" s="35"/>
      <c r="I615" s="35"/>
      <c r="J615" s="35"/>
      <c r="K615" s="35"/>
      <c r="L615" s="35"/>
      <c r="M615" s="35"/>
      <c r="N615" s="35"/>
      <c r="O615" s="35"/>
      <c r="P615" s="35"/>
      <c r="Q615" s="35"/>
      <c r="R615" s="35"/>
      <c r="S615" s="35"/>
      <c r="T615" s="35"/>
      <c r="U615" s="35"/>
      <c r="V615" s="35"/>
      <c r="W615" s="35"/>
      <c r="X615" s="35"/>
      <c r="Y615" s="35"/>
      <c r="Z615" s="35"/>
      <c r="AA615" s="35"/>
    </row>
    <row r="616">
      <c r="A616" s="35"/>
      <c r="B616" s="35"/>
      <c r="C616" s="35"/>
      <c r="D616" s="35"/>
      <c r="E616" s="107"/>
      <c r="F616" s="35"/>
      <c r="G616" s="35"/>
      <c r="H616" s="35"/>
      <c r="I616" s="35"/>
      <c r="J616" s="35"/>
      <c r="K616" s="35"/>
      <c r="L616" s="35"/>
      <c r="M616" s="35"/>
      <c r="N616" s="35"/>
      <c r="O616" s="35"/>
      <c r="P616" s="35"/>
      <c r="Q616" s="35"/>
      <c r="R616" s="35"/>
      <c r="S616" s="35"/>
      <c r="T616" s="35"/>
      <c r="U616" s="35"/>
      <c r="V616" s="35"/>
      <c r="W616" s="35"/>
      <c r="X616" s="35"/>
      <c r="Y616" s="35"/>
      <c r="Z616" s="35"/>
      <c r="AA616" s="35"/>
    </row>
    <row r="617">
      <c r="A617" s="35"/>
      <c r="B617" s="35"/>
      <c r="C617" s="35"/>
      <c r="D617" s="35"/>
      <c r="E617" s="107"/>
      <c r="F617" s="35"/>
      <c r="G617" s="35"/>
      <c r="H617" s="35"/>
      <c r="I617" s="35"/>
      <c r="J617" s="35"/>
      <c r="K617" s="35"/>
      <c r="L617" s="35"/>
      <c r="M617" s="35"/>
      <c r="N617" s="35"/>
      <c r="O617" s="35"/>
      <c r="P617" s="35"/>
      <c r="Q617" s="35"/>
      <c r="R617" s="35"/>
      <c r="S617" s="35"/>
      <c r="T617" s="35"/>
      <c r="U617" s="35"/>
      <c r="V617" s="35"/>
      <c r="W617" s="35"/>
      <c r="X617" s="35"/>
      <c r="Y617" s="35"/>
      <c r="Z617" s="35"/>
      <c r="AA617" s="35"/>
    </row>
    <row r="618">
      <c r="A618" s="35"/>
      <c r="B618" s="35"/>
      <c r="C618" s="35"/>
      <c r="D618" s="35"/>
      <c r="E618" s="107"/>
      <c r="F618" s="35"/>
      <c r="G618" s="35"/>
      <c r="H618" s="35"/>
      <c r="I618" s="35"/>
      <c r="J618" s="35"/>
      <c r="K618" s="35"/>
      <c r="L618" s="35"/>
      <c r="M618" s="35"/>
      <c r="N618" s="35"/>
      <c r="O618" s="35"/>
      <c r="P618" s="35"/>
      <c r="Q618" s="35"/>
      <c r="R618" s="35"/>
      <c r="S618" s="35"/>
      <c r="T618" s="35"/>
      <c r="U618" s="35"/>
      <c r="V618" s="35"/>
      <c r="W618" s="35"/>
      <c r="X618" s="35"/>
      <c r="Y618" s="35"/>
      <c r="Z618" s="35"/>
      <c r="AA618" s="35"/>
    </row>
    <row r="619">
      <c r="A619" s="35"/>
      <c r="B619" s="35"/>
      <c r="C619" s="35"/>
      <c r="D619" s="35"/>
      <c r="E619" s="107"/>
      <c r="F619" s="35"/>
      <c r="G619" s="35"/>
      <c r="H619" s="35"/>
      <c r="I619" s="35"/>
      <c r="J619" s="35"/>
      <c r="K619" s="35"/>
      <c r="L619" s="35"/>
      <c r="M619" s="35"/>
      <c r="N619" s="35"/>
      <c r="O619" s="35"/>
      <c r="P619" s="35"/>
      <c r="Q619" s="35"/>
      <c r="R619" s="35"/>
      <c r="S619" s="35"/>
      <c r="T619" s="35"/>
      <c r="U619" s="35"/>
      <c r="V619" s="35"/>
      <c r="W619" s="35"/>
      <c r="X619" s="35"/>
      <c r="Y619" s="35"/>
      <c r="Z619" s="35"/>
      <c r="AA619" s="35"/>
    </row>
    <row r="620">
      <c r="A620" s="35"/>
      <c r="B620" s="35"/>
      <c r="C620" s="35"/>
      <c r="D620" s="35"/>
      <c r="E620" s="107"/>
      <c r="F620" s="35"/>
      <c r="G620" s="35"/>
      <c r="H620" s="35"/>
      <c r="I620" s="35"/>
      <c r="J620" s="35"/>
      <c r="K620" s="35"/>
      <c r="L620" s="35"/>
      <c r="M620" s="35"/>
      <c r="N620" s="35"/>
      <c r="O620" s="35"/>
      <c r="P620" s="35"/>
      <c r="Q620" s="35"/>
      <c r="R620" s="35"/>
      <c r="S620" s="35"/>
      <c r="T620" s="35"/>
      <c r="U620" s="35"/>
      <c r="V620" s="35"/>
      <c r="W620" s="35"/>
      <c r="X620" s="35"/>
      <c r="Y620" s="35"/>
      <c r="Z620" s="35"/>
      <c r="AA620" s="35"/>
    </row>
    <row r="621">
      <c r="A621" s="35"/>
      <c r="B621" s="35"/>
      <c r="C621" s="35"/>
      <c r="D621" s="35"/>
      <c r="E621" s="107"/>
      <c r="F621" s="35"/>
      <c r="G621" s="35"/>
      <c r="H621" s="35"/>
      <c r="I621" s="35"/>
      <c r="J621" s="35"/>
      <c r="K621" s="35"/>
      <c r="L621" s="35"/>
      <c r="M621" s="35"/>
      <c r="N621" s="35"/>
      <c r="O621" s="35"/>
      <c r="P621" s="35"/>
      <c r="Q621" s="35"/>
      <c r="R621" s="35"/>
      <c r="S621" s="35"/>
      <c r="T621" s="35"/>
      <c r="U621" s="35"/>
      <c r="V621" s="35"/>
      <c r="W621" s="35"/>
      <c r="X621" s="35"/>
      <c r="Y621" s="35"/>
      <c r="Z621" s="35"/>
      <c r="AA621" s="35"/>
    </row>
    <row r="622">
      <c r="A622" s="35"/>
      <c r="B622" s="35"/>
      <c r="C622" s="35"/>
      <c r="D622" s="35"/>
      <c r="E622" s="107"/>
      <c r="F622" s="35"/>
      <c r="G622" s="35"/>
      <c r="H622" s="35"/>
      <c r="I622" s="35"/>
      <c r="J622" s="35"/>
      <c r="K622" s="35"/>
      <c r="L622" s="35"/>
      <c r="M622" s="35"/>
      <c r="N622" s="35"/>
      <c r="O622" s="35"/>
      <c r="P622" s="35"/>
      <c r="Q622" s="35"/>
      <c r="R622" s="35"/>
      <c r="S622" s="35"/>
      <c r="T622" s="35"/>
      <c r="U622" s="35"/>
      <c r="V622" s="35"/>
      <c r="W622" s="35"/>
      <c r="X622" s="35"/>
      <c r="Y622" s="35"/>
      <c r="Z622" s="35"/>
      <c r="AA622" s="35"/>
    </row>
    <row r="623">
      <c r="A623" s="35"/>
      <c r="B623" s="35"/>
      <c r="C623" s="35"/>
      <c r="D623" s="35"/>
      <c r="E623" s="107"/>
      <c r="F623" s="35"/>
      <c r="G623" s="35"/>
      <c r="H623" s="35"/>
      <c r="I623" s="35"/>
      <c r="J623" s="35"/>
      <c r="K623" s="35"/>
      <c r="L623" s="35"/>
      <c r="M623" s="35"/>
      <c r="N623" s="35"/>
      <c r="O623" s="35"/>
      <c r="P623" s="35"/>
      <c r="Q623" s="35"/>
      <c r="R623" s="35"/>
      <c r="S623" s="35"/>
      <c r="T623" s="35"/>
      <c r="U623" s="35"/>
      <c r="V623" s="35"/>
      <c r="W623" s="35"/>
      <c r="X623" s="35"/>
      <c r="Y623" s="35"/>
      <c r="Z623" s="35"/>
      <c r="AA623" s="35"/>
    </row>
    <row r="624">
      <c r="A624" s="35"/>
      <c r="B624" s="35"/>
      <c r="C624" s="35"/>
      <c r="D624" s="35"/>
      <c r="E624" s="107"/>
      <c r="F624" s="35"/>
      <c r="G624" s="35"/>
      <c r="H624" s="35"/>
      <c r="I624" s="35"/>
      <c r="J624" s="35"/>
      <c r="K624" s="35"/>
      <c r="L624" s="35"/>
      <c r="M624" s="35"/>
      <c r="N624" s="35"/>
      <c r="O624" s="35"/>
      <c r="P624" s="35"/>
      <c r="Q624" s="35"/>
      <c r="R624" s="35"/>
      <c r="S624" s="35"/>
      <c r="T624" s="35"/>
      <c r="U624" s="35"/>
      <c r="V624" s="35"/>
      <c r="W624" s="35"/>
      <c r="X624" s="35"/>
      <c r="Y624" s="35"/>
      <c r="Z624" s="35"/>
      <c r="AA624" s="35"/>
    </row>
    <row r="625">
      <c r="A625" s="35"/>
      <c r="B625" s="35"/>
      <c r="C625" s="35"/>
      <c r="D625" s="35"/>
      <c r="E625" s="107"/>
      <c r="F625" s="35"/>
      <c r="G625" s="35"/>
      <c r="H625" s="35"/>
      <c r="I625" s="35"/>
      <c r="J625" s="35"/>
      <c r="K625" s="35"/>
      <c r="L625" s="35"/>
      <c r="M625" s="35"/>
      <c r="N625" s="35"/>
      <c r="O625" s="35"/>
      <c r="P625" s="35"/>
      <c r="Q625" s="35"/>
      <c r="R625" s="35"/>
      <c r="S625" s="35"/>
      <c r="T625" s="35"/>
      <c r="U625" s="35"/>
      <c r="V625" s="35"/>
      <c r="W625" s="35"/>
      <c r="X625" s="35"/>
      <c r="Y625" s="35"/>
      <c r="Z625" s="35"/>
      <c r="AA625" s="35"/>
    </row>
    <row r="626">
      <c r="A626" s="35"/>
      <c r="B626" s="35"/>
      <c r="C626" s="35"/>
      <c r="D626" s="35"/>
      <c r="E626" s="107"/>
      <c r="F626" s="35"/>
      <c r="G626" s="35"/>
      <c r="H626" s="35"/>
      <c r="I626" s="35"/>
      <c r="J626" s="35"/>
      <c r="K626" s="35"/>
      <c r="L626" s="35"/>
      <c r="M626" s="35"/>
      <c r="N626" s="35"/>
      <c r="O626" s="35"/>
      <c r="P626" s="35"/>
      <c r="Q626" s="35"/>
      <c r="R626" s="35"/>
      <c r="S626" s="35"/>
      <c r="T626" s="35"/>
      <c r="U626" s="35"/>
      <c r="V626" s="35"/>
      <c r="W626" s="35"/>
      <c r="X626" s="35"/>
      <c r="Y626" s="35"/>
      <c r="Z626" s="35"/>
      <c r="AA626" s="35"/>
    </row>
    <row r="627">
      <c r="A627" s="35"/>
      <c r="B627" s="35"/>
      <c r="C627" s="35"/>
      <c r="D627" s="35"/>
      <c r="E627" s="107"/>
      <c r="F627" s="35"/>
      <c r="G627" s="35"/>
      <c r="H627" s="35"/>
      <c r="I627" s="35"/>
      <c r="J627" s="35"/>
      <c r="K627" s="35"/>
      <c r="L627" s="35"/>
      <c r="M627" s="35"/>
      <c r="N627" s="35"/>
      <c r="O627" s="35"/>
      <c r="P627" s="35"/>
      <c r="Q627" s="35"/>
      <c r="R627" s="35"/>
      <c r="S627" s="35"/>
      <c r="T627" s="35"/>
      <c r="U627" s="35"/>
      <c r="V627" s="35"/>
      <c r="W627" s="35"/>
      <c r="X627" s="35"/>
      <c r="Y627" s="35"/>
      <c r="Z627" s="35"/>
      <c r="AA627" s="35"/>
    </row>
    <row r="628">
      <c r="A628" s="35"/>
      <c r="B628" s="35"/>
      <c r="C628" s="35"/>
      <c r="D628" s="35"/>
      <c r="E628" s="107"/>
      <c r="F628" s="35"/>
      <c r="G628" s="35"/>
      <c r="H628" s="35"/>
      <c r="I628" s="35"/>
      <c r="J628" s="35"/>
      <c r="K628" s="35"/>
      <c r="L628" s="35"/>
      <c r="M628" s="35"/>
      <c r="N628" s="35"/>
      <c r="O628" s="35"/>
      <c r="P628" s="35"/>
      <c r="Q628" s="35"/>
      <c r="R628" s="35"/>
      <c r="S628" s="35"/>
      <c r="T628" s="35"/>
      <c r="U628" s="35"/>
      <c r="V628" s="35"/>
      <c r="W628" s="35"/>
      <c r="X628" s="35"/>
      <c r="Y628" s="35"/>
      <c r="Z628" s="35"/>
      <c r="AA628" s="35"/>
    </row>
    <row r="629">
      <c r="A629" s="35"/>
      <c r="B629" s="35"/>
      <c r="C629" s="35"/>
      <c r="D629" s="35"/>
      <c r="E629" s="107"/>
      <c r="F629" s="35"/>
      <c r="G629" s="35"/>
      <c r="H629" s="35"/>
      <c r="I629" s="35"/>
      <c r="J629" s="35"/>
      <c r="K629" s="35"/>
      <c r="L629" s="35"/>
      <c r="M629" s="35"/>
      <c r="N629" s="35"/>
      <c r="O629" s="35"/>
      <c r="P629" s="35"/>
      <c r="Q629" s="35"/>
      <c r="R629" s="35"/>
      <c r="S629" s="35"/>
      <c r="T629" s="35"/>
      <c r="U629" s="35"/>
      <c r="V629" s="35"/>
      <c r="W629" s="35"/>
      <c r="X629" s="35"/>
      <c r="Y629" s="35"/>
      <c r="Z629" s="35"/>
      <c r="AA629" s="35"/>
    </row>
    <row r="630">
      <c r="A630" s="35"/>
      <c r="B630" s="35"/>
      <c r="C630" s="35"/>
      <c r="D630" s="35"/>
      <c r="E630" s="107"/>
      <c r="F630" s="35"/>
      <c r="G630" s="35"/>
      <c r="H630" s="35"/>
      <c r="I630" s="35"/>
      <c r="J630" s="35"/>
      <c r="K630" s="35"/>
      <c r="L630" s="35"/>
      <c r="M630" s="35"/>
      <c r="N630" s="35"/>
      <c r="O630" s="35"/>
      <c r="P630" s="35"/>
      <c r="Q630" s="35"/>
      <c r="R630" s="35"/>
      <c r="S630" s="35"/>
      <c r="T630" s="35"/>
      <c r="U630" s="35"/>
      <c r="V630" s="35"/>
      <c r="W630" s="35"/>
      <c r="X630" s="35"/>
      <c r="Y630" s="35"/>
      <c r="Z630" s="35"/>
      <c r="AA630" s="35"/>
    </row>
    <row r="631">
      <c r="A631" s="35"/>
      <c r="B631" s="35"/>
      <c r="C631" s="35"/>
      <c r="D631" s="35"/>
      <c r="E631" s="107"/>
      <c r="F631" s="35"/>
      <c r="G631" s="35"/>
      <c r="H631" s="35"/>
      <c r="I631" s="35"/>
      <c r="J631" s="35"/>
      <c r="K631" s="35"/>
      <c r="L631" s="35"/>
      <c r="M631" s="35"/>
      <c r="N631" s="35"/>
      <c r="O631" s="35"/>
      <c r="P631" s="35"/>
      <c r="Q631" s="35"/>
      <c r="R631" s="35"/>
      <c r="S631" s="35"/>
      <c r="T631" s="35"/>
      <c r="U631" s="35"/>
      <c r="V631" s="35"/>
      <c r="W631" s="35"/>
      <c r="X631" s="35"/>
      <c r="Y631" s="35"/>
      <c r="Z631" s="35"/>
      <c r="AA631" s="35"/>
    </row>
    <row r="632">
      <c r="A632" s="35"/>
      <c r="B632" s="35"/>
      <c r="C632" s="35"/>
      <c r="D632" s="35"/>
      <c r="E632" s="107"/>
      <c r="F632" s="35"/>
      <c r="G632" s="35"/>
      <c r="H632" s="35"/>
      <c r="I632" s="35"/>
      <c r="J632" s="35"/>
      <c r="K632" s="35"/>
      <c r="L632" s="35"/>
      <c r="M632" s="35"/>
      <c r="N632" s="35"/>
      <c r="O632" s="35"/>
      <c r="P632" s="35"/>
      <c r="Q632" s="35"/>
      <c r="R632" s="35"/>
      <c r="S632" s="35"/>
      <c r="T632" s="35"/>
      <c r="U632" s="35"/>
      <c r="V632" s="35"/>
      <c r="W632" s="35"/>
      <c r="X632" s="35"/>
      <c r="Y632" s="35"/>
      <c r="Z632" s="35"/>
      <c r="AA632" s="35"/>
    </row>
    <row r="633">
      <c r="A633" s="35"/>
      <c r="B633" s="35"/>
      <c r="C633" s="35"/>
      <c r="D633" s="35"/>
      <c r="E633" s="107"/>
      <c r="F633" s="35"/>
      <c r="G633" s="35"/>
      <c r="H633" s="35"/>
      <c r="I633" s="35"/>
      <c r="J633" s="35"/>
      <c r="K633" s="35"/>
      <c r="L633" s="35"/>
      <c r="M633" s="35"/>
      <c r="N633" s="35"/>
      <c r="O633" s="35"/>
      <c r="P633" s="35"/>
      <c r="Q633" s="35"/>
      <c r="R633" s="35"/>
      <c r="S633" s="35"/>
      <c r="T633" s="35"/>
      <c r="U633" s="35"/>
      <c r="V633" s="35"/>
      <c r="W633" s="35"/>
      <c r="X633" s="35"/>
      <c r="Y633" s="35"/>
      <c r="Z633" s="35"/>
      <c r="AA633" s="35"/>
    </row>
    <row r="634">
      <c r="A634" s="35"/>
      <c r="B634" s="35"/>
      <c r="C634" s="35"/>
      <c r="D634" s="35"/>
      <c r="E634" s="107"/>
      <c r="F634" s="35"/>
      <c r="G634" s="35"/>
      <c r="H634" s="35"/>
      <c r="I634" s="35"/>
      <c r="J634" s="35"/>
      <c r="K634" s="35"/>
      <c r="L634" s="35"/>
      <c r="M634" s="35"/>
      <c r="N634" s="35"/>
      <c r="O634" s="35"/>
      <c r="P634" s="35"/>
      <c r="Q634" s="35"/>
      <c r="R634" s="35"/>
      <c r="S634" s="35"/>
      <c r="T634" s="35"/>
      <c r="U634" s="35"/>
      <c r="V634" s="35"/>
      <c r="W634" s="35"/>
      <c r="X634" s="35"/>
      <c r="Y634" s="35"/>
      <c r="Z634" s="35"/>
      <c r="AA634" s="35"/>
    </row>
    <row r="635">
      <c r="A635" s="35"/>
      <c r="B635" s="35"/>
      <c r="C635" s="35"/>
      <c r="D635" s="35"/>
      <c r="E635" s="107"/>
      <c r="F635" s="35"/>
      <c r="G635" s="35"/>
      <c r="H635" s="35"/>
      <c r="I635" s="35"/>
      <c r="J635" s="35"/>
      <c r="K635" s="35"/>
      <c r="L635" s="35"/>
      <c r="M635" s="35"/>
      <c r="N635" s="35"/>
      <c r="O635" s="35"/>
      <c r="P635" s="35"/>
      <c r="Q635" s="35"/>
      <c r="R635" s="35"/>
      <c r="S635" s="35"/>
      <c r="T635" s="35"/>
      <c r="U635" s="35"/>
      <c r="V635" s="35"/>
      <c r="W635" s="35"/>
      <c r="X635" s="35"/>
      <c r="Y635" s="35"/>
      <c r="Z635" s="35"/>
      <c r="AA635" s="35"/>
    </row>
    <row r="636">
      <c r="A636" s="35"/>
      <c r="B636" s="35"/>
      <c r="C636" s="35"/>
      <c r="D636" s="35"/>
      <c r="E636" s="107"/>
      <c r="F636" s="35"/>
      <c r="G636" s="35"/>
      <c r="H636" s="35"/>
      <c r="I636" s="35"/>
      <c r="J636" s="35"/>
      <c r="K636" s="35"/>
      <c r="L636" s="35"/>
      <c r="M636" s="35"/>
      <c r="N636" s="35"/>
      <c r="O636" s="35"/>
      <c r="P636" s="35"/>
      <c r="Q636" s="35"/>
      <c r="R636" s="35"/>
      <c r="S636" s="35"/>
      <c r="T636" s="35"/>
      <c r="U636" s="35"/>
      <c r="V636" s="35"/>
      <c r="W636" s="35"/>
      <c r="X636" s="35"/>
      <c r="Y636" s="35"/>
      <c r="Z636" s="35"/>
      <c r="AA636" s="35"/>
    </row>
    <row r="637">
      <c r="A637" s="35"/>
      <c r="B637" s="35"/>
      <c r="C637" s="35"/>
      <c r="D637" s="35"/>
      <c r="E637" s="107"/>
      <c r="F637" s="35"/>
      <c r="G637" s="35"/>
      <c r="H637" s="35"/>
      <c r="I637" s="35"/>
      <c r="J637" s="35"/>
      <c r="K637" s="35"/>
      <c r="L637" s="35"/>
      <c r="M637" s="35"/>
      <c r="N637" s="35"/>
      <c r="O637" s="35"/>
      <c r="P637" s="35"/>
      <c r="Q637" s="35"/>
      <c r="R637" s="35"/>
      <c r="S637" s="35"/>
      <c r="T637" s="35"/>
      <c r="U637" s="35"/>
      <c r="V637" s="35"/>
      <c r="W637" s="35"/>
      <c r="X637" s="35"/>
      <c r="Y637" s="35"/>
      <c r="Z637" s="35"/>
      <c r="AA637" s="35"/>
    </row>
    <row r="638">
      <c r="A638" s="35"/>
      <c r="B638" s="35"/>
      <c r="C638" s="35"/>
      <c r="D638" s="35"/>
      <c r="E638" s="107"/>
      <c r="F638" s="35"/>
      <c r="G638" s="35"/>
      <c r="H638" s="35"/>
      <c r="I638" s="35"/>
      <c r="J638" s="35"/>
      <c r="K638" s="35"/>
      <c r="L638" s="35"/>
      <c r="M638" s="35"/>
      <c r="N638" s="35"/>
      <c r="O638" s="35"/>
      <c r="P638" s="35"/>
      <c r="Q638" s="35"/>
      <c r="R638" s="35"/>
      <c r="S638" s="35"/>
      <c r="T638" s="35"/>
      <c r="U638" s="35"/>
      <c r="V638" s="35"/>
      <c r="W638" s="35"/>
      <c r="X638" s="35"/>
      <c r="Y638" s="35"/>
      <c r="Z638" s="35"/>
      <c r="AA638" s="35"/>
    </row>
    <row r="639">
      <c r="A639" s="35"/>
      <c r="B639" s="35"/>
      <c r="C639" s="35"/>
      <c r="D639" s="35"/>
      <c r="E639" s="107"/>
      <c r="F639" s="35"/>
      <c r="G639" s="35"/>
      <c r="H639" s="35"/>
      <c r="I639" s="35"/>
      <c r="J639" s="35"/>
      <c r="K639" s="35"/>
      <c r="L639" s="35"/>
      <c r="M639" s="35"/>
      <c r="N639" s="35"/>
      <c r="O639" s="35"/>
      <c r="P639" s="35"/>
      <c r="Q639" s="35"/>
      <c r="R639" s="35"/>
      <c r="S639" s="35"/>
      <c r="T639" s="35"/>
      <c r="U639" s="35"/>
      <c r="V639" s="35"/>
      <c r="W639" s="35"/>
      <c r="X639" s="35"/>
      <c r="Y639" s="35"/>
      <c r="Z639" s="35"/>
      <c r="AA639" s="35"/>
    </row>
    <row r="640">
      <c r="A640" s="35"/>
      <c r="B640" s="35"/>
      <c r="C640" s="35"/>
      <c r="D640" s="35"/>
      <c r="E640" s="107"/>
      <c r="F640" s="35"/>
      <c r="G640" s="35"/>
      <c r="H640" s="35"/>
      <c r="I640" s="35"/>
      <c r="J640" s="35"/>
      <c r="K640" s="35"/>
      <c r="L640" s="35"/>
      <c r="M640" s="35"/>
      <c r="N640" s="35"/>
      <c r="O640" s="35"/>
      <c r="P640" s="35"/>
      <c r="Q640" s="35"/>
      <c r="R640" s="35"/>
      <c r="S640" s="35"/>
      <c r="T640" s="35"/>
      <c r="U640" s="35"/>
      <c r="V640" s="35"/>
      <c r="W640" s="35"/>
      <c r="X640" s="35"/>
      <c r="Y640" s="35"/>
      <c r="Z640" s="35"/>
      <c r="AA640" s="35"/>
    </row>
    <row r="641">
      <c r="A641" s="35"/>
      <c r="B641" s="35"/>
      <c r="C641" s="35"/>
      <c r="D641" s="35"/>
      <c r="E641" s="107"/>
      <c r="F641" s="35"/>
      <c r="G641" s="35"/>
      <c r="H641" s="35"/>
      <c r="I641" s="35"/>
      <c r="J641" s="35"/>
      <c r="K641" s="35"/>
      <c r="L641" s="35"/>
      <c r="M641" s="35"/>
      <c r="N641" s="35"/>
      <c r="O641" s="35"/>
      <c r="P641" s="35"/>
      <c r="Q641" s="35"/>
      <c r="R641" s="35"/>
      <c r="S641" s="35"/>
      <c r="T641" s="35"/>
      <c r="U641" s="35"/>
      <c r="V641" s="35"/>
      <c r="W641" s="35"/>
      <c r="X641" s="35"/>
      <c r="Y641" s="35"/>
      <c r="Z641" s="35"/>
      <c r="AA641" s="35"/>
    </row>
    <row r="642">
      <c r="A642" s="35"/>
      <c r="B642" s="35"/>
      <c r="C642" s="35"/>
      <c r="D642" s="35"/>
      <c r="E642" s="107"/>
      <c r="F642" s="35"/>
      <c r="G642" s="35"/>
      <c r="H642" s="35"/>
      <c r="I642" s="35"/>
      <c r="J642" s="35"/>
      <c r="K642" s="35"/>
      <c r="L642" s="35"/>
      <c r="M642" s="35"/>
      <c r="N642" s="35"/>
      <c r="O642" s="35"/>
      <c r="P642" s="35"/>
      <c r="Q642" s="35"/>
      <c r="R642" s="35"/>
      <c r="S642" s="35"/>
      <c r="T642" s="35"/>
      <c r="U642" s="35"/>
      <c r="V642" s="35"/>
      <c r="W642" s="35"/>
      <c r="X642" s="35"/>
      <c r="Y642" s="35"/>
      <c r="Z642" s="35"/>
      <c r="AA642" s="35"/>
    </row>
    <row r="643">
      <c r="A643" s="35"/>
      <c r="B643" s="35"/>
      <c r="C643" s="35"/>
      <c r="D643" s="35"/>
      <c r="E643" s="107"/>
      <c r="F643" s="35"/>
      <c r="G643" s="35"/>
      <c r="H643" s="35"/>
      <c r="I643" s="35"/>
      <c r="J643" s="35"/>
      <c r="K643" s="35"/>
      <c r="L643" s="35"/>
      <c r="M643" s="35"/>
      <c r="N643" s="35"/>
      <c r="O643" s="35"/>
      <c r="P643" s="35"/>
      <c r="Q643" s="35"/>
      <c r="R643" s="35"/>
      <c r="S643" s="35"/>
      <c r="T643" s="35"/>
      <c r="U643" s="35"/>
      <c r="V643" s="35"/>
      <c r="W643" s="35"/>
      <c r="X643" s="35"/>
      <c r="Y643" s="35"/>
      <c r="Z643" s="35"/>
      <c r="AA643" s="35"/>
    </row>
    <row r="644">
      <c r="A644" s="35"/>
      <c r="B644" s="35"/>
      <c r="C644" s="35"/>
      <c r="D644" s="35"/>
      <c r="E644" s="107"/>
      <c r="F644" s="35"/>
      <c r="G644" s="35"/>
      <c r="H644" s="35"/>
      <c r="I644" s="35"/>
      <c r="J644" s="35"/>
      <c r="K644" s="35"/>
      <c r="L644" s="35"/>
      <c r="M644" s="35"/>
      <c r="N644" s="35"/>
      <c r="O644" s="35"/>
      <c r="P644" s="35"/>
      <c r="Q644" s="35"/>
      <c r="R644" s="35"/>
      <c r="S644" s="35"/>
      <c r="T644" s="35"/>
      <c r="U644" s="35"/>
      <c r="V644" s="35"/>
      <c r="W644" s="35"/>
      <c r="X644" s="35"/>
      <c r="Y644" s="35"/>
      <c r="Z644" s="35"/>
      <c r="AA644" s="35"/>
    </row>
    <row r="645">
      <c r="A645" s="35"/>
      <c r="B645" s="35"/>
      <c r="C645" s="35"/>
      <c r="D645" s="35"/>
      <c r="E645" s="107"/>
      <c r="F645" s="35"/>
      <c r="G645" s="35"/>
      <c r="H645" s="35"/>
      <c r="I645" s="35"/>
      <c r="J645" s="35"/>
      <c r="K645" s="35"/>
      <c r="L645" s="35"/>
      <c r="M645" s="35"/>
      <c r="N645" s="35"/>
      <c r="O645" s="35"/>
      <c r="P645" s="35"/>
      <c r="Q645" s="35"/>
      <c r="R645" s="35"/>
      <c r="S645" s="35"/>
      <c r="T645" s="35"/>
      <c r="U645" s="35"/>
      <c r="V645" s="35"/>
      <c r="W645" s="35"/>
      <c r="X645" s="35"/>
      <c r="Y645" s="35"/>
      <c r="Z645" s="35"/>
      <c r="AA645" s="35"/>
    </row>
    <row r="646">
      <c r="A646" s="35"/>
      <c r="B646" s="35"/>
      <c r="C646" s="35"/>
      <c r="D646" s="35"/>
      <c r="E646" s="107"/>
      <c r="F646" s="35"/>
      <c r="G646" s="35"/>
      <c r="H646" s="35"/>
      <c r="I646" s="35"/>
      <c r="J646" s="35"/>
      <c r="K646" s="35"/>
      <c r="L646" s="35"/>
      <c r="M646" s="35"/>
      <c r="N646" s="35"/>
      <c r="O646" s="35"/>
      <c r="P646" s="35"/>
      <c r="Q646" s="35"/>
      <c r="R646" s="35"/>
      <c r="S646" s="35"/>
      <c r="T646" s="35"/>
      <c r="U646" s="35"/>
      <c r="V646" s="35"/>
      <c r="W646" s="35"/>
      <c r="X646" s="35"/>
      <c r="Y646" s="35"/>
      <c r="Z646" s="35"/>
      <c r="AA646" s="35"/>
    </row>
    <row r="647">
      <c r="A647" s="35"/>
      <c r="B647" s="35"/>
      <c r="C647" s="35"/>
      <c r="D647" s="35"/>
      <c r="E647" s="107"/>
      <c r="F647" s="35"/>
      <c r="G647" s="35"/>
      <c r="H647" s="35"/>
      <c r="I647" s="35"/>
      <c r="J647" s="35"/>
      <c r="K647" s="35"/>
      <c r="L647" s="35"/>
      <c r="M647" s="35"/>
      <c r="N647" s="35"/>
      <c r="O647" s="35"/>
      <c r="P647" s="35"/>
      <c r="Q647" s="35"/>
      <c r="R647" s="35"/>
      <c r="S647" s="35"/>
      <c r="T647" s="35"/>
      <c r="U647" s="35"/>
      <c r="V647" s="35"/>
      <c r="W647" s="35"/>
      <c r="X647" s="35"/>
      <c r="Y647" s="35"/>
      <c r="Z647" s="35"/>
      <c r="AA647" s="35"/>
    </row>
    <row r="648">
      <c r="A648" s="35"/>
      <c r="B648" s="35"/>
      <c r="C648" s="35"/>
      <c r="D648" s="35"/>
      <c r="E648" s="107"/>
      <c r="F648" s="35"/>
      <c r="G648" s="35"/>
      <c r="H648" s="35"/>
      <c r="I648" s="35"/>
      <c r="J648" s="35"/>
      <c r="K648" s="35"/>
      <c r="L648" s="35"/>
      <c r="M648" s="35"/>
      <c r="N648" s="35"/>
      <c r="O648" s="35"/>
      <c r="P648" s="35"/>
      <c r="Q648" s="35"/>
      <c r="R648" s="35"/>
      <c r="S648" s="35"/>
      <c r="T648" s="35"/>
      <c r="U648" s="35"/>
      <c r="V648" s="35"/>
      <c r="W648" s="35"/>
      <c r="X648" s="35"/>
      <c r="Y648" s="35"/>
      <c r="Z648" s="35"/>
      <c r="AA648" s="35"/>
    </row>
    <row r="649">
      <c r="A649" s="35"/>
      <c r="B649" s="35"/>
      <c r="C649" s="35"/>
      <c r="D649" s="35"/>
      <c r="E649" s="107"/>
      <c r="F649" s="35"/>
      <c r="G649" s="35"/>
      <c r="H649" s="35"/>
      <c r="I649" s="35"/>
      <c r="J649" s="35"/>
      <c r="K649" s="35"/>
      <c r="L649" s="35"/>
      <c r="M649" s="35"/>
      <c r="N649" s="35"/>
      <c r="O649" s="35"/>
      <c r="P649" s="35"/>
      <c r="Q649" s="35"/>
      <c r="R649" s="35"/>
      <c r="S649" s="35"/>
      <c r="T649" s="35"/>
      <c r="U649" s="35"/>
      <c r="V649" s="35"/>
      <c r="W649" s="35"/>
      <c r="X649" s="35"/>
      <c r="Y649" s="35"/>
      <c r="Z649" s="35"/>
      <c r="AA649" s="35"/>
    </row>
    <row r="650">
      <c r="A650" s="35"/>
      <c r="B650" s="35"/>
      <c r="C650" s="35"/>
      <c r="D650" s="35"/>
      <c r="E650" s="107"/>
      <c r="F650" s="35"/>
      <c r="G650" s="35"/>
      <c r="H650" s="35"/>
      <c r="I650" s="35"/>
      <c r="J650" s="35"/>
      <c r="K650" s="35"/>
      <c r="L650" s="35"/>
      <c r="M650" s="35"/>
      <c r="N650" s="35"/>
      <c r="O650" s="35"/>
      <c r="P650" s="35"/>
      <c r="Q650" s="35"/>
      <c r="R650" s="35"/>
      <c r="S650" s="35"/>
      <c r="T650" s="35"/>
      <c r="U650" s="35"/>
      <c r="V650" s="35"/>
      <c r="W650" s="35"/>
      <c r="X650" s="35"/>
      <c r="Y650" s="35"/>
      <c r="Z650" s="35"/>
      <c r="AA650" s="35"/>
    </row>
    <row r="651">
      <c r="A651" s="35"/>
      <c r="B651" s="35"/>
      <c r="C651" s="35"/>
      <c r="D651" s="35"/>
      <c r="E651" s="107"/>
      <c r="F651" s="35"/>
      <c r="G651" s="35"/>
      <c r="H651" s="35"/>
      <c r="I651" s="35"/>
      <c r="J651" s="35"/>
      <c r="K651" s="35"/>
      <c r="L651" s="35"/>
      <c r="M651" s="35"/>
      <c r="N651" s="35"/>
      <c r="O651" s="35"/>
      <c r="P651" s="35"/>
      <c r="Q651" s="35"/>
      <c r="R651" s="35"/>
      <c r="S651" s="35"/>
      <c r="T651" s="35"/>
      <c r="U651" s="35"/>
      <c r="V651" s="35"/>
      <c r="W651" s="35"/>
      <c r="X651" s="35"/>
      <c r="Y651" s="35"/>
      <c r="Z651" s="35"/>
      <c r="AA651" s="35"/>
    </row>
    <row r="652">
      <c r="A652" s="35"/>
      <c r="B652" s="35"/>
      <c r="C652" s="35"/>
      <c r="D652" s="35"/>
      <c r="E652" s="107"/>
      <c r="F652" s="35"/>
      <c r="G652" s="35"/>
      <c r="H652" s="35"/>
      <c r="I652" s="35"/>
      <c r="J652" s="35"/>
      <c r="K652" s="35"/>
      <c r="L652" s="35"/>
      <c r="M652" s="35"/>
      <c r="N652" s="35"/>
      <c r="O652" s="35"/>
      <c r="P652" s="35"/>
      <c r="Q652" s="35"/>
      <c r="R652" s="35"/>
      <c r="S652" s="35"/>
      <c r="T652" s="35"/>
      <c r="U652" s="35"/>
      <c r="V652" s="35"/>
      <c r="W652" s="35"/>
      <c r="X652" s="35"/>
      <c r="Y652" s="35"/>
      <c r="Z652" s="35"/>
      <c r="AA652" s="35"/>
    </row>
    <row r="653">
      <c r="A653" s="35"/>
      <c r="B653" s="35"/>
      <c r="C653" s="35"/>
      <c r="D653" s="35"/>
      <c r="E653" s="107"/>
      <c r="F653" s="35"/>
      <c r="G653" s="35"/>
      <c r="H653" s="35"/>
      <c r="I653" s="35"/>
      <c r="J653" s="35"/>
      <c r="K653" s="35"/>
      <c r="L653" s="35"/>
      <c r="M653" s="35"/>
      <c r="N653" s="35"/>
      <c r="O653" s="35"/>
      <c r="P653" s="35"/>
      <c r="Q653" s="35"/>
      <c r="R653" s="35"/>
      <c r="S653" s="35"/>
      <c r="T653" s="35"/>
      <c r="U653" s="35"/>
      <c r="V653" s="35"/>
      <c r="W653" s="35"/>
      <c r="X653" s="35"/>
      <c r="Y653" s="35"/>
      <c r="Z653" s="35"/>
      <c r="AA653" s="35"/>
    </row>
    <row r="654">
      <c r="A654" s="35"/>
      <c r="B654" s="35"/>
      <c r="C654" s="35"/>
      <c r="D654" s="35"/>
      <c r="E654" s="107"/>
      <c r="F654" s="35"/>
      <c r="G654" s="35"/>
      <c r="H654" s="35"/>
      <c r="I654" s="35"/>
      <c r="J654" s="35"/>
      <c r="K654" s="35"/>
      <c r="L654" s="35"/>
      <c r="M654" s="35"/>
      <c r="N654" s="35"/>
      <c r="O654" s="35"/>
      <c r="P654" s="35"/>
      <c r="Q654" s="35"/>
      <c r="R654" s="35"/>
      <c r="S654" s="35"/>
      <c r="T654" s="35"/>
      <c r="U654" s="35"/>
      <c r="V654" s="35"/>
      <c r="W654" s="35"/>
      <c r="X654" s="35"/>
      <c r="Y654" s="35"/>
      <c r="Z654" s="35"/>
      <c r="AA654" s="35"/>
    </row>
    <row r="655">
      <c r="A655" s="35"/>
      <c r="B655" s="35"/>
      <c r="C655" s="35"/>
      <c r="D655" s="35"/>
      <c r="E655" s="107"/>
      <c r="F655" s="35"/>
      <c r="G655" s="35"/>
      <c r="H655" s="35"/>
      <c r="I655" s="35"/>
      <c r="J655" s="35"/>
      <c r="K655" s="35"/>
      <c r="L655" s="35"/>
      <c r="M655" s="35"/>
      <c r="N655" s="35"/>
      <c r="O655" s="35"/>
      <c r="P655" s="35"/>
      <c r="Q655" s="35"/>
      <c r="R655" s="35"/>
      <c r="S655" s="35"/>
      <c r="T655" s="35"/>
      <c r="U655" s="35"/>
      <c r="V655" s="35"/>
      <c r="W655" s="35"/>
      <c r="X655" s="35"/>
      <c r="Y655" s="35"/>
      <c r="Z655" s="35"/>
      <c r="AA655" s="35"/>
    </row>
    <row r="656">
      <c r="A656" s="35"/>
      <c r="B656" s="35"/>
      <c r="C656" s="35"/>
      <c r="D656" s="35"/>
      <c r="E656" s="107"/>
      <c r="F656" s="35"/>
      <c r="G656" s="35"/>
      <c r="H656" s="35"/>
      <c r="I656" s="35"/>
      <c r="J656" s="35"/>
      <c r="K656" s="35"/>
      <c r="L656" s="35"/>
      <c r="M656" s="35"/>
      <c r="N656" s="35"/>
      <c r="O656" s="35"/>
      <c r="P656" s="35"/>
      <c r="Q656" s="35"/>
      <c r="R656" s="35"/>
      <c r="S656" s="35"/>
      <c r="T656" s="35"/>
      <c r="U656" s="35"/>
      <c r="V656" s="35"/>
      <c r="W656" s="35"/>
      <c r="X656" s="35"/>
      <c r="Y656" s="35"/>
      <c r="Z656" s="35"/>
      <c r="AA656" s="35"/>
    </row>
    <row r="657">
      <c r="A657" s="35"/>
      <c r="B657" s="35"/>
      <c r="C657" s="35"/>
      <c r="D657" s="35"/>
      <c r="E657" s="107"/>
      <c r="F657" s="35"/>
      <c r="G657" s="35"/>
      <c r="H657" s="35"/>
      <c r="I657" s="35"/>
      <c r="J657" s="35"/>
      <c r="K657" s="35"/>
      <c r="L657" s="35"/>
      <c r="M657" s="35"/>
      <c r="N657" s="35"/>
      <c r="O657" s="35"/>
      <c r="P657" s="35"/>
      <c r="Q657" s="35"/>
      <c r="R657" s="35"/>
      <c r="S657" s="35"/>
      <c r="T657" s="35"/>
      <c r="U657" s="35"/>
      <c r="V657" s="35"/>
      <c r="W657" s="35"/>
      <c r="X657" s="35"/>
      <c r="Y657" s="35"/>
      <c r="Z657" s="35"/>
      <c r="AA657" s="35"/>
    </row>
    <row r="658">
      <c r="A658" s="35"/>
      <c r="B658" s="35"/>
      <c r="C658" s="35"/>
      <c r="D658" s="35"/>
      <c r="E658" s="107"/>
      <c r="F658" s="35"/>
      <c r="G658" s="35"/>
      <c r="H658" s="35"/>
      <c r="I658" s="35"/>
      <c r="J658" s="35"/>
      <c r="K658" s="35"/>
      <c r="L658" s="35"/>
      <c r="M658" s="35"/>
      <c r="N658" s="35"/>
      <c r="O658" s="35"/>
      <c r="P658" s="35"/>
      <c r="Q658" s="35"/>
      <c r="R658" s="35"/>
      <c r="S658" s="35"/>
      <c r="T658" s="35"/>
      <c r="U658" s="35"/>
      <c r="V658" s="35"/>
      <c r="W658" s="35"/>
      <c r="X658" s="35"/>
      <c r="Y658" s="35"/>
      <c r="Z658" s="35"/>
      <c r="AA658" s="35"/>
    </row>
    <row r="659">
      <c r="A659" s="35"/>
      <c r="B659" s="35"/>
      <c r="C659" s="35"/>
      <c r="D659" s="35"/>
      <c r="E659" s="107"/>
      <c r="F659" s="35"/>
      <c r="G659" s="35"/>
      <c r="H659" s="35"/>
      <c r="I659" s="35"/>
      <c r="J659" s="35"/>
      <c r="K659" s="35"/>
      <c r="L659" s="35"/>
      <c r="M659" s="35"/>
      <c r="N659" s="35"/>
      <c r="O659" s="35"/>
      <c r="P659" s="35"/>
      <c r="Q659" s="35"/>
      <c r="R659" s="35"/>
      <c r="S659" s="35"/>
      <c r="T659" s="35"/>
      <c r="U659" s="35"/>
      <c r="V659" s="35"/>
      <c r="W659" s="35"/>
      <c r="X659" s="35"/>
      <c r="Y659" s="35"/>
      <c r="Z659" s="35"/>
      <c r="AA659" s="35"/>
    </row>
    <row r="660">
      <c r="A660" s="35"/>
      <c r="B660" s="35"/>
      <c r="C660" s="35"/>
      <c r="D660" s="35"/>
      <c r="E660" s="107"/>
      <c r="F660" s="35"/>
      <c r="G660" s="35"/>
      <c r="H660" s="35"/>
      <c r="I660" s="35"/>
      <c r="J660" s="35"/>
      <c r="K660" s="35"/>
      <c r="L660" s="35"/>
      <c r="M660" s="35"/>
      <c r="N660" s="35"/>
      <c r="O660" s="35"/>
      <c r="P660" s="35"/>
      <c r="Q660" s="35"/>
      <c r="R660" s="35"/>
      <c r="S660" s="35"/>
      <c r="T660" s="35"/>
      <c r="U660" s="35"/>
      <c r="V660" s="35"/>
      <c r="W660" s="35"/>
      <c r="X660" s="35"/>
      <c r="Y660" s="35"/>
      <c r="Z660" s="35"/>
      <c r="AA660" s="35"/>
    </row>
    <row r="661">
      <c r="A661" s="35"/>
      <c r="B661" s="35"/>
      <c r="C661" s="35"/>
      <c r="D661" s="35"/>
      <c r="E661" s="107"/>
      <c r="F661" s="35"/>
      <c r="G661" s="35"/>
      <c r="H661" s="35"/>
      <c r="I661" s="35"/>
      <c r="J661" s="35"/>
      <c r="K661" s="35"/>
      <c r="L661" s="35"/>
      <c r="M661" s="35"/>
      <c r="N661" s="35"/>
      <c r="O661" s="35"/>
      <c r="P661" s="35"/>
      <c r="Q661" s="35"/>
      <c r="R661" s="35"/>
      <c r="S661" s="35"/>
      <c r="T661" s="35"/>
      <c r="U661" s="35"/>
      <c r="V661" s="35"/>
      <c r="W661" s="35"/>
      <c r="X661" s="35"/>
      <c r="Y661" s="35"/>
      <c r="Z661" s="35"/>
      <c r="AA661" s="35"/>
    </row>
    <row r="662">
      <c r="A662" s="35"/>
      <c r="B662" s="35"/>
      <c r="C662" s="35"/>
      <c r="D662" s="35"/>
      <c r="E662" s="107"/>
      <c r="F662" s="35"/>
      <c r="G662" s="35"/>
      <c r="H662" s="35"/>
      <c r="I662" s="35"/>
      <c r="J662" s="35"/>
      <c r="K662" s="35"/>
      <c r="L662" s="35"/>
      <c r="M662" s="35"/>
      <c r="N662" s="35"/>
      <c r="O662" s="35"/>
      <c r="P662" s="35"/>
      <c r="Q662" s="35"/>
      <c r="R662" s="35"/>
      <c r="S662" s="35"/>
      <c r="T662" s="35"/>
      <c r="U662" s="35"/>
      <c r="V662" s="35"/>
      <c r="W662" s="35"/>
      <c r="X662" s="35"/>
      <c r="Y662" s="35"/>
      <c r="Z662" s="35"/>
      <c r="AA662" s="35"/>
    </row>
    <row r="663">
      <c r="A663" s="35"/>
      <c r="B663" s="35"/>
      <c r="C663" s="35"/>
      <c r="D663" s="35"/>
      <c r="E663" s="107"/>
      <c r="F663" s="35"/>
      <c r="G663" s="35"/>
      <c r="H663" s="35"/>
      <c r="I663" s="35"/>
      <c r="J663" s="35"/>
      <c r="K663" s="35"/>
      <c r="L663" s="35"/>
      <c r="M663" s="35"/>
      <c r="N663" s="35"/>
      <c r="O663" s="35"/>
      <c r="P663" s="35"/>
      <c r="Q663" s="35"/>
      <c r="R663" s="35"/>
      <c r="S663" s="35"/>
      <c r="T663" s="35"/>
      <c r="U663" s="35"/>
      <c r="V663" s="35"/>
      <c r="W663" s="35"/>
      <c r="X663" s="35"/>
      <c r="Y663" s="35"/>
      <c r="Z663" s="35"/>
      <c r="AA663" s="35"/>
    </row>
    <row r="664">
      <c r="A664" s="35"/>
      <c r="B664" s="35"/>
      <c r="C664" s="35"/>
      <c r="D664" s="35"/>
      <c r="E664" s="107"/>
      <c r="F664" s="35"/>
      <c r="G664" s="35"/>
      <c r="H664" s="35"/>
      <c r="I664" s="35"/>
      <c r="J664" s="35"/>
      <c r="K664" s="35"/>
      <c r="L664" s="35"/>
      <c r="M664" s="35"/>
      <c r="N664" s="35"/>
      <c r="O664" s="35"/>
      <c r="P664" s="35"/>
      <c r="Q664" s="35"/>
      <c r="R664" s="35"/>
      <c r="S664" s="35"/>
      <c r="T664" s="35"/>
      <c r="U664" s="35"/>
      <c r="V664" s="35"/>
      <c r="W664" s="35"/>
      <c r="X664" s="35"/>
      <c r="Y664" s="35"/>
      <c r="Z664" s="35"/>
      <c r="AA664" s="35"/>
    </row>
    <row r="665">
      <c r="A665" s="35"/>
      <c r="B665" s="35"/>
      <c r="C665" s="35"/>
      <c r="D665" s="35"/>
      <c r="E665" s="107"/>
      <c r="F665" s="35"/>
      <c r="G665" s="35"/>
      <c r="H665" s="35"/>
      <c r="I665" s="35"/>
      <c r="J665" s="35"/>
      <c r="K665" s="35"/>
      <c r="L665" s="35"/>
      <c r="M665" s="35"/>
      <c r="N665" s="35"/>
      <c r="O665" s="35"/>
      <c r="P665" s="35"/>
      <c r="Q665" s="35"/>
      <c r="R665" s="35"/>
      <c r="S665" s="35"/>
      <c r="T665" s="35"/>
      <c r="U665" s="35"/>
      <c r="V665" s="35"/>
      <c r="W665" s="35"/>
      <c r="X665" s="35"/>
      <c r="Y665" s="35"/>
      <c r="Z665" s="35"/>
      <c r="AA665" s="35"/>
    </row>
    <row r="666">
      <c r="A666" s="35"/>
      <c r="B666" s="35"/>
      <c r="C666" s="35"/>
      <c r="D666" s="35"/>
      <c r="E666" s="107"/>
      <c r="F666" s="35"/>
      <c r="G666" s="35"/>
      <c r="H666" s="35"/>
      <c r="I666" s="35"/>
      <c r="J666" s="35"/>
      <c r="K666" s="35"/>
      <c r="L666" s="35"/>
      <c r="M666" s="35"/>
      <c r="N666" s="35"/>
      <c r="O666" s="35"/>
      <c r="P666" s="35"/>
      <c r="Q666" s="35"/>
      <c r="R666" s="35"/>
      <c r="S666" s="35"/>
      <c r="T666" s="35"/>
      <c r="U666" s="35"/>
      <c r="V666" s="35"/>
      <c r="W666" s="35"/>
      <c r="X666" s="35"/>
      <c r="Y666" s="35"/>
      <c r="Z666" s="35"/>
      <c r="AA666" s="35"/>
    </row>
    <row r="667">
      <c r="A667" s="35"/>
      <c r="B667" s="35"/>
      <c r="C667" s="35"/>
      <c r="D667" s="35"/>
      <c r="E667" s="107"/>
      <c r="F667" s="35"/>
      <c r="G667" s="35"/>
      <c r="H667" s="35"/>
      <c r="I667" s="35"/>
      <c r="J667" s="35"/>
      <c r="K667" s="35"/>
      <c r="L667" s="35"/>
      <c r="M667" s="35"/>
      <c r="N667" s="35"/>
      <c r="O667" s="35"/>
      <c r="P667" s="35"/>
      <c r="Q667" s="35"/>
      <c r="R667" s="35"/>
      <c r="S667" s="35"/>
      <c r="T667" s="35"/>
      <c r="U667" s="35"/>
      <c r="V667" s="35"/>
      <c r="W667" s="35"/>
      <c r="X667" s="35"/>
      <c r="Y667" s="35"/>
      <c r="Z667" s="35"/>
      <c r="AA667" s="35"/>
    </row>
    <row r="668">
      <c r="A668" s="35"/>
      <c r="B668" s="35"/>
      <c r="C668" s="35"/>
      <c r="D668" s="35"/>
      <c r="E668" s="107"/>
      <c r="F668" s="35"/>
      <c r="G668" s="35"/>
      <c r="H668" s="35"/>
      <c r="I668" s="35"/>
      <c r="J668" s="35"/>
      <c r="K668" s="35"/>
      <c r="L668" s="35"/>
      <c r="M668" s="35"/>
      <c r="N668" s="35"/>
      <c r="O668" s="35"/>
      <c r="P668" s="35"/>
      <c r="Q668" s="35"/>
      <c r="R668" s="35"/>
      <c r="S668" s="35"/>
      <c r="T668" s="35"/>
      <c r="U668" s="35"/>
      <c r="V668" s="35"/>
      <c r="W668" s="35"/>
      <c r="X668" s="35"/>
      <c r="Y668" s="35"/>
      <c r="Z668" s="35"/>
      <c r="AA668" s="35"/>
    </row>
    <row r="669">
      <c r="A669" s="35"/>
      <c r="B669" s="35"/>
      <c r="C669" s="35"/>
      <c r="D669" s="35"/>
      <c r="E669" s="107"/>
      <c r="F669" s="35"/>
      <c r="G669" s="35"/>
      <c r="H669" s="35"/>
      <c r="I669" s="35"/>
      <c r="J669" s="35"/>
      <c r="K669" s="35"/>
      <c r="L669" s="35"/>
      <c r="M669" s="35"/>
      <c r="N669" s="35"/>
      <c r="O669" s="35"/>
      <c r="P669" s="35"/>
      <c r="Q669" s="35"/>
      <c r="R669" s="35"/>
      <c r="S669" s="35"/>
      <c r="T669" s="35"/>
      <c r="U669" s="35"/>
      <c r="V669" s="35"/>
      <c r="W669" s="35"/>
      <c r="X669" s="35"/>
      <c r="Y669" s="35"/>
      <c r="Z669" s="35"/>
      <c r="AA669" s="35"/>
    </row>
    <row r="670">
      <c r="A670" s="35"/>
      <c r="B670" s="35"/>
      <c r="C670" s="35"/>
      <c r="D670" s="35"/>
      <c r="E670" s="107"/>
      <c r="F670" s="35"/>
      <c r="G670" s="35"/>
      <c r="H670" s="35"/>
      <c r="I670" s="35"/>
      <c r="J670" s="35"/>
      <c r="K670" s="35"/>
      <c r="L670" s="35"/>
      <c r="M670" s="35"/>
      <c r="N670" s="35"/>
      <c r="O670" s="35"/>
      <c r="P670" s="35"/>
      <c r="Q670" s="35"/>
      <c r="R670" s="35"/>
      <c r="S670" s="35"/>
      <c r="T670" s="35"/>
      <c r="U670" s="35"/>
      <c r="V670" s="35"/>
      <c r="W670" s="35"/>
      <c r="X670" s="35"/>
      <c r="Y670" s="35"/>
      <c r="Z670" s="35"/>
      <c r="AA670" s="35"/>
    </row>
    <row r="671">
      <c r="A671" s="35"/>
      <c r="B671" s="35"/>
      <c r="C671" s="35"/>
      <c r="D671" s="35"/>
      <c r="E671" s="107"/>
      <c r="F671" s="35"/>
      <c r="G671" s="35"/>
      <c r="H671" s="35"/>
      <c r="I671" s="35"/>
      <c r="J671" s="35"/>
      <c r="K671" s="35"/>
      <c r="L671" s="35"/>
      <c r="M671" s="35"/>
      <c r="N671" s="35"/>
      <c r="O671" s="35"/>
      <c r="P671" s="35"/>
      <c r="Q671" s="35"/>
      <c r="R671" s="35"/>
      <c r="S671" s="35"/>
      <c r="T671" s="35"/>
      <c r="U671" s="35"/>
      <c r="V671" s="35"/>
      <c r="W671" s="35"/>
      <c r="X671" s="35"/>
      <c r="Y671" s="35"/>
      <c r="Z671" s="35"/>
      <c r="AA671" s="35"/>
    </row>
    <row r="672">
      <c r="A672" s="35"/>
      <c r="B672" s="35"/>
      <c r="C672" s="35"/>
      <c r="D672" s="35"/>
      <c r="E672" s="107"/>
      <c r="F672" s="35"/>
      <c r="G672" s="35"/>
      <c r="H672" s="35"/>
      <c r="I672" s="35"/>
      <c r="J672" s="35"/>
      <c r="K672" s="35"/>
      <c r="L672" s="35"/>
      <c r="M672" s="35"/>
      <c r="N672" s="35"/>
      <c r="O672" s="35"/>
      <c r="P672" s="35"/>
      <c r="Q672" s="35"/>
      <c r="R672" s="35"/>
      <c r="S672" s="35"/>
      <c r="T672" s="35"/>
      <c r="U672" s="35"/>
      <c r="V672" s="35"/>
      <c r="W672" s="35"/>
      <c r="X672" s="35"/>
      <c r="Y672" s="35"/>
      <c r="Z672" s="35"/>
      <c r="AA672" s="35"/>
    </row>
    <row r="673">
      <c r="A673" s="35"/>
      <c r="B673" s="35"/>
      <c r="C673" s="35"/>
      <c r="D673" s="35"/>
      <c r="E673" s="107"/>
      <c r="F673" s="35"/>
      <c r="G673" s="35"/>
      <c r="H673" s="35"/>
      <c r="I673" s="35"/>
      <c r="J673" s="35"/>
      <c r="K673" s="35"/>
      <c r="L673" s="35"/>
      <c r="M673" s="35"/>
      <c r="N673" s="35"/>
      <c r="O673" s="35"/>
      <c r="P673" s="35"/>
      <c r="Q673" s="35"/>
      <c r="R673" s="35"/>
      <c r="S673" s="35"/>
      <c r="T673" s="35"/>
      <c r="U673" s="35"/>
      <c r="V673" s="35"/>
      <c r="W673" s="35"/>
      <c r="X673" s="35"/>
      <c r="Y673" s="35"/>
      <c r="Z673" s="35"/>
      <c r="AA673" s="35"/>
    </row>
    <row r="674">
      <c r="A674" s="35"/>
      <c r="B674" s="35"/>
      <c r="C674" s="35"/>
      <c r="D674" s="35"/>
      <c r="E674" s="107"/>
      <c r="F674" s="35"/>
      <c r="G674" s="35"/>
      <c r="H674" s="35"/>
      <c r="I674" s="35"/>
      <c r="J674" s="35"/>
      <c r="K674" s="35"/>
      <c r="L674" s="35"/>
      <c r="M674" s="35"/>
      <c r="N674" s="35"/>
      <c r="O674" s="35"/>
      <c r="P674" s="35"/>
      <c r="Q674" s="35"/>
      <c r="R674" s="35"/>
      <c r="S674" s="35"/>
      <c r="T674" s="35"/>
      <c r="U674" s="35"/>
      <c r="V674" s="35"/>
      <c r="W674" s="35"/>
      <c r="X674" s="35"/>
      <c r="Y674" s="35"/>
      <c r="Z674" s="35"/>
      <c r="AA674" s="35"/>
    </row>
    <row r="675">
      <c r="A675" s="35"/>
      <c r="B675" s="35"/>
      <c r="C675" s="35"/>
      <c r="D675" s="35"/>
      <c r="E675" s="107"/>
      <c r="F675" s="35"/>
      <c r="G675" s="35"/>
      <c r="H675" s="35"/>
      <c r="I675" s="35"/>
      <c r="J675" s="35"/>
      <c r="K675" s="35"/>
      <c r="L675" s="35"/>
      <c r="M675" s="35"/>
      <c r="N675" s="35"/>
      <c r="O675" s="35"/>
      <c r="P675" s="35"/>
      <c r="Q675" s="35"/>
      <c r="R675" s="35"/>
      <c r="S675" s="35"/>
      <c r="T675" s="35"/>
      <c r="U675" s="35"/>
      <c r="V675" s="35"/>
      <c r="W675" s="35"/>
      <c r="X675" s="35"/>
      <c r="Y675" s="35"/>
      <c r="Z675" s="35"/>
      <c r="AA675" s="35"/>
    </row>
    <row r="676">
      <c r="A676" s="35"/>
      <c r="B676" s="35"/>
      <c r="C676" s="35"/>
      <c r="D676" s="35"/>
      <c r="E676" s="107"/>
      <c r="F676" s="35"/>
      <c r="G676" s="35"/>
      <c r="H676" s="35"/>
      <c r="I676" s="35"/>
      <c r="J676" s="35"/>
      <c r="K676" s="35"/>
      <c r="L676" s="35"/>
      <c r="M676" s="35"/>
      <c r="N676" s="35"/>
      <c r="O676" s="35"/>
      <c r="P676" s="35"/>
      <c r="Q676" s="35"/>
      <c r="R676" s="35"/>
      <c r="S676" s="35"/>
      <c r="T676" s="35"/>
      <c r="U676" s="35"/>
      <c r="V676" s="35"/>
      <c r="W676" s="35"/>
      <c r="X676" s="35"/>
      <c r="Y676" s="35"/>
      <c r="Z676" s="35"/>
      <c r="AA676" s="35"/>
    </row>
    <row r="677">
      <c r="A677" s="35"/>
      <c r="B677" s="35"/>
      <c r="C677" s="35"/>
      <c r="D677" s="35"/>
      <c r="E677" s="107"/>
      <c r="F677" s="35"/>
      <c r="G677" s="35"/>
      <c r="H677" s="35"/>
      <c r="I677" s="35"/>
      <c r="J677" s="35"/>
      <c r="K677" s="35"/>
      <c r="L677" s="35"/>
      <c r="M677" s="35"/>
      <c r="N677" s="35"/>
      <c r="O677" s="35"/>
      <c r="P677" s="35"/>
      <c r="Q677" s="35"/>
      <c r="R677" s="35"/>
      <c r="S677" s="35"/>
      <c r="T677" s="35"/>
      <c r="U677" s="35"/>
      <c r="V677" s="35"/>
      <c r="W677" s="35"/>
      <c r="X677" s="35"/>
      <c r="Y677" s="35"/>
      <c r="Z677" s="35"/>
      <c r="AA677" s="35"/>
    </row>
    <row r="678">
      <c r="A678" s="35"/>
      <c r="B678" s="35"/>
      <c r="C678" s="35"/>
      <c r="D678" s="35"/>
      <c r="E678" s="107"/>
      <c r="F678" s="35"/>
      <c r="G678" s="35"/>
      <c r="H678" s="35"/>
      <c r="I678" s="35"/>
      <c r="J678" s="35"/>
      <c r="K678" s="35"/>
      <c r="L678" s="35"/>
      <c r="M678" s="35"/>
      <c r="N678" s="35"/>
      <c r="O678" s="35"/>
      <c r="P678" s="35"/>
      <c r="Q678" s="35"/>
      <c r="R678" s="35"/>
      <c r="S678" s="35"/>
      <c r="T678" s="35"/>
      <c r="U678" s="35"/>
      <c r="V678" s="35"/>
      <c r="W678" s="35"/>
      <c r="X678" s="35"/>
      <c r="Y678" s="35"/>
      <c r="Z678" s="35"/>
      <c r="AA678" s="35"/>
    </row>
    <row r="679">
      <c r="A679" s="35"/>
      <c r="B679" s="35"/>
      <c r="C679" s="35"/>
      <c r="D679" s="35"/>
      <c r="E679" s="107"/>
      <c r="F679" s="35"/>
      <c r="G679" s="35"/>
      <c r="H679" s="35"/>
      <c r="I679" s="35"/>
      <c r="J679" s="35"/>
      <c r="K679" s="35"/>
      <c r="L679" s="35"/>
      <c r="M679" s="35"/>
      <c r="N679" s="35"/>
      <c r="O679" s="35"/>
      <c r="P679" s="35"/>
      <c r="Q679" s="35"/>
      <c r="R679" s="35"/>
      <c r="S679" s="35"/>
      <c r="T679" s="35"/>
      <c r="U679" s="35"/>
      <c r="V679" s="35"/>
      <c r="W679" s="35"/>
      <c r="X679" s="35"/>
      <c r="Y679" s="35"/>
      <c r="Z679" s="35"/>
      <c r="AA679" s="35"/>
    </row>
    <row r="680">
      <c r="A680" s="35"/>
      <c r="B680" s="35"/>
      <c r="C680" s="35"/>
      <c r="D680" s="35"/>
      <c r="E680" s="107"/>
      <c r="F680" s="35"/>
      <c r="G680" s="35"/>
      <c r="H680" s="35"/>
      <c r="I680" s="35"/>
      <c r="J680" s="35"/>
      <c r="K680" s="35"/>
      <c r="L680" s="35"/>
      <c r="M680" s="35"/>
      <c r="N680" s="35"/>
      <c r="O680" s="35"/>
      <c r="P680" s="35"/>
      <c r="Q680" s="35"/>
      <c r="R680" s="35"/>
      <c r="S680" s="35"/>
      <c r="T680" s="35"/>
      <c r="U680" s="35"/>
      <c r="V680" s="35"/>
      <c r="W680" s="35"/>
      <c r="X680" s="35"/>
      <c r="Y680" s="35"/>
      <c r="Z680" s="35"/>
      <c r="AA680" s="35"/>
    </row>
    <row r="681">
      <c r="A681" s="35"/>
      <c r="B681" s="35"/>
      <c r="C681" s="35"/>
      <c r="D681" s="35"/>
      <c r="E681" s="107"/>
      <c r="F681" s="35"/>
      <c r="G681" s="35"/>
      <c r="H681" s="35"/>
      <c r="I681" s="35"/>
      <c r="J681" s="35"/>
      <c r="K681" s="35"/>
      <c r="L681" s="35"/>
      <c r="M681" s="35"/>
      <c r="N681" s="35"/>
      <c r="O681" s="35"/>
      <c r="P681" s="35"/>
      <c r="Q681" s="35"/>
      <c r="R681" s="35"/>
      <c r="S681" s="35"/>
      <c r="T681" s="35"/>
      <c r="U681" s="35"/>
      <c r="V681" s="35"/>
      <c r="W681" s="35"/>
      <c r="X681" s="35"/>
      <c r="Y681" s="35"/>
      <c r="Z681" s="35"/>
      <c r="AA681" s="35"/>
    </row>
    <row r="682">
      <c r="A682" s="35"/>
      <c r="B682" s="35"/>
      <c r="C682" s="35"/>
      <c r="D682" s="35"/>
      <c r="E682" s="107"/>
      <c r="F682" s="35"/>
      <c r="G682" s="35"/>
      <c r="H682" s="35"/>
      <c r="I682" s="35"/>
      <c r="J682" s="35"/>
      <c r="K682" s="35"/>
      <c r="L682" s="35"/>
      <c r="M682" s="35"/>
      <c r="N682" s="35"/>
      <c r="O682" s="35"/>
      <c r="P682" s="35"/>
      <c r="Q682" s="35"/>
      <c r="R682" s="35"/>
      <c r="S682" s="35"/>
      <c r="T682" s="35"/>
      <c r="U682" s="35"/>
      <c r="V682" s="35"/>
      <c r="W682" s="35"/>
      <c r="X682" s="35"/>
      <c r="Y682" s="35"/>
      <c r="Z682" s="35"/>
      <c r="AA682" s="35"/>
    </row>
    <row r="683">
      <c r="A683" s="35"/>
      <c r="B683" s="35"/>
      <c r="C683" s="35"/>
      <c r="D683" s="35"/>
      <c r="E683" s="107"/>
      <c r="F683" s="35"/>
      <c r="G683" s="35"/>
      <c r="H683" s="35"/>
      <c r="I683" s="35"/>
      <c r="J683" s="35"/>
      <c r="K683" s="35"/>
      <c r="L683" s="35"/>
      <c r="M683" s="35"/>
      <c r="N683" s="35"/>
      <c r="O683" s="35"/>
      <c r="P683" s="35"/>
      <c r="Q683" s="35"/>
      <c r="R683" s="35"/>
      <c r="S683" s="35"/>
      <c r="T683" s="35"/>
      <c r="U683" s="35"/>
      <c r="V683" s="35"/>
      <c r="W683" s="35"/>
      <c r="X683" s="35"/>
      <c r="Y683" s="35"/>
      <c r="Z683" s="35"/>
      <c r="AA683" s="35"/>
    </row>
    <row r="684">
      <c r="A684" s="35"/>
      <c r="B684" s="35"/>
      <c r="C684" s="35"/>
      <c r="D684" s="35"/>
      <c r="E684" s="107"/>
      <c r="F684" s="35"/>
      <c r="G684" s="35"/>
      <c r="H684" s="35"/>
      <c r="I684" s="35"/>
      <c r="J684" s="35"/>
      <c r="K684" s="35"/>
      <c r="L684" s="35"/>
      <c r="M684" s="35"/>
      <c r="N684" s="35"/>
      <c r="O684" s="35"/>
      <c r="P684" s="35"/>
      <c r="Q684" s="35"/>
      <c r="R684" s="35"/>
      <c r="S684" s="35"/>
      <c r="T684" s="35"/>
      <c r="U684" s="35"/>
      <c r="V684" s="35"/>
      <c r="W684" s="35"/>
      <c r="X684" s="35"/>
      <c r="Y684" s="35"/>
      <c r="Z684" s="35"/>
      <c r="AA684" s="35"/>
    </row>
    <row r="685">
      <c r="A685" s="35"/>
      <c r="B685" s="35"/>
      <c r="C685" s="35"/>
      <c r="D685" s="35"/>
      <c r="E685" s="107"/>
      <c r="F685" s="35"/>
      <c r="G685" s="35"/>
      <c r="H685" s="35"/>
      <c r="I685" s="35"/>
      <c r="J685" s="35"/>
      <c r="K685" s="35"/>
      <c r="L685" s="35"/>
      <c r="M685" s="35"/>
      <c r="N685" s="35"/>
      <c r="O685" s="35"/>
      <c r="P685" s="35"/>
      <c r="Q685" s="35"/>
      <c r="R685" s="35"/>
      <c r="S685" s="35"/>
      <c r="T685" s="35"/>
      <c r="U685" s="35"/>
      <c r="V685" s="35"/>
      <c r="W685" s="35"/>
      <c r="X685" s="35"/>
      <c r="Y685" s="35"/>
      <c r="Z685" s="35"/>
      <c r="AA685" s="35"/>
    </row>
    <row r="686">
      <c r="A686" s="35"/>
      <c r="B686" s="35"/>
      <c r="C686" s="35"/>
      <c r="D686" s="35"/>
      <c r="E686" s="107"/>
      <c r="F686" s="35"/>
      <c r="G686" s="35"/>
      <c r="H686" s="35"/>
      <c r="I686" s="35"/>
      <c r="J686" s="35"/>
      <c r="K686" s="35"/>
      <c r="L686" s="35"/>
      <c r="M686" s="35"/>
      <c r="N686" s="35"/>
      <c r="O686" s="35"/>
      <c r="P686" s="35"/>
      <c r="Q686" s="35"/>
      <c r="R686" s="35"/>
      <c r="S686" s="35"/>
      <c r="T686" s="35"/>
      <c r="U686" s="35"/>
      <c r="V686" s="35"/>
      <c r="W686" s="35"/>
      <c r="X686" s="35"/>
      <c r="Y686" s="35"/>
      <c r="Z686" s="35"/>
      <c r="AA686" s="35"/>
    </row>
    <row r="687">
      <c r="A687" s="35"/>
      <c r="B687" s="35"/>
      <c r="C687" s="35"/>
      <c r="D687" s="35"/>
      <c r="E687" s="107"/>
      <c r="F687" s="35"/>
      <c r="G687" s="35"/>
      <c r="H687" s="35"/>
      <c r="I687" s="35"/>
      <c r="J687" s="35"/>
      <c r="K687" s="35"/>
      <c r="L687" s="35"/>
      <c r="M687" s="35"/>
      <c r="N687" s="35"/>
      <c r="O687" s="35"/>
      <c r="P687" s="35"/>
      <c r="Q687" s="35"/>
      <c r="R687" s="35"/>
      <c r="S687" s="35"/>
      <c r="T687" s="35"/>
      <c r="U687" s="35"/>
      <c r="V687" s="35"/>
      <c r="W687" s="35"/>
      <c r="X687" s="35"/>
      <c r="Y687" s="35"/>
      <c r="Z687" s="35"/>
      <c r="AA687" s="35"/>
    </row>
    <row r="688">
      <c r="A688" s="35"/>
      <c r="B688" s="35"/>
      <c r="C688" s="35"/>
      <c r="D688" s="35"/>
      <c r="E688" s="107"/>
      <c r="F688" s="35"/>
      <c r="G688" s="35"/>
      <c r="H688" s="35"/>
      <c r="I688" s="35"/>
      <c r="J688" s="35"/>
      <c r="K688" s="35"/>
      <c r="L688" s="35"/>
      <c r="M688" s="35"/>
      <c r="N688" s="35"/>
      <c r="O688" s="35"/>
      <c r="P688" s="35"/>
      <c r="Q688" s="35"/>
      <c r="R688" s="35"/>
      <c r="S688" s="35"/>
      <c r="T688" s="35"/>
      <c r="U688" s="35"/>
      <c r="V688" s="35"/>
      <c r="W688" s="35"/>
      <c r="X688" s="35"/>
      <c r="Y688" s="35"/>
      <c r="Z688" s="35"/>
      <c r="AA688" s="35"/>
    </row>
    <row r="689">
      <c r="A689" s="35"/>
      <c r="B689" s="35"/>
      <c r="C689" s="35"/>
      <c r="D689" s="35"/>
      <c r="E689" s="107"/>
      <c r="F689" s="35"/>
      <c r="G689" s="35"/>
      <c r="H689" s="35"/>
      <c r="I689" s="35"/>
      <c r="J689" s="35"/>
      <c r="K689" s="35"/>
      <c r="L689" s="35"/>
      <c r="M689" s="35"/>
      <c r="N689" s="35"/>
      <c r="O689" s="35"/>
      <c r="P689" s="35"/>
      <c r="Q689" s="35"/>
      <c r="R689" s="35"/>
      <c r="S689" s="35"/>
      <c r="T689" s="35"/>
      <c r="U689" s="35"/>
      <c r="V689" s="35"/>
      <c r="W689" s="35"/>
      <c r="X689" s="35"/>
      <c r="Y689" s="35"/>
      <c r="Z689" s="35"/>
      <c r="AA689" s="35"/>
    </row>
    <row r="690">
      <c r="A690" s="35"/>
      <c r="B690" s="35"/>
      <c r="C690" s="35"/>
      <c r="D690" s="35"/>
      <c r="E690" s="107"/>
      <c r="F690" s="35"/>
      <c r="G690" s="35"/>
      <c r="H690" s="35"/>
      <c r="I690" s="35"/>
      <c r="J690" s="35"/>
      <c r="K690" s="35"/>
      <c r="L690" s="35"/>
      <c r="M690" s="35"/>
      <c r="N690" s="35"/>
      <c r="O690" s="35"/>
      <c r="P690" s="35"/>
      <c r="Q690" s="35"/>
      <c r="R690" s="35"/>
      <c r="S690" s="35"/>
      <c r="T690" s="35"/>
      <c r="U690" s="35"/>
      <c r="V690" s="35"/>
      <c r="W690" s="35"/>
      <c r="X690" s="35"/>
      <c r="Y690" s="35"/>
      <c r="Z690" s="35"/>
      <c r="AA690" s="35"/>
    </row>
    <row r="691">
      <c r="A691" s="35"/>
      <c r="B691" s="35"/>
      <c r="C691" s="35"/>
      <c r="D691" s="35"/>
      <c r="E691" s="107"/>
      <c r="F691" s="35"/>
      <c r="G691" s="35"/>
      <c r="H691" s="35"/>
      <c r="I691" s="35"/>
      <c r="J691" s="35"/>
      <c r="K691" s="35"/>
      <c r="L691" s="35"/>
      <c r="M691" s="35"/>
      <c r="N691" s="35"/>
      <c r="O691" s="35"/>
      <c r="P691" s="35"/>
      <c r="Q691" s="35"/>
      <c r="R691" s="35"/>
      <c r="S691" s="35"/>
      <c r="T691" s="35"/>
      <c r="U691" s="35"/>
      <c r="V691" s="35"/>
      <c r="W691" s="35"/>
      <c r="X691" s="35"/>
      <c r="Y691" s="35"/>
      <c r="Z691" s="35"/>
      <c r="AA691" s="35"/>
    </row>
    <row r="692">
      <c r="A692" s="35"/>
      <c r="B692" s="35"/>
      <c r="C692" s="35"/>
      <c r="D692" s="35"/>
      <c r="E692" s="107"/>
      <c r="F692" s="35"/>
      <c r="G692" s="35"/>
      <c r="H692" s="35"/>
      <c r="I692" s="35"/>
      <c r="J692" s="35"/>
      <c r="K692" s="35"/>
      <c r="L692" s="35"/>
      <c r="M692" s="35"/>
      <c r="N692" s="35"/>
      <c r="O692" s="35"/>
      <c r="P692" s="35"/>
      <c r="Q692" s="35"/>
      <c r="R692" s="35"/>
      <c r="S692" s="35"/>
      <c r="T692" s="35"/>
      <c r="U692" s="35"/>
      <c r="V692" s="35"/>
      <c r="W692" s="35"/>
      <c r="X692" s="35"/>
      <c r="Y692" s="35"/>
      <c r="Z692" s="35"/>
      <c r="AA692" s="35"/>
    </row>
    <row r="693">
      <c r="A693" s="35"/>
      <c r="B693" s="35"/>
      <c r="C693" s="35"/>
      <c r="D693" s="35"/>
      <c r="E693" s="107"/>
      <c r="F693" s="35"/>
      <c r="G693" s="35"/>
      <c r="H693" s="35"/>
      <c r="I693" s="35"/>
      <c r="J693" s="35"/>
      <c r="K693" s="35"/>
      <c r="L693" s="35"/>
      <c r="M693" s="35"/>
      <c r="N693" s="35"/>
      <c r="O693" s="35"/>
      <c r="P693" s="35"/>
      <c r="Q693" s="35"/>
      <c r="R693" s="35"/>
      <c r="S693" s="35"/>
      <c r="T693" s="35"/>
      <c r="U693" s="35"/>
      <c r="V693" s="35"/>
      <c r="W693" s="35"/>
      <c r="X693" s="35"/>
      <c r="Y693" s="35"/>
      <c r="Z693" s="35"/>
      <c r="AA693" s="35"/>
    </row>
    <row r="694">
      <c r="A694" s="35"/>
      <c r="B694" s="35"/>
      <c r="C694" s="35"/>
      <c r="D694" s="35"/>
      <c r="E694" s="107"/>
      <c r="F694" s="35"/>
      <c r="G694" s="35"/>
      <c r="H694" s="35"/>
      <c r="I694" s="35"/>
      <c r="J694" s="35"/>
      <c r="K694" s="35"/>
      <c r="L694" s="35"/>
      <c r="M694" s="35"/>
      <c r="N694" s="35"/>
      <c r="O694" s="35"/>
      <c r="P694" s="35"/>
      <c r="Q694" s="35"/>
      <c r="R694" s="35"/>
      <c r="S694" s="35"/>
      <c r="T694" s="35"/>
      <c r="U694" s="35"/>
      <c r="V694" s="35"/>
      <c r="W694" s="35"/>
      <c r="X694" s="35"/>
      <c r="Y694" s="35"/>
      <c r="Z694" s="35"/>
      <c r="AA694" s="35"/>
    </row>
    <row r="695">
      <c r="A695" s="35"/>
      <c r="B695" s="35"/>
      <c r="C695" s="35"/>
      <c r="D695" s="35"/>
      <c r="E695" s="107"/>
      <c r="F695" s="35"/>
      <c r="G695" s="35"/>
      <c r="H695" s="35"/>
      <c r="I695" s="35"/>
      <c r="J695" s="35"/>
      <c r="K695" s="35"/>
      <c r="L695" s="35"/>
      <c r="M695" s="35"/>
      <c r="N695" s="35"/>
      <c r="O695" s="35"/>
      <c r="P695" s="35"/>
      <c r="Q695" s="35"/>
      <c r="R695" s="35"/>
      <c r="S695" s="35"/>
      <c r="T695" s="35"/>
      <c r="U695" s="35"/>
      <c r="V695" s="35"/>
      <c r="W695" s="35"/>
      <c r="X695" s="35"/>
      <c r="Y695" s="35"/>
      <c r="Z695" s="35"/>
      <c r="AA695" s="35"/>
    </row>
    <row r="696">
      <c r="A696" s="35"/>
      <c r="B696" s="35"/>
      <c r="C696" s="35"/>
      <c r="D696" s="35"/>
      <c r="E696" s="107"/>
      <c r="F696" s="35"/>
      <c r="G696" s="35"/>
      <c r="H696" s="35"/>
      <c r="I696" s="35"/>
      <c r="J696" s="35"/>
      <c r="K696" s="35"/>
      <c r="L696" s="35"/>
      <c r="M696" s="35"/>
      <c r="N696" s="35"/>
      <c r="O696" s="35"/>
      <c r="P696" s="35"/>
      <c r="Q696" s="35"/>
      <c r="R696" s="35"/>
      <c r="S696" s="35"/>
      <c r="T696" s="35"/>
      <c r="U696" s="35"/>
      <c r="V696" s="35"/>
      <c r="W696" s="35"/>
      <c r="X696" s="35"/>
      <c r="Y696" s="35"/>
      <c r="Z696" s="35"/>
      <c r="AA696" s="35"/>
    </row>
    <row r="697">
      <c r="A697" s="35"/>
      <c r="B697" s="35"/>
      <c r="C697" s="35"/>
      <c r="D697" s="35"/>
      <c r="E697" s="107"/>
      <c r="F697" s="35"/>
      <c r="G697" s="35"/>
      <c r="H697" s="35"/>
      <c r="I697" s="35"/>
      <c r="J697" s="35"/>
      <c r="K697" s="35"/>
      <c r="L697" s="35"/>
      <c r="M697" s="35"/>
      <c r="N697" s="35"/>
      <c r="O697" s="35"/>
      <c r="P697" s="35"/>
      <c r="Q697" s="35"/>
      <c r="R697" s="35"/>
      <c r="S697" s="35"/>
      <c r="T697" s="35"/>
      <c r="U697" s="35"/>
      <c r="V697" s="35"/>
      <c r="W697" s="35"/>
      <c r="X697" s="35"/>
      <c r="Y697" s="35"/>
      <c r="Z697" s="35"/>
      <c r="AA697" s="35"/>
    </row>
    <row r="698">
      <c r="A698" s="35"/>
      <c r="B698" s="35"/>
      <c r="C698" s="35"/>
      <c r="D698" s="35"/>
      <c r="E698" s="107"/>
      <c r="F698" s="35"/>
      <c r="G698" s="35"/>
      <c r="H698" s="35"/>
      <c r="I698" s="35"/>
      <c r="J698" s="35"/>
      <c r="K698" s="35"/>
      <c r="L698" s="35"/>
      <c r="M698" s="35"/>
      <c r="N698" s="35"/>
      <c r="O698" s="35"/>
      <c r="P698" s="35"/>
      <c r="Q698" s="35"/>
      <c r="R698" s="35"/>
      <c r="S698" s="35"/>
      <c r="T698" s="35"/>
      <c r="U698" s="35"/>
      <c r="V698" s="35"/>
      <c r="W698" s="35"/>
      <c r="X698" s="35"/>
      <c r="Y698" s="35"/>
      <c r="Z698" s="35"/>
      <c r="AA698" s="35"/>
    </row>
    <row r="699">
      <c r="A699" s="35"/>
      <c r="B699" s="35"/>
      <c r="C699" s="35"/>
      <c r="D699" s="35"/>
      <c r="E699" s="107"/>
      <c r="F699" s="35"/>
      <c r="G699" s="35"/>
      <c r="H699" s="35"/>
      <c r="I699" s="35"/>
      <c r="J699" s="35"/>
      <c r="K699" s="35"/>
      <c r="L699" s="35"/>
      <c r="M699" s="35"/>
      <c r="N699" s="35"/>
      <c r="O699" s="35"/>
      <c r="P699" s="35"/>
      <c r="Q699" s="35"/>
      <c r="R699" s="35"/>
      <c r="S699" s="35"/>
      <c r="T699" s="35"/>
      <c r="U699" s="35"/>
      <c r="V699" s="35"/>
      <c r="W699" s="35"/>
      <c r="X699" s="35"/>
      <c r="Y699" s="35"/>
      <c r="Z699" s="35"/>
      <c r="AA699" s="35"/>
    </row>
    <row r="700">
      <c r="A700" s="35"/>
      <c r="B700" s="35"/>
      <c r="C700" s="35"/>
      <c r="D700" s="35"/>
      <c r="E700" s="107"/>
      <c r="F700" s="35"/>
      <c r="G700" s="35"/>
      <c r="H700" s="35"/>
      <c r="I700" s="35"/>
      <c r="J700" s="35"/>
      <c r="K700" s="35"/>
      <c r="L700" s="35"/>
      <c r="M700" s="35"/>
      <c r="N700" s="35"/>
      <c r="O700" s="35"/>
      <c r="P700" s="35"/>
      <c r="Q700" s="35"/>
      <c r="R700" s="35"/>
      <c r="S700" s="35"/>
      <c r="T700" s="35"/>
      <c r="U700" s="35"/>
      <c r="V700" s="35"/>
      <c r="W700" s="35"/>
      <c r="X700" s="35"/>
      <c r="Y700" s="35"/>
      <c r="Z700" s="35"/>
      <c r="AA700" s="35"/>
    </row>
    <row r="701">
      <c r="A701" s="35"/>
      <c r="B701" s="35"/>
      <c r="C701" s="35"/>
      <c r="D701" s="35"/>
      <c r="E701" s="107"/>
      <c r="F701" s="35"/>
      <c r="G701" s="35"/>
      <c r="H701" s="35"/>
      <c r="I701" s="35"/>
      <c r="J701" s="35"/>
      <c r="K701" s="35"/>
      <c r="L701" s="35"/>
      <c r="M701" s="35"/>
      <c r="N701" s="35"/>
      <c r="O701" s="35"/>
      <c r="P701" s="35"/>
      <c r="Q701" s="35"/>
      <c r="R701" s="35"/>
      <c r="S701" s="35"/>
      <c r="T701" s="35"/>
      <c r="U701" s="35"/>
      <c r="V701" s="35"/>
      <c r="W701" s="35"/>
      <c r="X701" s="35"/>
      <c r="Y701" s="35"/>
      <c r="Z701" s="35"/>
      <c r="AA701" s="35"/>
    </row>
    <row r="702">
      <c r="A702" s="35"/>
      <c r="B702" s="35"/>
      <c r="C702" s="35"/>
      <c r="D702" s="35"/>
      <c r="E702" s="107"/>
      <c r="F702" s="35"/>
      <c r="G702" s="35"/>
      <c r="H702" s="35"/>
      <c r="I702" s="35"/>
      <c r="J702" s="35"/>
      <c r="K702" s="35"/>
      <c r="L702" s="35"/>
      <c r="M702" s="35"/>
      <c r="N702" s="35"/>
      <c r="O702" s="35"/>
      <c r="P702" s="35"/>
      <c r="Q702" s="35"/>
      <c r="R702" s="35"/>
      <c r="S702" s="35"/>
      <c r="T702" s="35"/>
      <c r="U702" s="35"/>
      <c r="V702" s="35"/>
      <c r="W702" s="35"/>
      <c r="X702" s="35"/>
      <c r="Y702" s="35"/>
      <c r="Z702" s="35"/>
      <c r="AA702" s="35"/>
    </row>
    <row r="703">
      <c r="A703" s="35"/>
      <c r="B703" s="35"/>
      <c r="C703" s="35"/>
      <c r="D703" s="35"/>
      <c r="E703" s="107"/>
      <c r="F703" s="35"/>
      <c r="G703" s="35"/>
      <c r="H703" s="35"/>
      <c r="I703" s="35"/>
      <c r="J703" s="35"/>
      <c r="K703" s="35"/>
      <c r="L703" s="35"/>
      <c r="M703" s="35"/>
      <c r="N703" s="35"/>
      <c r="O703" s="35"/>
      <c r="P703" s="35"/>
      <c r="Q703" s="35"/>
      <c r="R703" s="35"/>
      <c r="S703" s="35"/>
      <c r="T703" s="35"/>
      <c r="U703" s="35"/>
      <c r="V703" s="35"/>
      <c r="W703" s="35"/>
      <c r="X703" s="35"/>
      <c r="Y703" s="35"/>
      <c r="Z703" s="35"/>
      <c r="AA703" s="35"/>
    </row>
    <row r="704">
      <c r="A704" s="35"/>
      <c r="B704" s="35"/>
      <c r="C704" s="35"/>
      <c r="D704" s="35"/>
      <c r="E704" s="107"/>
      <c r="F704" s="35"/>
      <c r="G704" s="35"/>
      <c r="H704" s="35"/>
      <c r="I704" s="35"/>
      <c r="J704" s="35"/>
      <c r="K704" s="35"/>
      <c r="L704" s="35"/>
      <c r="M704" s="35"/>
      <c r="N704" s="35"/>
      <c r="O704" s="35"/>
      <c r="P704" s="35"/>
      <c r="Q704" s="35"/>
      <c r="R704" s="35"/>
      <c r="S704" s="35"/>
      <c r="T704" s="35"/>
      <c r="U704" s="35"/>
      <c r="V704" s="35"/>
      <c r="W704" s="35"/>
      <c r="X704" s="35"/>
      <c r="Y704" s="35"/>
      <c r="Z704" s="35"/>
      <c r="AA704" s="35"/>
    </row>
    <row r="705">
      <c r="A705" s="35"/>
      <c r="B705" s="35"/>
      <c r="C705" s="35"/>
      <c r="D705" s="35"/>
      <c r="E705" s="107"/>
      <c r="F705" s="35"/>
      <c r="G705" s="35"/>
      <c r="H705" s="35"/>
      <c r="I705" s="35"/>
      <c r="J705" s="35"/>
      <c r="K705" s="35"/>
      <c r="L705" s="35"/>
      <c r="M705" s="35"/>
      <c r="N705" s="35"/>
      <c r="O705" s="35"/>
      <c r="P705" s="35"/>
      <c r="Q705" s="35"/>
      <c r="R705" s="35"/>
      <c r="S705" s="35"/>
      <c r="T705" s="35"/>
      <c r="U705" s="35"/>
      <c r="V705" s="35"/>
      <c r="W705" s="35"/>
      <c r="X705" s="35"/>
      <c r="Y705" s="35"/>
      <c r="Z705" s="35"/>
      <c r="AA705" s="35"/>
    </row>
    <row r="706">
      <c r="A706" s="35"/>
      <c r="B706" s="35"/>
      <c r="C706" s="35"/>
      <c r="D706" s="35"/>
      <c r="E706" s="107"/>
      <c r="F706" s="35"/>
      <c r="G706" s="35"/>
      <c r="H706" s="35"/>
      <c r="I706" s="35"/>
      <c r="J706" s="35"/>
      <c r="K706" s="35"/>
      <c r="L706" s="35"/>
      <c r="M706" s="35"/>
      <c r="N706" s="35"/>
      <c r="O706" s="35"/>
      <c r="P706" s="35"/>
      <c r="Q706" s="35"/>
      <c r="R706" s="35"/>
      <c r="S706" s="35"/>
      <c r="T706" s="35"/>
      <c r="U706" s="35"/>
      <c r="V706" s="35"/>
      <c r="W706" s="35"/>
      <c r="X706" s="35"/>
      <c r="Y706" s="35"/>
      <c r="Z706" s="35"/>
      <c r="AA706" s="35"/>
    </row>
    <row r="707">
      <c r="A707" s="35"/>
      <c r="B707" s="35"/>
      <c r="C707" s="35"/>
      <c r="D707" s="35"/>
      <c r="E707" s="107"/>
      <c r="F707" s="35"/>
      <c r="G707" s="35"/>
      <c r="H707" s="35"/>
      <c r="I707" s="35"/>
      <c r="J707" s="35"/>
      <c r="K707" s="35"/>
      <c r="L707" s="35"/>
      <c r="M707" s="35"/>
      <c r="N707" s="35"/>
      <c r="O707" s="35"/>
      <c r="P707" s="35"/>
      <c r="Q707" s="35"/>
      <c r="R707" s="35"/>
      <c r="S707" s="35"/>
      <c r="T707" s="35"/>
      <c r="U707" s="35"/>
      <c r="V707" s="35"/>
      <c r="W707" s="35"/>
      <c r="X707" s="35"/>
      <c r="Y707" s="35"/>
      <c r="Z707" s="35"/>
      <c r="AA707" s="35"/>
    </row>
    <row r="708">
      <c r="A708" s="35"/>
      <c r="B708" s="35"/>
      <c r="C708" s="35"/>
      <c r="D708" s="35"/>
      <c r="E708" s="107"/>
      <c r="F708" s="35"/>
      <c r="G708" s="35"/>
      <c r="H708" s="35"/>
      <c r="I708" s="35"/>
      <c r="J708" s="35"/>
      <c r="K708" s="35"/>
      <c r="L708" s="35"/>
      <c r="M708" s="35"/>
      <c r="N708" s="35"/>
      <c r="O708" s="35"/>
      <c r="P708" s="35"/>
      <c r="Q708" s="35"/>
      <c r="R708" s="35"/>
      <c r="S708" s="35"/>
      <c r="T708" s="35"/>
      <c r="U708" s="35"/>
      <c r="V708" s="35"/>
      <c r="W708" s="35"/>
      <c r="X708" s="35"/>
      <c r="Y708" s="35"/>
      <c r="Z708" s="35"/>
      <c r="AA708" s="35"/>
    </row>
    <row r="709">
      <c r="A709" s="35"/>
      <c r="B709" s="35"/>
      <c r="C709" s="35"/>
      <c r="D709" s="35"/>
      <c r="E709" s="107"/>
      <c r="F709" s="35"/>
      <c r="G709" s="35"/>
      <c r="H709" s="35"/>
      <c r="I709" s="35"/>
      <c r="J709" s="35"/>
      <c r="K709" s="35"/>
      <c r="L709" s="35"/>
      <c r="M709" s="35"/>
      <c r="N709" s="35"/>
      <c r="O709" s="35"/>
      <c r="P709" s="35"/>
      <c r="Q709" s="35"/>
      <c r="R709" s="35"/>
      <c r="S709" s="35"/>
      <c r="T709" s="35"/>
      <c r="U709" s="35"/>
      <c r="V709" s="35"/>
      <c r="W709" s="35"/>
      <c r="X709" s="35"/>
      <c r="Y709" s="35"/>
      <c r="Z709" s="35"/>
      <c r="AA709" s="35"/>
    </row>
    <row r="710">
      <c r="A710" s="35"/>
      <c r="B710" s="35"/>
      <c r="C710" s="35"/>
      <c r="D710" s="35"/>
      <c r="E710" s="107"/>
      <c r="F710" s="35"/>
      <c r="G710" s="35"/>
      <c r="H710" s="35"/>
      <c r="I710" s="35"/>
      <c r="J710" s="35"/>
      <c r="K710" s="35"/>
      <c r="L710" s="35"/>
      <c r="M710" s="35"/>
      <c r="N710" s="35"/>
      <c r="O710" s="35"/>
      <c r="P710" s="35"/>
      <c r="Q710" s="35"/>
      <c r="R710" s="35"/>
      <c r="S710" s="35"/>
      <c r="T710" s="35"/>
      <c r="U710" s="35"/>
      <c r="V710" s="35"/>
      <c r="W710" s="35"/>
      <c r="X710" s="35"/>
      <c r="Y710" s="35"/>
      <c r="Z710" s="35"/>
      <c r="AA710" s="35"/>
    </row>
    <row r="711">
      <c r="A711" s="35"/>
      <c r="B711" s="35"/>
      <c r="C711" s="35"/>
      <c r="D711" s="35"/>
      <c r="E711" s="107"/>
      <c r="F711" s="35"/>
      <c r="G711" s="35"/>
      <c r="H711" s="35"/>
      <c r="I711" s="35"/>
      <c r="J711" s="35"/>
      <c r="K711" s="35"/>
      <c r="L711" s="35"/>
      <c r="M711" s="35"/>
      <c r="N711" s="35"/>
      <c r="O711" s="35"/>
      <c r="P711" s="35"/>
      <c r="Q711" s="35"/>
      <c r="R711" s="35"/>
      <c r="S711" s="35"/>
      <c r="T711" s="35"/>
      <c r="U711" s="35"/>
      <c r="V711" s="35"/>
      <c r="W711" s="35"/>
      <c r="X711" s="35"/>
      <c r="Y711" s="35"/>
      <c r="Z711" s="35"/>
      <c r="AA711" s="35"/>
    </row>
    <row r="712">
      <c r="A712" s="35"/>
      <c r="B712" s="35"/>
      <c r="C712" s="35"/>
      <c r="D712" s="35"/>
      <c r="E712" s="107"/>
      <c r="F712" s="35"/>
      <c r="G712" s="35"/>
      <c r="H712" s="35"/>
      <c r="I712" s="35"/>
      <c r="J712" s="35"/>
      <c r="K712" s="35"/>
      <c r="L712" s="35"/>
      <c r="M712" s="35"/>
      <c r="N712" s="35"/>
      <c r="O712" s="35"/>
      <c r="P712" s="35"/>
      <c r="Q712" s="35"/>
      <c r="R712" s="35"/>
      <c r="S712" s="35"/>
      <c r="T712" s="35"/>
      <c r="U712" s="35"/>
      <c r="V712" s="35"/>
      <c r="W712" s="35"/>
      <c r="X712" s="35"/>
      <c r="Y712" s="35"/>
      <c r="Z712" s="35"/>
      <c r="AA712" s="35"/>
    </row>
    <row r="713">
      <c r="A713" s="35"/>
      <c r="B713" s="35"/>
      <c r="C713" s="35"/>
      <c r="D713" s="35"/>
      <c r="E713" s="107"/>
      <c r="F713" s="35"/>
      <c r="G713" s="35"/>
      <c r="H713" s="35"/>
      <c r="I713" s="35"/>
      <c r="J713" s="35"/>
      <c r="K713" s="35"/>
      <c r="L713" s="35"/>
      <c r="M713" s="35"/>
      <c r="N713" s="35"/>
      <c r="O713" s="35"/>
      <c r="P713" s="35"/>
      <c r="Q713" s="35"/>
      <c r="R713" s="35"/>
      <c r="S713" s="35"/>
      <c r="T713" s="35"/>
      <c r="U713" s="35"/>
      <c r="V713" s="35"/>
      <c r="W713" s="35"/>
      <c r="X713" s="35"/>
      <c r="Y713" s="35"/>
      <c r="Z713" s="35"/>
      <c r="AA713" s="35"/>
    </row>
    <row r="714">
      <c r="A714" s="35"/>
      <c r="B714" s="35"/>
      <c r="C714" s="35"/>
      <c r="D714" s="35"/>
      <c r="E714" s="107"/>
      <c r="F714" s="35"/>
      <c r="G714" s="35"/>
      <c r="H714" s="35"/>
      <c r="I714" s="35"/>
      <c r="J714" s="35"/>
      <c r="K714" s="35"/>
      <c r="L714" s="35"/>
      <c r="M714" s="35"/>
      <c r="N714" s="35"/>
      <c r="O714" s="35"/>
      <c r="P714" s="35"/>
      <c r="Q714" s="35"/>
      <c r="R714" s="35"/>
      <c r="S714" s="35"/>
      <c r="T714" s="35"/>
      <c r="U714" s="35"/>
      <c r="V714" s="35"/>
      <c r="W714" s="35"/>
      <c r="X714" s="35"/>
      <c r="Y714" s="35"/>
      <c r="Z714" s="35"/>
      <c r="AA714" s="35"/>
    </row>
    <row r="715">
      <c r="A715" s="35"/>
      <c r="B715" s="35"/>
      <c r="C715" s="35"/>
      <c r="D715" s="35"/>
      <c r="E715" s="107"/>
      <c r="F715" s="35"/>
      <c r="G715" s="35"/>
      <c r="H715" s="35"/>
      <c r="I715" s="35"/>
      <c r="J715" s="35"/>
      <c r="K715" s="35"/>
      <c r="L715" s="35"/>
      <c r="M715" s="35"/>
      <c r="N715" s="35"/>
      <c r="O715" s="35"/>
      <c r="P715" s="35"/>
      <c r="Q715" s="35"/>
      <c r="R715" s="35"/>
      <c r="S715" s="35"/>
      <c r="T715" s="35"/>
      <c r="U715" s="35"/>
      <c r="V715" s="35"/>
      <c r="W715" s="35"/>
      <c r="X715" s="35"/>
      <c r="Y715" s="35"/>
      <c r="Z715" s="35"/>
      <c r="AA715" s="35"/>
    </row>
    <row r="716">
      <c r="A716" s="35"/>
      <c r="B716" s="35"/>
      <c r="C716" s="35"/>
      <c r="D716" s="35"/>
      <c r="E716" s="107"/>
      <c r="F716" s="35"/>
      <c r="G716" s="35"/>
      <c r="H716" s="35"/>
      <c r="I716" s="35"/>
      <c r="J716" s="35"/>
      <c r="K716" s="35"/>
      <c r="L716" s="35"/>
      <c r="M716" s="35"/>
      <c r="N716" s="35"/>
      <c r="O716" s="35"/>
      <c r="P716" s="35"/>
      <c r="Q716" s="35"/>
      <c r="R716" s="35"/>
      <c r="S716" s="35"/>
      <c r="T716" s="35"/>
      <c r="U716" s="35"/>
      <c r="V716" s="35"/>
      <c r="W716" s="35"/>
      <c r="X716" s="35"/>
      <c r="Y716" s="35"/>
      <c r="Z716" s="35"/>
      <c r="AA716" s="35"/>
    </row>
    <row r="717">
      <c r="A717" s="35"/>
      <c r="B717" s="35"/>
      <c r="C717" s="35"/>
      <c r="D717" s="35"/>
      <c r="E717" s="107"/>
      <c r="F717" s="35"/>
      <c r="G717" s="35"/>
      <c r="H717" s="35"/>
      <c r="I717" s="35"/>
      <c r="J717" s="35"/>
      <c r="K717" s="35"/>
      <c r="L717" s="35"/>
      <c r="M717" s="35"/>
      <c r="N717" s="35"/>
      <c r="O717" s="35"/>
      <c r="P717" s="35"/>
      <c r="Q717" s="35"/>
      <c r="R717" s="35"/>
      <c r="S717" s="35"/>
      <c r="T717" s="35"/>
      <c r="U717" s="35"/>
      <c r="V717" s="35"/>
      <c r="W717" s="35"/>
      <c r="X717" s="35"/>
      <c r="Y717" s="35"/>
      <c r="Z717" s="35"/>
      <c r="AA717" s="35"/>
    </row>
    <row r="718">
      <c r="A718" s="35"/>
      <c r="B718" s="35"/>
      <c r="C718" s="35"/>
      <c r="D718" s="35"/>
      <c r="E718" s="107"/>
      <c r="F718" s="35"/>
      <c r="G718" s="35"/>
      <c r="H718" s="35"/>
      <c r="I718" s="35"/>
      <c r="J718" s="35"/>
      <c r="K718" s="35"/>
      <c r="L718" s="35"/>
      <c r="M718" s="35"/>
      <c r="N718" s="35"/>
      <c r="O718" s="35"/>
      <c r="P718" s="35"/>
      <c r="Q718" s="35"/>
      <c r="R718" s="35"/>
      <c r="S718" s="35"/>
      <c r="T718" s="35"/>
      <c r="U718" s="35"/>
      <c r="V718" s="35"/>
      <c r="W718" s="35"/>
      <c r="X718" s="35"/>
      <c r="Y718" s="35"/>
      <c r="Z718" s="35"/>
      <c r="AA718" s="35"/>
    </row>
    <row r="719">
      <c r="A719" s="35"/>
      <c r="B719" s="35"/>
      <c r="C719" s="35"/>
      <c r="D719" s="35"/>
      <c r="E719" s="107"/>
      <c r="F719" s="35"/>
      <c r="G719" s="35"/>
      <c r="H719" s="35"/>
      <c r="I719" s="35"/>
      <c r="J719" s="35"/>
      <c r="K719" s="35"/>
      <c r="L719" s="35"/>
      <c r="M719" s="35"/>
      <c r="N719" s="35"/>
      <c r="O719" s="35"/>
      <c r="P719" s="35"/>
      <c r="Q719" s="35"/>
      <c r="R719" s="35"/>
      <c r="S719" s="35"/>
      <c r="T719" s="35"/>
      <c r="U719" s="35"/>
      <c r="V719" s="35"/>
      <c r="W719" s="35"/>
      <c r="X719" s="35"/>
      <c r="Y719" s="35"/>
      <c r="Z719" s="35"/>
      <c r="AA719" s="35"/>
    </row>
    <row r="720">
      <c r="A720" s="35"/>
      <c r="B720" s="35"/>
      <c r="C720" s="35"/>
      <c r="D720" s="35"/>
      <c r="E720" s="107"/>
      <c r="F720" s="35"/>
      <c r="G720" s="35"/>
      <c r="H720" s="35"/>
      <c r="I720" s="35"/>
      <c r="J720" s="35"/>
      <c r="K720" s="35"/>
      <c r="L720" s="35"/>
      <c r="M720" s="35"/>
      <c r="N720" s="35"/>
      <c r="O720" s="35"/>
      <c r="P720" s="35"/>
      <c r="Q720" s="35"/>
      <c r="R720" s="35"/>
      <c r="S720" s="35"/>
      <c r="T720" s="35"/>
      <c r="U720" s="35"/>
      <c r="V720" s="35"/>
      <c r="W720" s="35"/>
      <c r="X720" s="35"/>
      <c r="Y720" s="35"/>
      <c r="Z720" s="35"/>
      <c r="AA720" s="35"/>
    </row>
    <row r="721">
      <c r="A721" s="35"/>
      <c r="B721" s="35"/>
      <c r="C721" s="35"/>
      <c r="D721" s="35"/>
      <c r="E721" s="107"/>
      <c r="F721" s="35"/>
      <c r="G721" s="35"/>
      <c r="H721" s="35"/>
      <c r="I721" s="35"/>
      <c r="J721" s="35"/>
      <c r="K721" s="35"/>
      <c r="L721" s="35"/>
      <c r="M721" s="35"/>
      <c r="N721" s="35"/>
      <c r="O721" s="35"/>
      <c r="P721" s="35"/>
      <c r="Q721" s="35"/>
      <c r="R721" s="35"/>
      <c r="S721" s="35"/>
      <c r="T721" s="35"/>
      <c r="U721" s="35"/>
      <c r="V721" s="35"/>
      <c r="W721" s="35"/>
      <c r="X721" s="35"/>
      <c r="Y721" s="35"/>
      <c r="Z721" s="35"/>
      <c r="AA721" s="35"/>
    </row>
    <row r="722">
      <c r="A722" s="35"/>
      <c r="B722" s="35"/>
      <c r="C722" s="35"/>
      <c r="D722" s="35"/>
      <c r="E722" s="107"/>
      <c r="F722" s="35"/>
      <c r="G722" s="35"/>
      <c r="H722" s="35"/>
      <c r="I722" s="35"/>
      <c r="J722" s="35"/>
      <c r="K722" s="35"/>
      <c r="L722" s="35"/>
      <c r="M722" s="35"/>
      <c r="N722" s="35"/>
      <c r="O722" s="35"/>
      <c r="P722" s="35"/>
      <c r="Q722" s="35"/>
      <c r="R722" s="35"/>
      <c r="S722" s="35"/>
      <c r="T722" s="35"/>
      <c r="U722" s="35"/>
      <c r="V722" s="35"/>
      <c r="W722" s="35"/>
      <c r="X722" s="35"/>
      <c r="Y722" s="35"/>
      <c r="Z722" s="35"/>
      <c r="AA722" s="35"/>
    </row>
    <row r="723">
      <c r="A723" s="35"/>
      <c r="B723" s="35"/>
      <c r="C723" s="35"/>
      <c r="D723" s="35"/>
      <c r="E723" s="107"/>
      <c r="F723" s="35"/>
      <c r="G723" s="35"/>
      <c r="H723" s="35"/>
      <c r="I723" s="35"/>
      <c r="J723" s="35"/>
      <c r="K723" s="35"/>
      <c r="L723" s="35"/>
      <c r="M723" s="35"/>
      <c r="N723" s="35"/>
      <c r="O723" s="35"/>
      <c r="P723" s="35"/>
      <c r="Q723" s="35"/>
      <c r="R723" s="35"/>
      <c r="S723" s="35"/>
      <c r="T723" s="35"/>
      <c r="U723" s="35"/>
      <c r="V723" s="35"/>
      <c r="W723" s="35"/>
      <c r="X723" s="35"/>
      <c r="Y723" s="35"/>
      <c r="Z723" s="35"/>
      <c r="AA723" s="35"/>
    </row>
    <row r="724">
      <c r="A724" s="35"/>
      <c r="B724" s="35"/>
      <c r="C724" s="35"/>
      <c r="D724" s="35"/>
      <c r="E724" s="107"/>
      <c r="F724" s="35"/>
      <c r="G724" s="35"/>
      <c r="H724" s="35"/>
      <c r="I724" s="35"/>
      <c r="J724" s="35"/>
      <c r="K724" s="35"/>
      <c r="L724" s="35"/>
      <c r="M724" s="35"/>
      <c r="N724" s="35"/>
      <c r="O724" s="35"/>
      <c r="P724" s="35"/>
      <c r="Q724" s="35"/>
      <c r="R724" s="35"/>
      <c r="S724" s="35"/>
      <c r="T724" s="35"/>
      <c r="U724" s="35"/>
      <c r="V724" s="35"/>
      <c r="W724" s="35"/>
      <c r="X724" s="35"/>
      <c r="Y724" s="35"/>
      <c r="Z724" s="35"/>
      <c r="AA724" s="35"/>
    </row>
    <row r="725">
      <c r="A725" s="35"/>
      <c r="B725" s="35"/>
      <c r="C725" s="35"/>
      <c r="D725" s="35"/>
      <c r="E725" s="107"/>
      <c r="F725" s="35"/>
      <c r="G725" s="35"/>
      <c r="H725" s="35"/>
      <c r="I725" s="35"/>
      <c r="J725" s="35"/>
      <c r="K725" s="35"/>
      <c r="L725" s="35"/>
      <c r="M725" s="35"/>
      <c r="N725" s="35"/>
      <c r="O725" s="35"/>
      <c r="P725" s="35"/>
      <c r="Q725" s="35"/>
      <c r="R725" s="35"/>
      <c r="S725" s="35"/>
      <c r="T725" s="35"/>
      <c r="U725" s="35"/>
      <c r="V725" s="35"/>
      <c r="W725" s="35"/>
      <c r="X725" s="35"/>
      <c r="Y725" s="35"/>
      <c r="Z725" s="35"/>
      <c r="AA725" s="35"/>
    </row>
    <row r="726">
      <c r="A726" s="35"/>
      <c r="B726" s="35"/>
      <c r="C726" s="35"/>
      <c r="D726" s="35"/>
      <c r="E726" s="107"/>
      <c r="F726" s="35"/>
      <c r="G726" s="35"/>
      <c r="H726" s="35"/>
      <c r="I726" s="35"/>
      <c r="J726" s="35"/>
      <c r="K726" s="35"/>
      <c r="L726" s="35"/>
      <c r="M726" s="35"/>
      <c r="N726" s="35"/>
      <c r="O726" s="35"/>
      <c r="P726" s="35"/>
      <c r="Q726" s="35"/>
      <c r="R726" s="35"/>
      <c r="S726" s="35"/>
      <c r="T726" s="35"/>
      <c r="U726" s="35"/>
      <c r="V726" s="35"/>
      <c r="W726" s="35"/>
      <c r="X726" s="35"/>
      <c r="Y726" s="35"/>
      <c r="Z726" s="35"/>
      <c r="AA726" s="35"/>
    </row>
    <row r="727">
      <c r="A727" s="35"/>
      <c r="B727" s="35"/>
      <c r="C727" s="35"/>
      <c r="D727" s="35"/>
      <c r="E727" s="107"/>
      <c r="F727" s="35"/>
      <c r="G727" s="35"/>
      <c r="H727" s="35"/>
      <c r="I727" s="35"/>
      <c r="J727" s="35"/>
      <c r="K727" s="35"/>
      <c r="L727" s="35"/>
      <c r="M727" s="35"/>
      <c r="N727" s="35"/>
      <c r="O727" s="35"/>
      <c r="P727" s="35"/>
      <c r="Q727" s="35"/>
      <c r="R727" s="35"/>
      <c r="S727" s="35"/>
      <c r="T727" s="35"/>
      <c r="U727" s="35"/>
      <c r="V727" s="35"/>
      <c r="W727" s="35"/>
      <c r="X727" s="35"/>
      <c r="Y727" s="35"/>
      <c r="Z727" s="35"/>
      <c r="AA727" s="35"/>
    </row>
    <row r="728">
      <c r="A728" s="35"/>
      <c r="B728" s="35"/>
      <c r="C728" s="35"/>
      <c r="D728" s="35"/>
      <c r="E728" s="107"/>
      <c r="F728" s="35"/>
      <c r="G728" s="35"/>
      <c r="H728" s="35"/>
      <c r="I728" s="35"/>
      <c r="J728" s="35"/>
      <c r="K728" s="35"/>
      <c r="L728" s="35"/>
      <c r="M728" s="35"/>
      <c r="N728" s="35"/>
      <c r="O728" s="35"/>
      <c r="P728" s="35"/>
      <c r="Q728" s="35"/>
      <c r="R728" s="35"/>
      <c r="S728" s="35"/>
      <c r="T728" s="35"/>
      <c r="U728" s="35"/>
      <c r="V728" s="35"/>
      <c r="W728" s="35"/>
      <c r="X728" s="35"/>
      <c r="Y728" s="35"/>
      <c r="Z728" s="35"/>
      <c r="AA728" s="35"/>
    </row>
    <row r="729">
      <c r="A729" s="35"/>
      <c r="B729" s="35"/>
      <c r="C729" s="35"/>
      <c r="D729" s="35"/>
      <c r="E729" s="107"/>
      <c r="F729" s="35"/>
      <c r="G729" s="35"/>
      <c r="H729" s="35"/>
      <c r="I729" s="35"/>
      <c r="J729" s="35"/>
      <c r="K729" s="35"/>
      <c r="L729" s="35"/>
      <c r="M729" s="35"/>
      <c r="N729" s="35"/>
      <c r="O729" s="35"/>
      <c r="P729" s="35"/>
      <c r="Q729" s="35"/>
      <c r="R729" s="35"/>
      <c r="S729" s="35"/>
      <c r="T729" s="35"/>
      <c r="U729" s="35"/>
      <c r="V729" s="35"/>
      <c r="W729" s="35"/>
      <c r="X729" s="35"/>
      <c r="Y729" s="35"/>
      <c r="Z729" s="35"/>
      <c r="AA729" s="35"/>
    </row>
    <row r="730">
      <c r="A730" s="35"/>
      <c r="B730" s="35"/>
      <c r="C730" s="35"/>
      <c r="D730" s="35"/>
      <c r="E730" s="107"/>
      <c r="F730" s="35"/>
      <c r="G730" s="35"/>
      <c r="H730" s="35"/>
      <c r="I730" s="35"/>
      <c r="J730" s="35"/>
      <c r="K730" s="35"/>
      <c r="L730" s="35"/>
      <c r="M730" s="35"/>
      <c r="N730" s="35"/>
      <c r="O730" s="35"/>
      <c r="P730" s="35"/>
      <c r="Q730" s="35"/>
      <c r="R730" s="35"/>
      <c r="S730" s="35"/>
      <c r="T730" s="35"/>
      <c r="U730" s="35"/>
      <c r="V730" s="35"/>
      <c r="W730" s="35"/>
      <c r="X730" s="35"/>
      <c r="Y730" s="35"/>
      <c r="Z730" s="35"/>
      <c r="AA730" s="35"/>
    </row>
    <row r="731">
      <c r="A731" s="35"/>
      <c r="B731" s="35"/>
      <c r="C731" s="35"/>
      <c r="D731" s="35"/>
      <c r="E731" s="107"/>
      <c r="F731" s="35"/>
      <c r="G731" s="35"/>
      <c r="H731" s="35"/>
      <c r="I731" s="35"/>
      <c r="J731" s="35"/>
      <c r="K731" s="35"/>
      <c r="L731" s="35"/>
      <c r="M731" s="35"/>
      <c r="N731" s="35"/>
      <c r="O731" s="35"/>
      <c r="P731" s="35"/>
      <c r="Q731" s="35"/>
      <c r="R731" s="35"/>
      <c r="S731" s="35"/>
      <c r="T731" s="35"/>
      <c r="U731" s="35"/>
      <c r="V731" s="35"/>
      <c r="W731" s="35"/>
      <c r="X731" s="35"/>
      <c r="Y731" s="35"/>
      <c r="Z731" s="35"/>
      <c r="AA731" s="35"/>
    </row>
    <row r="732">
      <c r="A732" s="35"/>
      <c r="B732" s="35"/>
      <c r="C732" s="35"/>
      <c r="D732" s="35"/>
      <c r="E732" s="107"/>
      <c r="F732" s="35"/>
      <c r="G732" s="35"/>
      <c r="H732" s="35"/>
      <c r="I732" s="35"/>
      <c r="J732" s="35"/>
      <c r="K732" s="35"/>
      <c r="L732" s="35"/>
      <c r="M732" s="35"/>
      <c r="N732" s="35"/>
      <c r="O732" s="35"/>
      <c r="P732" s="35"/>
      <c r="Q732" s="35"/>
      <c r="R732" s="35"/>
      <c r="S732" s="35"/>
      <c r="T732" s="35"/>
      <c r="U732" s="35"/>
      <c r="V732" s="35"/>
      <c r="W732" s="35"/>
      <c r="X732" s="35"/>
      <c r="Y732" s="35"/>
      <c r="Z732" s="35"/>
      <c r="AA732" s="35"/>
    </row>
    <row r="733">
      <c r="A733" s="35"/>
      <c r="B733" s="35"/>
      <c r="C733" s="35"/>
      <c r="D733" s="35"/>
      <c r="E733" s="107"/>
      <c r="F733" s="35"/>
      <c r="G733" s="35"/>
      <c r="H733" s="35"/>
      <c r="I733" s="35"/>
      <c r="J733" s="35"/>
      <c r="K733" s="35"/>
      <c r="L733" s="35"/>
      <c r="M733" s="35"/>
      <c r="N733" s="35"/>
      <c r="O733" s="35"/>
      <c r="P733" s="35"/>
      <c r="Q733" s="35"/>
      <c r="R733" s="35"/>
      <c r="S733" s="35"/>
      <c r="T733" s="35"/>
      <c r="U733" s="35"/>
      <c r="V733" s="35"/>
      <c r="W733" s="35"/>
      <c r="X733" s="35"/>
      <c r="Y733" s="35"/>
      <c r="Z733" s="35"/>
      <c r="AA733" s="35"/>
    </row>
    <row r="734">
      <c r="A734" s="35"/>
      <c r="B734" s="35"/>
      <c r="C734" s="35"/>
      <c r="D734" s="35"/>
      <c r="E734" s="107"/>
      <c r="F734" s="35"/>
      <c r="G734" s="35"/>
      <c r="H734" s="35"/>
      <c r="I734" s="35"/>
      <c r="J734" s="35"/>
      <c r="K734" s="35"/>
      <c r="L734" s="35"/>
      <c r="M734" s="35"/>
      <c r="N734" s="35"/>
      <c r="O734" s="35"/>
      <c r="P734" s="35"/>
      <c r="Q734" s="35"/>
      <c r="R734" s="35"/>
      <c r="S734" s="35"/>
      <c r="T734" s="35"/>
      <c r="U734" s="35"/>
      <c r="V734" s="35"/>
      <c r="W734" s="35"/>
      <c r="X734" s="35"/>
      <c r="Y734" s="35"/>
      <c r="Z734" s="35"/>
      <c r="AA734" s="35"/>
    </row>
    <row r="735">
      <c r="A735" s="35"/>
      <c r="B735" s="35"/>
      <c r="C735" s="35"/>
      <c r="D735" s="35"/>
      <c r="E735" s="107"/>
      <c r="F735" s="35"/>
      <c r="G735" s="35"/>
      <c r="H735" s="35"/>
      <c r="I735" s="35"/>
      <c r="J735" s="35"/>
      <c r="K735" s="35"/>
      <c r="L735" s="35"/>
      <c r="M735" s="35"/>
      <c r="N735" s="35"/>
      <c r="O735" s="35"/>
      <c r="P735" s="35"/>
      <c r="Q735" s="35"/>
      <c r="R735" s="35"/>
      <c r="S735" s="35"/>
      <c r="T735" s="35"/>
      <c r="U735" s="35"/>
      <c r="V735" s="35"/>
      <c r="W735" s="35"/>
      <c r="X735" s="35"/>
      <c r="Y735" s="35"/>
      <c r="Z735" s="35"/>
      <c r="AA735" s="35"/>
    </row>
    <row r="736">
      <c r="A736" s="35"/>
      <c r="B736" s="35"/>
      <c r="C736" s="35"/>
      <c r="D736" s="35"/>
      <c r="E736" s="107"/>
      <c r="F736" s="35"/>
      <c r="G736" s="35"/>
      <c r="H736" s="35"/>
      <c r="I736" s="35"/>
      <c r="J736" s="35"/>
      <c r="K736" s="35"/>
      <c r="L736" s="35"/>
      <c r="M736" s="35"/>
      <c r="N736" s="35"/>
      <c r="O736" s="35"/>
      <c r="P736" s="35"/>
      <c r="Q736" s="35"/>
      <c r="R736" s="35"/>
      <c r="S736" s="35"/>
      <c r="T736" s="35"/>
      <c r="U736" s="35"/>
      <c r="V736" s="35"/>
      <c r="W736" s="35"/>
      <c r="X736" s="35"/>
      <c r="Y736" s="35"/>
      <c r="Z736" s="35"/>
      <c r="AA736" s="35"/>
    </row>
    <row r="737">
      <c r="A737" s="35"/>
      <c r="B737" s="35"/>
      <c r="C737" s="35"/>
      <c r="D737" s="35"/>
      <c r="E737" s="107"/>
      <c r="F737" s="35"/>
      <c r="G737" s="35"/>
      <c r="H737" s="35"/>
      <c r="I737" s="35"/>
      <c r="J737" s="35"/>
      <c r="K737" s="35"/>
      <c r="L737" s="35"/>
      <c r="M737" s="35"/>
      <c r="N737" s="35"/>
      <c r="O737" s="35"/>
      <c r="P737" s="35"/>
      <c r="Q737" s="35"/>
      <c r="R737" s="35"/>
      <c r="S737" s="35"/>
      <c r="T737" s="35"/>
      <c r="U737" s="35"/>
      <c r="V737" s="35"/>
      <c r="W737" s="35"/>
      <c r="X737" s="35"/>
      <c r="Y737" s="35"/>
      <c r="Z737" s="35"/>
      <c r="AA737" s="35"/>
    </row>
    <row r="738">
      <c r="A738" s="35"/>
      <c r="B738" s="35"/>
      <c r="C738" s="35"/>
      <c r="D738" s="35"/>
      <c r="E738" s="107"/>
      <c r="F738" s="35"/>
      <c r="G738" s="35"/>
      <c r="H738" s="35"/>
      <c r="I738" s="35"/>
      <c r="J738" s="35"/>
      <c r="K738" s="35"/>
      <c r="L738" s="35"/>
      <c r="M738" s="35"/>
      <c r="N738" s="35"/>
      <c r="O738" s="35"/>
      <c r="P738" s="35"/>
      <c r="Q738" s="35"/>
      <c r="R738" s="35"/>
      <c r="S738" s="35"/>
      <c r="T738" s="35"/>
      <c r="U738" s="35"/>
      <c r="V738" s="35"/>
      <c r="W738" s="35"/>
      <c r="X738" s="35"/>
      <c r="Y738" s="35"/>
      <c r="Z738" s="35"/>
      <c r="AA738" s="35"/>
    </row>
    <row r="739">
      <c r="A739" s="35"/>
      <c r="B739" s="35"/>
      <c r="C739" s="35"/>
      <c r="D739" s="35"/>
      <c r="E739" s="107"/>
      <c r="F739" s="35"/>
      <c r="G739" s="35"/>
      <c r="H739" s="35"/>
      <c r="I739" s="35"/>
      <c r="J739" s="35"/>
      <c r="K739" s="35"/>
      <c r="L739" s="35"/>
      <c r="M739" s="35"/>
      <c r="N739" s="35"/>
      <c r="O739" s="35"/>
      <c r="P739" s="35"/>
      <c r="Q739" s="35"/>
      <c r="R739" s="35"/>
      <c r="S739" s="35"/>
      <c r="T739" s="35"/>
      <c r="U739" s="35"/>
      <c r="V739" s="35"/>
      <c r="W739" s="35"/>
      <c r="X739" s="35"/>
      <c r="Y739" s="35"/>
      <c r="Z739" s="35"/>
      <c r="AA739" s="35"/>
    </row>
    <row r="740">
      <c r="A740" s="35"/>
      <c r="B740" s="35"/>
      <c r="C740" s="35"/>
      <c r="D740" s="35"/>
      <c r="E740" s="107"/>
      <c r="F740" s="35"/>
      <c r="G740" s="35"/>
      <c r="H740" s="35"/>
      <c r="I740" s="35"/>
      <c r="J740" s="35"/>
      <c r="K740" s="35"/>
      <c r="L740" s="35"/>
      <c r="M740" s="35"/>
      <c r="N740" s="35"/>
      <c r="O740" s="35"/>
      <c r="P740" s="35"/>
      <c r="Q740" s="35"/>
      <c r="R740" s="35"/>
      <c r="S740" s="35"/>
      <c r="T740" s="35"/>
      <c r="U740" s="35"/>
      <c r="V740" s="35"/>
      <c r="W740" s="35"/>
      <c r="X740" s="35"/>
      <c r="Y740" s="35"/>
      <c r="Z740" s="35"/>
      <c r="AA740" s="35"/>
    </row>
    <row r="741">
      <c r="A741" s="35"/>
      <c r="B741" s="35"/>
      <c r="C741" s="35"/>
      <c r="D741" s="35"/>
      <c r="E741" s="107"/>
      <c r="F741" s="35"/>
      <c r="G741" s="35"/>
      <c r="H741" s="35"/>
      <c r="I741" s="35"/>
      <c r="J741" s="35"/>
      <c r="K741" s="35"/>
      <c r="L741" s="35"/>
      <c r="M741" s="35"/>
      <c r="N741" s="35"/>
      <c r="O741" s="35"/>
      <c r="P741" s="35"/>
      <c r="Q741" s="35"/>
      <c r="R741" s="35"/>
      <c r="S741" s="35"/>
      <c r="T741" s="35"/>
      <c r="U741" s="35"/>
      <c r="V741" s="35"/>
      <c r="W741" s="35"/>
      <c r="X741" s="35"/>
      <c r="Y741" s="35"/>
      <c r="Z741" s="35"/>
      <c r="AA741" s="35"/>
    </row>
    <row r="742">
      <c r="A742" s="35"/>
      <c r="B742" s="35"/>
      <c r="C742" s="35"/>
      <c r="D742" s="35"/>
      <c r="E742" s="107"/>
      <c r="F742" s="35"/>
      <c r="G742" s="35"/>
      <c r="H742" s="35"/>
      <c r="I742" s="35"/>
      <c r="J742" s="35"/>
      <c r="K742" s="35"/>
      <c r="L742" s="35"/>
      <c r="M742" s="35"/>
      <c r="N742" s="35"/>
      <c r="O742" s="35"/>
      <c r="P742" s="35"/>
      <c r="Q742" s="35"/>
      <c r="R742" s="35"/>
      <c r="S742" s="35"/>
      <c r="T742" s="35"/>
      <c r="U742" s="35"/>
      <c r="V742" s="35"/>
      <c r="W742" s="35"/>
      <c r="X742" s="35"/>
      <c r="Y742" s="35"/>
      <c r="Z742" s="35"/>
      <c r="AA742" s="35"/>
    </row>
    <row r="743">
      <c r="A743" s="35"/>
      <c r="B743" s="35"/>
      <c r="C743" s="35"/>
      <c r="D743" s="35"/>
      <c r="E743" s="107"/>
      <c r="F743" s="35"/>
      <c r="G743" s="35"/>
      <c r="H743" s="35"/>
      <c r="I743" s="35"/>
      <c r="J743" s="35"/>
      <c r="K743" s="35"/>
      <c r="L743" s="35"/>
      <c r="M743" s="35"/>
      <c r="N743" s="35"/>
      <c r="O743" s="35"/>
      <c r="P743" s="35"/>
      <c r="Q743" s="35"/>
      <c r="R743" s="35"/>
      <c r="S743" s="35"/>
      <c r="T743" s="35"/>
      <c r="U743" s="35"/>
      <c r="V743" s="35"/>
      <c r="W743" s="35"/>
      <c r="X743" s="35"/>
      <c r="Y743" s="35"/>
      <c r="Z743" s="35"/>
      <c r="AA743" s="35"/>
    </row>
    <row r="744">
      <c r="A744" s="35"/>
      <c r="B744" s="35"/>
      <c r="C744" s="35"/>
      <c r="D744" s="35"/>
      <c r="E744" s="107"/>
      <c r="F744" s="35"/>
      <c r="G744" s="35"/>
      <c r="H744" s="35"/>
      <c r="I744" s="35"/>
      <c r="J744" s="35"/>
      <c r="K744" s="35"/>
      <c r="L744" s="35"/>
      <c r="M744" s="35"/>
      <c r="N744" s="35"/>
      <c r="O744" s="35"/>
      <c r="P744" s="35"/>
      <c r="Q744" s="35"/>
      <c r="R744" s="35"/>
      <c r="S744" s="35"/>
      <c r="T744" s="35"/>
      <c r="U744" s="35"/>
      <c r="V744" s="35"/>
      <c r="W744" s="35"/>
      <c r="X744" s="35"/>
      <c r="Y744" s="35"/>
      <c r="Z744" s="35"/>
      <c r="AA744" s="35"/>
    </row>
    <row r="745">
      <c r="A745" s="35"/>
      <c r="B745" s="35"/>
      <c r="C745" s="35"/>
      <c r="D745" s="35"/>
      <c r="E745" s="107"/>
      <c r="F745" s="35"/>
      <c r="G745" s="35"/>
      <c r="H745" s="35"/>
      <c r="I745" s="35"/>
      <c r="J745" s="35"/>
      <c r="K745" s="35"/>
      <c r="L745" s="35"/>
      <c r="M745" s="35"/>
      <c r="N745" s="35"/>
      <c r="O745" s="35"/>
      <c r="P745" s="35"/>
      <c r="Q745" s="35"/>
      <c r="R745" s="35"/>
      <c r="S745" s="35"/>
      <c r="T745" s="35"/>
      <c r="U745" s="35"/>
      <c r="V745" s="35"/>
      <c r="W745" s="35"/>
      <c r="X745" s="35"/>
      <c r="Y745" s="35"/>
      <c r="Z745" s="35"/>
      <c r="AA745" s="35"/>
    </row>
    <row r="746">
      <c r="A746" s="35"/>
      <c r="B746" s="35"/>
      <c r="C746" s="35"/>
      <c r="D746" s="35"/>
      <c r="E746" s="107"/>
      <c r="F746" s="35"/>
      <c r="G746" s="35"/>
      <c r="H746" s="35"/>
      <c r="I746" s="35"/>
      <c r="J746" s="35"/>
      <c r="K746" s="35"/>
      <c r="L746" s="35"/>
      <c r="M746" s="35"/>
      <c r="N746" s="35"/>
      <c r="O746" s="35"/>
      <c r="P746" s="35"/>
      <c r="Q746" s="35"/>
      <c r="R746" s="35"/>
      <c r="S746" s="35"/>
      <c r="T746" s="35"/>
      <c r="U746" s="35"/>
      <c r="V746" s="35"/>
      <c r="W746" s="35"/>
      <c r="X746" s="35"/>
      <c r="Y746" s="35"/>
      <c r="Z746" s="35"/>
      <c r="AA746" s="35"/>
    </row>
    <row r="747">
      <c r="A747" s="35"/>
      <c r="B747" s="35"/>
      <c r="C747" s="35"/>
      <c r="D747" s="35"/>
      <c r="E747" s="107"/>
      <c r="F747" s="35"/>
      <c r="G747" s="35"/>
      <c r="H747" s="35"/>
      <c r="I747" s="35"/>
      <c r="J747" s="35"/>
      <c r="K747" s="35"/>
      <c r="L747" s="35"/>
      <c r="M747" s="35"/>
      <c r="N747" s="35"/>
      <c r="O747" s="35"/>
      <c r="P747" s="35"/>
      <c r="Q747" s="35"/>
      <c r="R747" s="35"/>
      <c r="S747" s="35"/>
      <c r="T747" s="35"/>
      <c r="U747" s="35"/>
      <c r="V747" s="35"/>
      <c r="W747" s="35"/>
      <c r="X747" s="35"/>
      <c r="Y747" s="35"/>
      <c r="Z747" s="35"/>
      <c r="AA747" s="35"/>
    </row>
    <row r="748">
      <c r="A748" s="35"/>
      <c r="B748" s="35"/>
      <c r="C748" s="35"/>
      <c r="D748" s="35"/>
      <c r="E748" s="107"/>
      <c r="F748" s="35"/>
      <c r="G748" s="35"/>
      <c r="H748" s="35"/>
      <c r="I748" s="35"/>
      <c r="J748" s="35"/>
      <c r="K748" s="35"/>
      <c r="L748" s="35"/>
      <c r="M748" s="35"/>
      <c r="N748" s="35"/>
      <c r="O748" s="35"/>
      <c r="P748" s="35"/>
      <c r="Q748" s="35"/>
      <c r="R748" s="35"/>
      <c r="S748" s="35"/>
      <c r="T748" s="35"/>
      <c r="U748" s="35"/>
      <c r="V748" s="35"/>
      <c r="W748" s="35"/>
      <c r="X748" s="35"/>
      <c r="Y748" s="35"/>
      <c r="Z748" s="35"/>
      <c r="AA748" s="35"/>
    </row>
    <row r="749">
      <c r="A749" s="35"/>
      <c r="B749" s="35"/>
      <c r="C749" s="35"/>
      <c r="D749" s="35"/>
      <c r="E749" s="107"/>
      <c r="F749" s="35"/>
      <c r="G749" s="35"/>
      <c r="H749" s="35"/>
      <c r="I749" s="35"/>
      <c r="J749" s="35"/>
      <c r="K749" s="35"/>
      <c r="L749" s="35"/>
      <c r="M749" s="35"/>
      <c r="N749" s="35"/>
      <c r="O749" s="35"/>
      <c r="P749" s="35"/>
      <c r="Q749" s="35"/>
      <c r="R749" s="35"/>
      <c r="S749" s="35"/>
      <c r="T749" s="35"/>
      <c r="U749" s="35"/>
      <c r="V749" s="35"/>
      <c r="W749" s="35"/>
      <c r="X749" s="35"/>
      <c r="Y749" s="35"/>
      <c r="Z749" s="35"/>
      <c r="AA749" s="35"/>
    </row>
    <row r="750">
      <c r="A750" s="35"/>
      <c r="B750" s="35"/>
      <c r="C750" s="35"/>
      <c r="D750" s="35"/>
      <c r="E750" s="107"/>
      <c r="F750" s="35"/>
      <c r="G750" s="35"/>
      <c r="H750" s="35"/>
      <c r="I750" s="35"/>
      <c r="J750" s="35"/>
      <c r="K750" s="35"/>
      <c r="L750" s="35"/>
      <c r="M750" s="35"/>
      <c r="N750" s="35"/>
      <c r="O750" s="35"/>
      <c r="P750" s="35"/>
      <c r="Q750" s="35"/>
      <c r="R750" s="35"/>
      <c r="S750" s="35"/>
      <c r="T750" s="35"/>
      <c r="U750" s="35"/>
      <c r="V750" s="35"/>
      <c r="W750" s="35"/>
      <c r="X750" s="35"/>
      <c r="Y750" s="35"/>
      <c r="Z750" s="35"/>
      <c r="AA750" s="35"/>
    </row>
    <row r="751">
      <c r="A751" s="35"/>
      <c r="B751" s="35"/>
      <c r="C751" s="35"/>
      <c r="D751" s="35"/>
      <c r="E751" s="107"/>
      <c r="F751" s="35"/>
      <c r="G751" s="35"/>
      <c r="H751" s="35"/>
      <c r="I751" s="35"/>
      <c r="J751" s="35"/>
      <c r="K751" s="35"/>
      <c r="L751" s="35"/>
      <c r="M751" s="35"/>
      <c r="N751" s="35"/>
      <c r="O751" s="35"/>
      <c r="P751" s="35"/>
      <c r="Q751" s="35"/>
      <c r="R751" s="35"/>
      <c r="S751" s="35"/>
      <c r="T751" s="35"/>
      <c r="U751" s="35"/>
      <c r="V751" s="35"/>
      <c r="W751" s="35"/>
      <c r="X751" s="35"/>
      <c r="Y751" s="35"/>
      <c r="Z751" s="35"/>
      <c r="AA751" s="35"/>
    </row>
    <row r="752">
      <c r="A752" s="35"/>
      <c r="B752" s="35"/>
      <c r="C752" s="35"/>
      <c r="D752" s="35"/>
      <c r="E752" s="107"/>
      <c r="F752" s="35"/>
      <c r="G752" s="35"/>
      <c r="H752" s="35"/>
      <c r="I752" s="35"/>
      <c r="J752" s="35"/>
      <c r="K752" s="35"/>
      <c r="L752" s="35"/>
      <c r="M752" s="35"/>
      <c r="N752" s="35"/>
      <c r="O752" s="35"/>
      <c r="P752" s="35"/>
      <c r="Q752" s="35"/>
      <c r="R752" s="35"/>
      <c r="S752" s="35"/>
      <c r="T752" s="35"/>
      <c r="U752" s="35"/>
      <c r="V752" s="35"/>
      <c r="W752" s="35"/>
      <c r="X752" s="35"/>
      <c r="Y752" s="35"/>
      <c r="Z752" s="35"/>
      <c r="AA752" s="35"/>
    </row>
    <row r="753">
      <c r="A753" s="35"/>
      <c r="B753" s="35"/>
      <c r="C753" s="35"/>
      <c r="D753" s="35"/>
      <c r="E753" s="107"/>
      <c r="F753" s="35"/>
      <c r="G753" s="35"/>
      <c r="H753" s="35"/>
      <c r="I753" s="35"/>
      <c r="J753" s="35"/>
      <c r="K753" s="35"/>
      <c r="L753" s="35"/>
      <c r="M753" s="35"/>
      <c r="N753" s="35"/>
      <c r="O753" s="35"/>
      <c r="P753" s="35"/>
      <c r="Q753" s="35"/>
      <c r="R753" s="35"/>
      <c r="S753" s="35"/>
      <c r="T753" s="35"/>
      <c r="U753" s="35"/>
      <c r="V753" s="35"/>
      <c r="W753" s="35"/>
      <c r="X753" s="35"/>
      <c r="Y753" s="35"/>
      <c r="Z753" s="35"/>
      <c r="AA753" s="35"/>
    </row>
    <row r="754">
      <c r="A754" s="35"/>
      <c r="B754" s="35"/>
      <c r="C754" s="35"/>
      <c r="D754" s="35"/>
      <c r="E754" s="107"/>
      <c r="F754" s="35"/>
      <c r="G754" s="35"/>
      <c r="H754" s="35"/>
      <c r="I754" s="35"/>
      <c r="J754" s="35"/>
      <c r="K754" s="35"/>
      <c r="L754" s="35"/>
      <c r="M754" s="35"/>
      <c r="N754" s="35"/>
      <c r="O754" s="35"/>
      <c r="P754" s="35"/>
      <c r="Q754" s="35"/>
      <c r="R754" s="35"/>
      <c r="S754" s="35"/>
      <c r="T754" s="35"/>
      <c r="U754" s="35"/>
      <c r="V754" s="35"/>
      <c r="W754" s="35"/>
      <c r="X754" s="35"/>
      <c r="Y754" s="35"/>
      <c r="Z754" s="35"/>
      <c r="AA754" s="35"/>
    </row>
    <row r="755">
      <c r="A755" s="35"/>
      <c r="B755" s="35"/>
      <c r="C755" s="35"/>
      <c r="D755" s="35"/>
      <c r="E755" s="107"/>
      <c r="F755" s="35"/>
      <c r="G755" s="35"/>
      <c r="H755" s="35"/>
      <c r="I755" s="35"/>
      <c r="J755" s="35"/>
      <c r="K755" s="35"/>
      <c r="L755" s="35"/>
      <c r="M755" s="35"/>
      <c r="N755" s="35"/>
      <c r="O755" s="35"/>
      <c r="P755" s="35"/>
      <c r="Q755" s="35"/>
      <c r="R755" s="35"/>
      <c r="S755" s="35"/>
      <c r="T755" s="35"/>
      <c r="U755" s="35"/>
      <c r="V755" s="35"/>
      <c r="W755" s="35"/>
      <c r="X755" s="35"/>
      <c r="Y755" s="35"/>
      <c r="Z755" s="35"/>
      <c r="AA755" s="35"/>
    </row>
    <row r="756">
      <c r="A756" s="35"/>
      <c r="B756" s="35"/>
      <c r="C756" s="35"/>
      <c r="D756" s="35"/>
      <c r="E756" s="107"/>
      <c r="F756" s="35"/>
      <c r="G756" s="35"/>
      <c r="H756" s="35"/>
      <c r="I756" s="35"/>
      <c r="J756" s="35"/>
      <c r="K756" s="35"/>
      <c r="L756" s="35"/>
      <c r="M756" s="35"/>
      <c r="N756" s="35"/>
      <c r="O756" s="35"/>
      <c r="P756" s="35"/>
      <c r="Q756" s="35"/>
      <c r="R756" s="35"/>
      <c r="S756" s="35"/>
      <c r="T756" s="35"/>
      <c r="U756" s="35"/>
      <c r="V756" s="35"/>
      <c r="W756" s="35"/>
      <c r="X756" s="35"/>
      <c r="Y756" s="35"/>
      <c r="Z756" s="35"/>
      <c r="AA756" s="35"/>
    </row>
    <row r="757">
      <c r="A757" s="35"/>
      <c r="B757" s="35"/>
      <c r="C757" s="35"/>
      <c r="D757" s="35"/>
      <c r="E757" s="107"/>
      <c r="F757" s="35"/>
      <c r="G757" s="35"/>
      <c r="H757" s="35"/>
      <c r="I757" s="35"/>
      <c r="J757" s="35"/>
      <c r="K757" s="35"/>
      <c r="L757" s="35"/>
      <c r="M757" s="35"/>
      <c r="N757" s="35"/>
      <c r="O757" s="35"/>
      <c r="P757" s="35"/>
      <c r="Q757" s="35"/>
      <c r="R757" s="35"/>
      <c r="S757" s="35"/>
      <c r="T757" s="35"/>
      <c r="U757" s="35"/>
      <c r="V757" s="35"/>
      <c r="W757" s="35"/>
      <c r="X757" s="35"/>
      <c r="Y757" s="35"/>
      <c r="Z757" s="35"/>
      <c r="AA757" s="35"/>
    </row>
    <row r="758">
      <c r="A758" s="35"/>
      <c r="B758" s="35"/>
      <c r="C758" s="35"/>
      <c r="D758" s="35"/>
      <c r="E758" s="107"/>
      <c r="F758" s="35"/>
      <c r="G758" s="35"/>
      <c r="H758" s="35"/>
      <c r="I758" s="35"/>
      <c r="J758" s="35"/>
      <c r="K758" s="35"/>
      <c r="L758" s="35"/>
      <c r="M758" s="35"/>
      <c r="N758" s="35"/>
      <c r="O758" s="35"/>
      <c r="P758" s="35"/>
      <c r="Q758" s="35"/>
      <c r="R758" s="35"/>
      <c r="S758" s="35"/>
      <c r="T758" s="35"/>
      <c r="U758" s="35"/>
      <c r="V758" s="35"/>
      <c r="W758" s="35"/>
      <c r="X758" s="35"/>
      <c r="Y758" s="35"/>
      <c r="Z758" s="35"/>
      <c r="AA758" s="35"/>
    </row>
    <row r="759">
      <c r="A759" s="35"/>
      <c r="B759" s="35"/>
      <c r="C759" s="35"/>
      <c r="D759" s="35"/>
      <c r="E759" s="107"/>
      <c r="F759" s="35"/>
      <c r="G759" s="35"/>
      <c r="H759" s="35"/>
      <c r="I759" s="35"/>
      <c r="J759" s="35"/>
      <c r="K759" s="35"/>
      <c r="L759" s="35"/>
      <c r="M759" s="35"/>
      <c r="N759" s="35"/>
      <c r="O759" s="35"/>
      <c r="P759" s="35"/>
      <c r="Q759" s="35"/>
      <c r="R759" s="35"/>
      <c r="S759" s="35"/>
      <c r="T759" s="35"/>
      <c r="U759" s="35"/>
      <c r="V759" s="35"/>
      <c r="W759" s="35"/>
      <c r="X759" s="35"/>
      <c r="Y759" s="35"/>
      <c r="Z759" s="35"/>
      <c r="AA759" s="35"/>
    </row>
    <row r="760">
      <c r="A760" s="35"/>
      <c r="B760" s="35"/>
      <c r="C760" s="35"/>
      <c r="D760" s="35"/>
      <c r="E760" s="107"/>
      <c r="F760" s="35"/>
      <c r="G760" s="35"/>
      <c r="H760" s="35"/>
      <c r="I760" s="35"/>
      <c r="J760" s="35"/>
      <c r="K760" s="35"/>
      <c r="L760" s="35"/>
      <c r="M760" s="35"/>
      <c r="N760" s="35"/>
      <c r="O760" s="35"/>
      <c r="P760" s="35"/>
      <c r="Q760" s="35"/>
      <c r="R760" s="35"/>
      <c r="S760" s="35"/>
      <c r="T760" s="35"/>
      <c r="U760" s="35"/>
      <c r="V760" s="35"/>
      <c r="W760" s="35"/>
      <c r="X760" s="35"/>
      <c r="Y760" s="35"/>
      <c r="Z760" s="35"/>
      <c r="AA760" s="35"/>
    </row>
    <row r="761">
      <c r="A761" s="35"/>
      <c r="B761" s="35"/>
      <c r="C761" s="35"/>
      <c r="D761" s="35"/>
      <c r="E761" s="107"/>
      <c r="F761" s="35"/>
      <c r="G761" s="35"/>
      <c r="H761" s="35"/>
      <c r="I761" s="35"/>
      <c r="J761" s="35"/>
      <c r="K761" s="35"/>
      <c r="L761" s="35"/>
      <c r="M761" s="35"/>
      <c r="N761" s="35"/>
      <c r="O761" s="35"/>
      <c r="P761" s="35"/>
      <c r="Q761" s="35"/>
      <c r="R761" s="35"/>
      <c r="S761" s="35"/>
      <c r="T761" s="35"/>
      <c r="U761" s="35"/>
      <c r="V761" s="35"/>
      <c r="W761" s="35"/>
      <c r="X761" s="35"/>
      <c r="Y761" s="35"/>
      <c r="Z761" s="35"/>
      <c r="AA761" s="35"/>
    </row>
    <row r="762">
      <c r="A762" s="35"/>
      <c r="B762" s="35"/>
      <c r="C762" s="35"/>
      <c r="D762" s="35"/>
      <c r="E762" s="107"/>
      <c r="F762" s="35"/>
      <c r="G762" s="35"/>
      <c r="H762" s="35"/>
      <c r="I762" s="35"/>
      <c r="J762" s="35"/>
      <c r="K762" s="35"/>
      <c r="L762" s="35"/>
      <c r="M762" s="35"/>
      <c r="N762" s="35"/>
      <c r="O762" s="35"/>
      <c r="P762" s="35"/>
      <c r="Q762" s="35"/>
      <c r="R762" s="35"/>
      <c r="S762" s="35"/>
      <c r="T762" s="35"/>
      <c r="U762" s="35"/>
      <c r="V762" s="35"/>
      <c r="W762" s="35"/>
      <c r="X762" s="35"/>
      <c r="Y762" s="35"/>
      <c r="Z762" s="35"/>
      <c r="AA762" s="35"/>
    </row>
    <row r="763">
      <c r="A763" s="35"/>
      <c r="B763" s="35"/>
      <c r="C763" s="35"/>
      <c r="D763" s="35"/>
      <c r="E763" s="107"/>
      <c r="F763" s="35"/>
      <c r="G763" s="35"/>
      <c r="H763" s="35"/>
      <c r="I763" s="35"/>
      <c r="J763" s="35"/>
      <c r="K763" s="35"/>
      <c r="L763" s="35"/>
      <c r="M763" s="35"/>
      <c r="N763" s="35"/>
      <c r="O763" s="35"/>
      <c r="P763" s="35"/>
      <c r="Q763" s="35"/>
      <c r="R763" s="35"/>
      <c r="S763" s="35"/>
      <c r="T763" s="35"/>
      <c r="U763" s="35"/>
      <c r="V763" s="35"/>
      <c r="W763" s="35"/>
      <c r="X763" s="35"/>
      <c r="Y763" s="35"/>
      <c r="Z763" s="35"/>
      <c r="AA763" s="35"/>
    </row>
    <row r="764">
      <c r="A764" s="35"/>
      <c r="B764" s="35"/>
      <c r="C764" s="35"/>
      <c r="D764" s="35"/>
      <c r="E764" s="107"/>
      <c r="F764" s="35"/>
      <c r="G764" s="35"/>
      <c r="H764" s="35"/>
      <c r="I764" s="35"/>
      <c r="J764" s="35"/>
      <c r="K764" s="35"/>
      <c r="L764" s="35"/>
      <c r="M764" s="35"/>
      <c r="N764" s="35"/>
      <c r="O764" s="35"/>
      <c r="P764" s="35"/>
      <c r="Q764" s="35"/>
      <c r="R764" s="35"/>
      <c r="S764" s="35"/>
      <c r="T764" s="35"/>
      <c r="U764" s="35"/>
      <c r="V764" s="35"/>
      <c r="W764" s="35"/>
      <c r="X764" s="35"/>
      <c r="Y764" s="35"/>
      <c r="Z764" s="35"/>
      <c r="AA764" s="35"/>
    </row>
    <row r="765">
      <c r="A765" s="35"/>
      <c r="B765" s="35"/>
      <c r="C765" s="35"/>
      <c r="D765" s="35"/>
      <c r="E765" s="107"/>
      <c r="F765" s="35"/>
      <c r="G765" s="35"/>
      <c r="H765" s="35"/>
      <c r="I765" s="35"/>
      <c r="J765" s="35"/>
      <c r="K765" s="35"/>
      <c r="L765" s="35"/>
      <c r="M765" s="35"/>
      <c r="N765" s="35"/>
      <c r="O765" s="35"/>
      <c r="P765" s="35"/>
      <c r="Q765" s="35"/>
      <c r="R765" s="35"/>
      <c r="S765" s="35"/>
      <c r="T765" s="35"/>
      <c r="U765" s="35"/>
      <c r="V765" s="35"/>
      <c r="W765" s="35"/>
      <c r="X765" s="35"/>
      <c r="Y765" s="35"/>
      <c r="Z765" s="35"/>
      <c r="AA765" s="35"/>
    </row>
    <row r="766">
      <c r="A766" s="35"/>
      <c r="B766" s="35"/>
      <c r="C766" s="35"/>
      <c r="D766" s="35"/>
      <c r="E766" s="107"/>
      <c r="F766" s="35"/>
      <c r="G766" s="35"/>
      <c r="H766" s="35"/>
      <c r="I766" s="35"/>
      <c r="J766" s="35"/>
      <c r="K766" s="35"/>
      <c r="L766" s="35"/>
      <c r="M766" s="35"/>
      <c r="N766" s="35"/>
      <c r="O766" s="35"/>
      <c r="P766" s="35"/>
      <c r="Q766" s="35"/>
      <c r="R766" s="35"/>
      <c r="S766" s="35"/>
      <c r="T766" s="35"/>
      <c r="U766" s="35"/>
      <c r="V766" s="35"/>
      <c r="W766" s="35"/>
      <c r="X766" s="35"/>
      <c r="Y766" s="35"/>
      <c r="Z766" s="35"/>
      <c r="AA766" s="35"/>
    </row>
    <row r="767">
      <c r="A767" s="35"/>
      <c r="B767" s="35"/>
      <c r="C767" s="35"/>
      <c r="D767" s="35"/>
      <c r="E767" s="107"/>
      <c r="F767" s="35"/>
      <c r="G767" s="35"/>
      <c r="H767" s="35"/>
      <c r="I767" s="35"/>
      <c r="J767" s="35"/>
      <c r="K767" s="35"/>
      <c r="L767" s="35"/>
      <c r="M767" s="35"/>
      <c r="N767" s="35"/>
      <c r="O767" s="35"/>
      <c r="P767" s="35"/>
      <c r="Q767" s="35"/>
      <c r="R767" s="35"/>
      <c r="S767" s="35"/>
      <c r="T767" s="35"/>
      <c r="U767" s="35"/>
      <c r="V767" s="35"/>
      <c r="W767" s="35"/>
      <c r="X767" s="35"/>
      <c r="Y767" s="35"/>
      <c r="Z767" s="35"/>
      <c r="AA767" s="35"/>
    </row>
    <row r="768">
      <c r="A768" s="35"/>
      <c r="B768" s="35"/>
      <c r="C768" s="35"/>
      <c r="D768" s="35"/>
      <c r="E768" s="107"/>
      <c r="F768" s="35"/>
      <c r="G768" s="35"/>
      <c r="H768" s="35"/>
      <c r="I768" s="35"/>
      <c r="J768" s="35"/>
      <c r="K768" s="35"/>
      <c r="L768" s="35"/>
      <c r="M768" s="35"/>
      <c r="N768" s="35"/>
      <c r="O768" s="35"/>
      <c r="P768" s="35"/>
      <c r="Q768" s="35"/>
      <c r="R768" s="35"/>
      <c r="S768" s="35"/>
      <c r="T768" s="35"/>
      <c r="U768" s="35"/>
      <c r="V768" s="35"/>
      <c r="W768" s="35"/>
      <c r="X768" s="35"/>
      <c r="Y768" s="35"/>
      <c r="Z768" s="35"/>
      <c r="AA768" s="35"/>
    </row>
    <row r="769">
      <c r="A769" s="35"/>
      <c r="B769" s="35"/>
      <c r="C769" s="35"/>
      <c r="D769" s="35"/>
      <c r="E769" s="107"/>
      <c r="F769" s="35"/>
      <c r="G769" s="35"/>
      <c r="H769" s="35"/>
      <c r="I769" s="35"/>
      <c r="J769" s="35"/>
      <c r="K769" s="35"/>
      <c r="L769" s="35"/>
      <c r="M769" s="35"/>
      <c r="N769" s="35"/>
      <c r="O769" s="35"/>
      <c r="P769" s="35"/>
      <c r="Q769" s="35"/>
      <c r="R769" s="35"/>
      <c r="S769" s="35"/>
      <c r="T769" s="35"/>
      <c r="U769" s="35"/>
      <c r="V769" s="35"/>
      <c r="W769" s="35"/>
      <c r="X769" s="35"/>
      <c r="Y769" s="35"/>
      <c r="Z769" s="35"/>
      <c r="AA769" s="35"/>
    </row>
    <row r="770">
      <c r="A770" s="35"/>
      <c r="B770" s="35"/>
      <c r="C770" s="35"/>
      <c r="D770" s="35"/>
      <c r="E770" s="107"/>
      <c r="F770" s="35"/>
      <c r="G770" s="35"/>
      <c r="H770" s="35"/>
      <c r="I770" s="35"/>
      <c r="J770" s="35"/>
      <c r="K770" s="35"/>
      <c r="L770" s="35"/>
      <c r="M770" s="35"/>
      <c r="N770" s="35"/>
      <c r="O770" s="35"/>
      <c r="P770" s="35"/>
      <c r="Q770" s="35"/>
      <c r="R770" s="35"/>
      <c r="S770" s="35"/>
      <c r="T770" s="35"/>
      <c r="U770" s="35"/>
      <c r="V770" s="35"/>
      <c r="W770" s="35"/>
      <c r="X770" s="35"/>
      <c r="Y770" s="35"/>
      <c r="Z770" s="35"/>
      <c r="AA770" s="35"/>
    </row>
    <row r="771">
      <c r="A771" s="35"/>
      <c r="B771" s="35"/>
      <c r="C771" s="35"/>
      <c r="D771" s="35"/>
      <c r="E771" s="107"/>
      <c r="F771" s="35"/>
      <c r="G771" s="35"/>
      <c r="H771" s="35"/>
      <c r="I771" s="35"/>
      <c r="J771" s="35"/>
      <c r="K771" s="35"/>
      <c r="L771" s="35"/>
      <c r="M771" s="35"/>
      <c r="N771" s="35"/>
      <c r="O771" s="35"/>
      <c r="P771" s="35"/>
      <c r="Q771" s="35"/>
      <c r="R771" s="35"/>
      <c r="S771" s="35"/>
      <c r="T771" s="35"/>
      <c r="U771" s="35"/>
      <c r="V771" s="35"/>
      <c r="W771" s="35"/>
      <c r="X771" s="35"/>
      <c r="Y771" s="35"/>
      <c r="Z771" s="35"/>
      <c r="AA771" s="35"/>
    </row>
    <row r="772">
      <c r="A772" s="35"/>
      <c r="B772" s="35"/>
      <c r="C772" s="35"/>
      <c r="D772" s="35"/>
      <c r="E772" s="107"/>
      <c r="F772" s="35"/>
      <c r="G772" s="35"/>
      <c r="H772" s="35"/>
      <c r="I772" s="35"/>
      <c r="J772" s="35"/>
      <c r="K772" s="35"/>
      <c r="L772" s="35"/>
      <c r="M772" s="35"/>
      <c r="N772" s="35"/>
      <c r="O772" s="35"/>
      <c r="P772" s="35"/>
      <c r="Q772" s="35"/>
      <c r="R772" s="35"/>
      <c r="S772" s="35"/>
      <c r="T772" s="35"/>
      <c r="U772" s="35"/>
      <c r="V772" s="35"/>
      <c r="W772" s="35"/>
      <c r="X772" s="35"/>
      <c r="Y772" s="35"/>
      <c r="Z772" s="35"/>
      <c r="AA772" s="35"/>
    </row>
    <row r="773">
      <c r="A773" s="35"/>
      <c r="B773" s="35"/>
      <c r="C773" s="35"/>
      <c r="D773" s="35"/>
      <c r="E773" s="107"/>
      <c r="F773" s="35"/>
      <c r="G773" s="35"/>
      <c r="H773" s="35"/>
      <c r="I773" s="35"/>
      <c r="J773" s="35"/>
      <c r="K773" s="35"/>
      <c r="L773" s="35"/>
      <c r="M773" s="35"/>
      <c r="N773" s="35"/>
      <c r="O773" s="35"/>
      <c r="P773" s="35"/>
      <c r="Q773" s="35"/>
      <c r="R773" s="35"/>
      <c r="S773" s="35"/>
      <c r="T773" s="35"/>
      <c r="U773" s="35"/>
      <c r="V773" s="35"/>
      <c r="W773" s="35"/>
      <c r="X773" s="35"/>
      <c r="Y773" s="35"/>
      <c r="Z773" s="35"/>
      <c r="AA773" s="35"/>
    </row>
    <row r="774">
      <c r="A774" s="35"/>
      <c r="B774" s="35"/>
      <c r="C774" s="35"/>
      <c r="D774" s="35"/>
      <c r="E774" s="107"/>
      <c r="F774" s="35"/>
      <c r="G774" s="35"/>
      <c r="H774" s="35"/>
      <c r="I774" s="35"/>
      <c r="J774" s="35"/>
      <c r="K774" s="35"/>
      <c r="L774" s="35"/>
      <c r="M774" s="35"/>
      <c r="N774" s="35"/>
      <c r="O774" s="35"/>
      <c r="P774" s="35"/>
      <c r="Q774" s="35"/>
      <c r="R774" s="35"/>
      <c r="S774" s="35"/>
      <c r="T774" s="35"/>
      <c r="U774" s="35"/>
      <c r="V774" s="35"/>
      <c r="W774" s="35"/>
      <c r="X774" s="35"/>
      <c r="Y774" s="35"/>
      <c r="Z774" s="35"/>
      <c r="AA774" s="35"/>
    </row>
    <row r="775">
      <c r="A775" s="35"/>
      <c r="B775" s="35"/>
      <c r="C775" s="35"/>
      <c r="D775" s="35"/>
      <c r="E775" s="107"/>
      <c r="F775" s="35"/>
      <c r="G775" s="35"/>
      <c r="H775" s="35"/>
      <c r="I775" s="35"/>
      <c r="J775" s="35"/>
      <c r="K775" s="35"/>
      <c r="L775" s="35"/>
      <c r="M775" s="35"/>
      <c r="N775" s="35"/>
      <c r="O775" s="35"/>
      <c r="P775" s="35"/>
      <c r="Q775" s="35"/>
      <c r="R775" s="35"/>
      <c r="S775" s="35"/>
      <c r="T775" s="35"/>
      <c r="U775" s="35"/>
      <c r="V775" s="35"/>
      <c r="W775" s="35"/>
      <c r="X775" s="35"/>
      <c r="Y775" s="35"/>
      <c r="Z775" s="35"/>
      <c r="AA775" s="35"/>
    </row>
    <row r="776">
      <c r="A776" s="35"/>
      <c r="B776" s="35"/>
      <c r="C776" s="35"/>
      <c r="D776" s="35"/>
      <c r="E776" s="107"/>
      <c r="F776" s="35"/>
      <c r="G776" s="35"/>
      <c r="H776" s="35"/>
      <c r="I776" s="35"/>
      <c r="J776" s="35"/>
      <c r="K776" s="35"/>
      <c r="L776" s="35"/>
      <c r="M776" s="35"/>
      <c r="N776" s="35"/>
      <c r="O776" s="35"/>
      <c r="P776" s="35"/>
      <c r="Q776" s="35"/>
      <c r="R776" s="35"/>
      <c r="S776" s="35"/>
      <c r="T776" s="35"/>
      <c r="U776" s="35"/>
      <c r="V776" s="35"/>
      <c r="W776" s="35"/>
      <c r="X776" s="35"/>
      <c r="Y776" s="35"/>
      <c r="Z776" s="35"/>
      <c r="AA776" s="35"/>
    </row>
    <row r="777">
      <c r="A777" s="35"/>
      <c r="B777" s="35"/>
      <c r="C777" s="35"/>
      <c r="D777" s="35"/>
      <c r="E777" s="107"/>
      <c r="F777" s="35"/>
      <c r="G777" s="35"/>
      <c r="H777" s="35"/>
      <c r="I777" s="35"/>
      <c r="J777" s="35"/>
      <c r="K777" s="35"/>
      <c r="L777" s="35"/>
      <c r="M777" s="35"/>
      <c r="N777" s="35"/>
      <c r="O777" s="35"/>
      <c r="P777" s="35"/>
      <c r="Q777" s="35"/>
      <c r="R777" s="35"/>
      <c r="S777" s="35"/>
      <c r="T777" s="35"/>
      <c r="U777" s="35"/>
      <c r="V777" s="35"/>
      <c r="W777" s="35"/>
      <c r="X777" s="35"/>
      <c r="Y777" s="35"/>
      <c r="Z777" s="35"/>
      <c r="AA777" s="35"/>
    </row>
    <row r="778">
      <c r="A778" s="35"/>
      <c r="B778" s="35"/>
      <c r="C778" s="35"/>
      <c r="D778" s="35"/>
      <c r="E778" s="107"/>
      <c r="F778" s="35"/>
      <c r="G778" s="35"/>
      <c r="H778" s="35"/>
      <c r="I778" s="35"/>
      <c r="J778" s="35"/>
      <c r="K778" s="35"/>
      <c r="L778" s="35"/>
      <c r="M778" s="35"/>
      <c r="N778" s="35"/>
      <c r="O778" s="35"/>
      <c r="P778" s="35"/>
      <c r="Q778" s="35"/>
      <c r="R778" s="35"/>
      <c r="S778" s="35"/>
      <c r="T778" s="35"/>
      <c r="U778" s="35"/>
      <c r="V778" s="35"/>
      <c r="W778" s="35"/>
      <c r="X778" s="35"/>
      <c r="Y778" s="35"/>
      <c r="Z778" s="35"/>
      <c r="AA778" s="35"/>
    </row>
    <row r="779">
      <c r="A779" s="35"/>
      <c r="B779" s="35"/>
      <c r="C779" s="35"/>
      <c r="D779" s="35"/>
      <c r="E779" s="107"/>
      <c r="F779" s="35"/>
      <c r="G779" s="35"/>
      <c r="H779" s="35"/>
      <c r="I779" s="35"/>
      <c r="J779" s="35"/>
      <c r="K779" s="35"/>
      <c r="L779" s="35"/>
      <c r="M779" s="35"/>
      <c r="N779" s="35"/>
      <c r="O779" s="35"/>
      <c r="P779" s="35"/>
      <c r="Q779" s="35"/>
      <c r="R779" s="35"/>
      <c r="S779" s="35"/>
      <c r="T779" s="35"/>
      <c r="U779" s="35"/>
      <c r="V779" s="35"/>
      <c r="W779" s="35"/>
      <c r="X779" s="35"/>
      <c r="Y779" s="35"/>
      <c r="Z779" s="35"/>
      <c r="AA779" s="35"/>
    </row>
    <row r="780">
      <c r="A780" s="35"/>
      <c r="B780" s="35"/>
      <c r="C780" s="35"/>
      <c r="D780" s="35"/>
      <c r="E780" s="107"/>
      <c r="F780" s="35"/>
      <c r="G780" s="35"/>
      <c r="H780" s="35"/>
      <c r="I780" s="35"/>
      <c r="J780" s="35"/>
      <c r="K780" s="35"/>
      <c r="L780" s="35"/>
      <c r="M780" s="35"/>
      <c r="N780" s="35"/>
      <c r="O780" s="35"/>
      <c r="P780" s="35"/>
      <c r="Q780" s="35"/>
      <c r="R780" s="35"/>
      <c r="S780" s="35"/>
      <c r="T780" s="35"/>
      <c r="U780" s="35"/>
      <c r="V780" s="35"/>
      <c r="W780" s="35"/>
      <c r="X780" s="35"/>
      <c r="Y780" s="35"/>
      <c r="Z780" s="35"/>
      <c r="AA780" s="35"/>
    </row>
    <row r="781">
      <c r="A781" s="35"/>
      <c r="B781" s="35"/>
      <c r="C781" s="35"/>
      <c r="D781" s="35"/>
      <c r="E781" s="107"/>
      <c r="F781" s="35"/>
      <c r="G781" s="35"/>
      <c r="H781" s="35"/>
      <c r="I781" s="35"/>
      <c r="J781" s="35"/>
      <c r="K781" s="35"/>
      <c r="L781" s="35"/>
      <c r="M781" s="35"/>
      <c r="N781" s="35"/>
      <c r="O781" s="35"/>
      <c r="P781" s="35"/>
      <c r="Q781" s="35"/>
      <c r="R781" s="35"/>
      <c r="S781" s="35"/>
      <c r="T781" s="35"/>
      <c r="U781" s="35"/>
      <c r="V781" s="35"/>
      <c r="W781" s="35"/>
      <c r="X781" s="35"/>
      <c r="Y781" s="35"/>
      <c r="Z781" s="35"/>
      <c r="AA781" s="35"/>
    </row>
    <row r="782">
      <c r="A782" s="35"/>
      <c r="B782" s="35"/>
      <c r="C782" s="35"/>
      <c r="D782" s="35"/>
      <c r="E782" s="107"/>
      <c r="F782" s="35"/>
      <c r="G782" s="35"/>
      <c r="H782" s="35"/>
      <c r="I782" s="35"/>
      <c r="J782" s="35"/>
      <c r="K782" s="35"/>
      <c r="L782" s="35"/>
      <c r="M782" s="35"/>
      <c r="N782" s="35"/>
      <c r="O782" s="35"/>
      <c r="P782" s="35"/>
      <c r="Q782" s="35"/>
      <c r="R782" s="35"/>
      <c r="S782" s="35"/>
      <c r="T782" s="35"/>
      <c r="U782" s="35"/>
      <c r="V782" s="35"/>
      <c r="W782" s="35"/>
      <c r="X782" s="35"/>
      <c r="Y782" s="35"/>
      <c r="Z782" s="35"/>
      <c r="AA782" s="35"/>
    </row>
    <row r="783">
      <c r="A783" s="35"/>
      <c r="B783" s="35"/>
      <c r="C783" s="35"/>
      <c r="D783" s="35"/>
      <c r="E783" s="107"/>
      <c r="F783" s="35"/>
      <c r="G783" s="35"/>
      <c r="H783" s="35"/>
      <c r="I783" s="35"/>
      <c r="J783" s="35"/>
      <c r="K783" s="35"/>
      <c r="L783" s="35"/>
      <c r="M783" s="35"/>
      <c r="N783" s="35"/>
      <c r="O783" s="35"/>
      <c r="P783" s="35"/>
      <c r="Q783" s="35"/>
      <c r="R783" s="35"/>
      <c r="S783" s="35"/>
      <c r="T783" s="35"/>
      <c r="U783" s="35"/>
      <c r="V783" s="35"/>
      <c r="W783" s="35"/>
      <c r="X783" s="35"/>
      <c r="Y783" s="35"/>
      <c r="Z783" s="35"/>
      <c r="AA783" s="35"/>
    </row>
    <row r="784">
      <c r="A784" s="35"/>
      <c r="B784" s="35"/>
      <c r="C784" s="35"/>
      <c r="D784" s="35"/>
      <c r="E784" s="107"/>
      <c r="F784" s="35"/>
      <c r="G784" s="35"/>
      <c r="H784" s="35"/>
      <c r="I784" s="35"/>
      <c r="J784" s="35"/>
      <c r="K784" s="35"/>
      <c r="L784" s="35"/>
      <c r="M784" s="35"/>
      <c r="N784" s="35"/>
      <c r="O784" s="35"/>
      <c r="P784" s="35"/>
      <c r="Q784" s="35"/>
      <c r="R784" s="35"/>
      <c r="S784" s="35"/>
      <c r="T784" s="35"/>
      <c r="U784" s="35"/>
      <c r="V784" s="35"/>
      <c r="W784" s="35"/>
      <c r="X784" s="35"/>
      <c r="Y784" s="35"/>
      <c r="Z784" s="35"/>
      <c r="AA784" s="35"/>
    </row>
    <row r="785">
      <c r="A785" s="35"/>
      <c r="B785" s="35"/>
      <c r="C785" s="35"/>
      <c r="D785" s="35"/>
      <c r="E785" s="107"/>
      <c r="F785" s="35"/>
      <c r="G785" s="35"/>
      <c r="H785" s="35"/>
      <c r="I785" s="35"/>
      <c r="J785" s="35"/>
      <c r="K785" s="35"/>
      <c r="L785" s="35"/>
      <c r="M785" s="35"/>
      <c r="N785" s="35"/>
      <c r="O785" s="35"/>
      <c r="P785" s="35"/>
      <c r="Q785" s="35"/>
      <c r="R785" s="35"/>
      <c r="S785" s="35"/>
      <c r="T785" s="35"/>
      <c r="U785" s="35"/>
      <c r="V785" s="35"/>
      <c r="W785" s="35"/>
      <c r="X785" s="35"/>
      <c r="Y785" s="35"/>
      <c r="Z785" s="35"/>
      <c r="AA785" s="35"/>
    </row>
    <row r="786">
      <c r="A786" s="35"/>
      <c r="B786" s="35"/>
      <c r="C786" s="35"/>
      <c r="D786" s="35"/>
      <c r="E786" s="107"/>
      <c r="F786" s="35"/>
      <c r="G786" s="35"/>
      <c r="H786" s="35"/>
      <c r="I786" s="35"/>
      <c r="J786" s="35"/>
      <c r="K786" s="35"/>
      <c r="L786" s="35"/>
      <c r="M786" s="35"/>
      <c r="N786" s="35"/>
      <c r="O786" s="35"/>
      <c r="P786" s="35"/>
      <c r="Q786" s="35"/>
      <c r="R786" s="35"/>
      <c r="S786" s="35"/>
      <c r="T786" s="35"/>
      <c r="U786" s="35"/>
      <c r="V786" s="35"/>
      <c r="W786" s="35"/>
      <c r="X786" s="35"/>
      <c r="Y786" s="35"/>
      <c r="Z786" s="35"/>
      <c r="AA786" s="35"/>
    </row>
    <row r="787">
      <c r="A787" s="35"/>
      <c r="B787" s="35"/>
      <c r="C787" s="35"/>
      <c r="D787" s="35"/>
      <c r="E787" s="107"/>
      <c r="F787" s="35"/>
      <c r="G787" s="35"/>
      <c r="H787" s="35"/>
      <c r="I787" s="35"/>
      <c r="J787" s="35"/>
      <c r="K787" s="35"/>
      <c r="L787" s="35"/>
      <c r="M787" s="35"/>
      <c r="N787" s="35"/>
      <c r="O787" s="35"/>
      <c r="P787" s="35"/>
      <c r="Q787" s="35"/>
      <c r="R787" s="35"/>
      <c r="S787" s="35"/>
      <c r="T787" s="35"/>
      <c r="U787" s="35"/>
      <c r="V787" s="35"/>
      <c r="W787" s="35"/>
      <c r="X787" s="35"/>
      <c r="Y787" s="35"/>
      <c r="Z787" s="35"/>
      <c r="AA787" s="35"/>
    </row>
    <row r="788">
      <c r="A788" s="35"/>
      <c r="B788" s="35"/>
      <c r="C788" s="35"/>
      <c r="D788" s="35"/>
      <c r="E788" s="107"/>
      <c r="F788" s="35"/>
      <c r="G788" s="35"/>
      <c r="H788" s="35"/>
      <c r="I788" s="35"/>
      <c r="J788" s="35"/>
      <c r="K788" s="35"/>
      <c r="L788" s="35"/>
      <c r="M788" s="35"/>
      <c r="N788" s="35"/>
      <c r="O788" s="35"/>
      <c r="P788" s="35"/>
      <c r="Q788" s="35"/>
      <c r="R788" s="35"/>
      <c r="S788" s="35"/>
      <c r="T788" s="35"/>
      <c r="U788" s="35"/>
      <c r="V788" s="35"/>
      <c r="W788" s="35"/>
      <c r="X788" s="35"/>
      <c r="Y788" s="35"/>
      <c r="Z788" s="35"/>
      <c r="AA788" s="35"/>
    </row>
    <row r="789">
      <c r="A789" s="35"/>
      <c r="B789" s="35"/>
      <c r="C789" s="35"/>
      <c r="D789" s="35"/>
      <c r="E789" s="107"/>
      <c r="F789" s="35"/>
      <c r="G789" s="35"/>
      <c r="H789" s="35"/>
      <c r="I789" s="35"/>
      <c r="J789" s="35"/>
      <c r="K789" s="35"/>
      <c r="L789" s="35"/>
      <c r="M789" s="35"/>
      <c r="N789" s="35"/>
      <c r="O789" s="35"/>
      <c r="P789" s="35"/>
      <c r="Q789" s="35"/>
      <c r="R789" s="35"/>
      <c r="S789" s="35"/>
      <c r="T789" s="35"/>
      <c r="U789" s="35"/>
      <c r="V789" s="35"/>
      <c r="W789" s="35"/>
      <c r="X789" s="35"/>
      <c r="Y789" s="35"/>
      <c r="Z789" s="35"/>
      <c r="AA789" s="35"/>
    </row>
    <row r="790">
      <c r="A790" s="35"/>
      <c r="B790" s="35"/>
      <c r="C790" s="35"/>
      <c r="D790" s="35"/>
      <c r="E790" s="107"/>
      <c r="F790" s="35"/>
      <c r="G790" s="35"/>
      <c r="H790" s="35"/>
      <c r="I790" s="35"/>
      <c r="J790" s="35"/>
      <c r="K790" s="35"/>
      <c r="L790" s="35"/>
      <c r="M790" s="35"/>
      <c r="N790" s="35"/>
      <c r="O790" s="35"/>
      <c r="P790" s="35"/>
      <c r="Q790" s="35"/>
      <c r="R790" s="35"/>
      <c r="S790" s="35"/>
      <c r="T790" s="35"/>
      <c r="U790" s="35"/>
      <c r="V790" s="35"/>
      <c r="W790" s="35"/>
      <c r="X790" s="35"/>
      <c r="Y790" s="35"/>
      <c r="Z790" s="35"/>
      <c r="AA790" s="35"/>
    </row>
    <row r="791">
      <c r="A791" s="35"/>
      <c r="B791" s="35"/>
      <c r="C791" s="35"/>
      <c r="D791" s="35"/>
      <c r="E791" s="107"/>
      <c r="F791" s="35"/>
      <c r="G791" s="35"/>
      <c r="H791" s="35"/>
      <c r="I791" s="35"/>
      <c r="J791" s="35"/>
      <c r="K791" s="35"/>
      <c r="L791" s="35"/>
      <c r="M791" s="35"/>
      <c r="N791" s="35"/>
      <c r="O791" s="35"/>
      <c r="P791" s="35"/>
      <c r="Q791" s="35"/>
      <c r="R791" s="35"/>
      <c r="S791" s="35"/>
      <c r="T791" s="35"/>
      <c r="U791" s="35"/>
      <c r="V791" s="35"/>
      <c r="W791" s="35"/>
      <c r="X791" s="35"/>
      <c r="Y791" s="35"/>
      <c r="Z791" s="35"/>
      <c r="AA791" s="35"/>
    </row>
    <row r="792">
      <c r="A792" s="35"/>
      <c r="B792" s="35"/>
      <c r="C792" s="35"/>
      <c r="D792" s="35"/>
      <c r="E792" s="107"/>
      <c r="F792" s="35"/>
      <c r="G792" s="35"/>
      <c r="H792" s="35"/>
      <c r="I792" s="35"/>
      <c r="J792" s="35"/>
      <c r="K792" s="35"/>
      <c r="L792" s="35"/>
      <c r="M792" s="35"/>
      <c r="N792" s="35"/>
      <c r="O792" s="35"/>
      <c r="P792" s="35"/>
      <c r="Q792" s="35"/>
      <c r="R792" s="35"/>
      <c r="S792" s="35"/>
      <c r="T792" s="35"/>
      <c r="U792" s="35"/>
      <c r="V792" s="35"/>
      <c r="W792" s="35"/>
      <c r="X792" s="35"/>
      <c r="Y792" s="35"/>
      <c r="Z792" s="35"/>
      <c r="AA792" s="35"/>
    </row>
    <row r="793">
      <c r="A793" s="35"/>
      <c r="B793" s="35"/>
      <c r="C793" s="35"/>
      <c r="D793" s="35"/>
      <c r="E793" s="107"/>
      <c r="F793" s="35"/>
      <c r="G793" s="35"/>
      <c r="H793" s="35"/>
      <c r="I793" s="35"/>
      <c r="J793" s="35"/>
      <c r="K793" s="35"/>
      <c r="L793" s="35"/>
      <c r="M793" s="35"/>
      <c r="N793" s="35"/>
      <c r="O793" s="35"/>
      <c r="P793" s="35"/>
      <c r="Q793" s="35"/>
      <c r="R793" s="35"/>
      <c r="S793" s="35"/>
      <c r="T793" s="35"/>
      <c r="U793" s="35"/>
      <c r="V793" s="35"/>
      <c r="W793" s="35"/>
      <c r="X793" s="35"/>
      <c r="Y793" s="35"/>
      <c r="Z793" s="35"/>
      <c r="AA793" s="35"/>
    </row>
    <row r="794">
      <c r="A794" s="35"/>
      <c r="B794" s="35"/>
      <c r="C794" s="35"/>
      <c r="D794" s="35"/>
      <c r="E794" s="107"/>
      <c r="F794" s="35"/>
      <c r="G794" s="35"/>
      <c r="H794" s="35"/>
      <c r="I794" s="35"/>
      <c r="J794" s="35"/>
      <c r="K794" s="35"/>
      <c r="L794" s="35"/>
      <c r="M794" s="35"/>
      <c r="N794" s="35"/>
      <c r="O794" s="35"/>
      <c r="P794" s="35"/>
      <c r="Q794" s="35"/>
      <c r="R794" s="35"/>
      <c r="S794" s="35"/>
      <c r="T794" s="35"/>
      <c r="U794" s="35"/>
      <c r="V794" s="35"/>
      <c r="W794" s="35"/>
      <c r="X794" s="35"/>
      <c r="Y794" s="35"/>
      <c r="Z794" s="35"/>
      <c r="AA794" s="35"/>
    </row>
    <row r="795">
      <c r="A795" s="35"/>
      <c r="B795" s="35"/>
      <c r="C795" s="35"/>
      <c r="D795" s="35"/>
      <c r="E795" s="107"/>
      <c r="F795" s="35"/>
      <c r="G795" s="35"/>
      <c r="H795" s="35"/>
      <c r="I795" s="35"/>
      <c r="J795" s="35"/>
      <c r="K795" s="35"/>
      <c r="L795" s="35"/>
      <c r="M795" s="35"/>
      <c r="N795" s="35"/>
      <c r="O795" s="35"/>
      <c r="P795" s="35"/>
      <c r="Q795" s="35"/>
      <c r="R795" s="35"/>
      <c r="S795" s="35"/>
      <c r="T795" s="35"/>
      <c r="U795" s="35"/>
      <c r="V795" s="35"/>
      <c r="W795" s="35"/>
      <c r="X795" s="35"/>
      <c r="Y795" s="35"/>
      <c r="Z795" s="35"/>
      <c r="AA795" s="35"/>
    </row>
    <row r="796">
      <c r="A796" s="35"/>
      <c r="B796" s="35"/>
      <c r="C796" s="35"/>
      <c r="D796" s="35"/>
      <c r="E796" s="107"/>
      <c r="F796" s="35"/>
      <c r="G796" s="35"/>
      <c r="H796" s="35"/>
      <c r="I796" s="35"/>
      <c r="J796" s="35"/>
      <c r="K796" s="35"/>
      <c r="L796" s="35"/>
      <c r="M796" s="35"/>
      <c r="N796" s="35"/>
      <c r="O796" s="35"/>
      <c r="P796" s="35"/>
      <c r="Q796" s="35"/>
      <c r="R796" s="35"/>
      <c r="S796" s="35"/>
      <c r="T796" s="35"/>
      <c r="U796" s="35"/>
      <c r="V796" s="35"/>
      <c r="W796" s="35"/>
      <c r="X796" s="35"/>
      <c r="Y796" s="35"/>
      <c r="Z796" s="35"/>
      <c r="AA796" s="35"/>
    </row>
    <row r="797">
      <c r="A797" s="35"/>
      <c r="B797" s="35"/>
      <c r="C797" s="35"/>
      <c r="D797" s="35"/>
      <c r="E797" s="107"/>
      <c r="F797" s="35"/>
      <c r="G797" s="35"/>
      <c r="H797" s="35"/>
      <c r="I797" s="35"/>
      <c r="J797" s="35"/>
      <c r="K797" s="35"/>
      <c r="L797" s="35"/>
      <c r="M797" s="35"/>
      <c r="N797" s="35"/>
      <c r="O797" s="35"/>
      <c r="P797" s="35"/>
      <c r="Q797" s="35"/>
      <c r="R797" s="35"/>
      <c r="S797" s="35"/>
      <c r="T797" s="35"/>
      <c r="U797" s="35"/>
      <c r="V797" s="35"/>
      <c r="W797" s="35"/>
      <c r="X797" s="35"/>
      <c r="Y797" s="35"/>
      <c r="Z797" s="35"/>
      <c r="AA797" s="35"/>
    </row>
    <row r="798">
      <c r="A798" s="35"/>
      <c r="B798" s="35"/>
      <c r="C798" s="35"/>
      <c r="D798" s="35"/>
      <c r="E798" s="107"/>
      <c r="F798" s="35"/>
      <c r="G798" s="35"/>
      <c r="H798" s="35"/>
      <c r="I798" s="35"/>
      <c r="J798" s="35"/>
      <c r="K798" s="35"/>
      <c r="L798" s="35"/>
      <c r="M798" s="35"/>
      <c r="N798" s="35"/>
      <c r="O798" s="35"/>
      <c r="P798" s="35"/>
      <c r="Q798" s="35"/>
      <c r="R798" s="35"/>
      <c r="S798" s="35"/>
      <c r="T798" s="35"/>
      <c r="U798" s="35"/>
      <c r="V798" s="35"/>
      <c r="W798" s="35"/>
      <c r="X798" s="35"/>
      <c r="Y798" s="35"/>
      <c r="Z798" s="35"/>
      <c r="AA798" s="35"/>
    </row>
    <row r="799">
      <c r="A799" s="35"/>
      <c r="B799" s="35"/>
      <c r="C799" s="35"/>
      <c r="D799" s="35"/>
      <c r="E799" s="107"/>
      <c r="F799" s="35"/>
      <c r="G799" s="35"/>
      <c r="H799" s="35"/>
      <c r="I799" s="35"/>
      <c r="J799" s="35"/>
      <c r="K799" s="35"/>
      <c r="L799" s="35"/>
      <c r="M799" s="35"/>
      <c r="N799" s="35"/>
      <c r="O799" s="35"/>
      <c r="P799" s="35"/>
      <c r="Q799" s="35"/>
      <c r="R799" s="35"/>
      <c r="S799" s="35"/>
      <c r="T799" s="35"/>
      <c r="U799" s="35"/>
      <c r="V799" s="35"/>
      <c r="W799" s="35"/>
      <c r="X799" s="35"/>
      <c r="Y799" s="35"/>
      <c r="Z799" s="35"/>
      <c r="AA799" s="35"/>
    </row>
    <row r="800">
      <c r="A800" s="35"/>
      <c r="B800" s="35"/>
      <c r="C800" s="35"/>
      <c r="D800" s="35"/>
      <c r="E800" s="107"/>
      <c r="F800" s="35"/>
      <c r="G800" s="35"/>
      <c r="H800" s="35"/>
      <c r="I800" s="35"/>
      <c r="J800" s="35"/>
      <c r="K800" s="35"/>
      <c r="L800" s="35"/>
      <c r="M800" s="35"/>
      <c r="N800" s="35"/>
      <c r="O800" s="35"/>
      <c r="P800" s="35"/>
      <c r="Q800" s="35"/>
      <c r="R800" s="35"/>
      <c r="S800" s="35"/>
      <c r="T800" s="35"/>
      <c r="U800" s="35"/>
      <c r="V800" s="35"/>
      <c r="W800" s="35"/>
      <c r="X800" s="35"/>
      <c r="Y800" s="35"/>
      <c r="Z800" s="35"/>
      <c r="AA800" s="35"/>
    </row>
    <row r="801">
      <c r="A801" s="35"/>
      <c r="B801" s="35"/>
      <c r="C801" s="35"/>
      <c r="D801" s="35"/>
      <c r="E801" s="107"/>
      <c r="F801" s="35"/>
      <c r="G801" s="35"/>
      <c r="H801" s="35"/>
      <c r="I801" s="35"/>
      <c r="J801" s="35"/>
      <c r="K801" s="35"/>
      <c r="L801" s="35"/>
      <c r="M801" s="35"/>
      <c r="N801" s="35"/>
      <c r="O801" s="35"/>
      <c r="P801" s="35"/>
      <c r="Q801" s="35"/>
      <c r="R801" s="35"/>
      <c r="S801" s="35"/>
      <c r="T801" s="35"/>
      <c r="U801" s="35"/>
      <c r="V801" s="35"/>
      <c r="W801" s="35"/>
      <c r="X801" s="35"/>
      <c r="Y801" s="35"/>
      <c r="Z801" s="35"/>
      <c r="AA801" s="35"/>
    </row>
    <row r="802">
      <c r="A802" s="35"/>
      <c r="B802" s="35"/>
      <c r="C802" s="35"/>
      <c r="D802" s="35"/>
      <c r="E802" s="107"/>
      <c r="F802" s="35"/>
      <c r="G802" s="35"/>
      <c r="H802" s="35"/>
      <c r="I802" s="35"/>
      <c r="J802" s="35"/>
      <c r="K802" s="35"/>
      <c r="L802" s="35"/>
      <c r="M802" s="35"/>
      <c r="N802" s="35"/>
      <c r="O802" s="35"/>
      <c r="P802" s="35"/>
      <c r="Q802" s="35"/>
      <c r="R802" s="35"/>
      <c r="S802" s="35"/>
      <c r="T802" s="35"/>
      <c r="U802" s="35"/>
      <c r="V802" s="35"/>
      <c r="W802" s="35"/>
      <c r="X802" s="35"/>
      <c r="Y802" s="35"/>
      <c r="Z802" s="35"/>
      <c r="AA802" s="35"/>
    </row>
    <row r="803">
      <c r="A803" s="35"/>
      <c r="B803" s="35"/>
      <c r="C803" s="35"/>
      <c r="D803" s="35"/>
      <c r="E803" s="107"/>
      <c r="F803" s="35"/>
      <c r="G803" s="35"/>
      <c r="H803" s="35"/>
      <c r="I803" s="35"/>
      <c r="J803" s="35"/>
      <c r="K803" s="35"/>
      <c r="L803" s="35"/>
      <c r="M803" s="35"/>
      <c r="N803" s="35"/>
      <c r="O803" s="35"/>
      <c r="P803" s="35"/>
      <c r="Q803" s="35"/>
      <c r="R803" s="35"/>
      <c r="S803" s="35"/>
      <c r="T803" s="35"/>
      <c r="U803" s="35"/>
      <c r="V803" s="35"/>
      <c r="W803" s="35"/>
      <c r="X803" s="35"/>
      <c r="Y803" s="35"/>
      <c r="Z803" s="35"/>
      <c r="AA803" s="35"/>
    </row>
    <row r="804">
      <c r="A804" s="35"/>
      <c r="B804" s="35"/>
      <c r="C804" s="35"/>
      <c r="D804" s="35"/>
      <c r="E804" s="107"/>
      <c r="F804" s="35"/>
      <c r="G804" s="35"/>
      <c r="H804" s="35"/>
      <c r="I804" s="35"/>
      <c r="J804" s="35"/>
      <c r="K804" s="35"/>
      <c r="L804" s="35"/>
      <c r="M804" s="35"/>
      <c r="N804" s="35"/>
      <c r="O804" s="35"/>
      <c r="P804" s="35"/>
      <c r="Q804" s="35"/>
      <c r="R804" s="35"/>
      <c r="S804" s="35"/>
      <c r="T804" s="35"/>
      <c r="U804" s="35"/>
      <c r="V804" s="35"/>
      <c r="W804" s="35"/>
      <c r="X804" s="35"/>
      <c r="Y804" s="35"/>
      <c r="Z804" s="35"/>
      <c r="AA804" s="35"/>
    </row>
    <row r="805">
      <c r="A805" s="35"/>
      <c r="B805" s="35"/>
      <c r="C805" s="35"/>
      <c r="D805" s="35"/>
      <c r="E805" s="107"/>
      <c r="F805" s="35"/>
      <c r="G805" s="35"/>
      <c r="H805" s="35"/>
      <c r="I805" s="35"/>
      <c r="J805" s="35"/>
      <c r="K805" s="35"/>
      <c r="L805" s="35"/>
      <c r="M805" s="35"/>
      <c r="N805" s="35"/>
      <c r="O805" s="35"/>
      <c r="P805" s="35"/>
      <c r="Q805" s="35"/>
      <c r="R805" s="35"/>
      <c r="S805" s="35"/>
      <c r="T805" s="35"/>
      <c r="U805" s="35"/>
      <c r="V805" s="35"/>
      <c r="W805" s="35"/>
      <c r="X805" s="35"/>
      <c r="Y805" s="35"/>
      <c r="Z805" s="35"/>
      <c r="AA805" s="35"/>
    </row>
    <row r="806">
      <c r="A806" s="35"/>
      <c r="B806" s="35"/>
      <c r="C806" s="35"/>
      <c r="D806" s="35"/>
      <c r="E806" s="107"/>
      <c r="F806" s="35"/>
      <c r="G806" s="35"/>
      <c r="H806" s="35"/>
      <c r="I806" s="35"/>
      <c r="J806" s="35"/>
      <c r="K806" s="35"/>
      <c r="L806" s="35"/>
      <c r="M806" s="35"/>
      <c r="N806" s="35"/>
      <c r="O806" s="35"/>
      <c r="P806" s="35"/>
      <c r="Q806" s="35"/>
      <c r="R806" s="35"/>
      <c r="S806" s="35"/>
      <c r="T806" s="35"/>
      <c r="U806" s="35"/>
      <c r="V806" s="35"/>
      <c r="W806" s="35"/>
      <c r="X806" s="35"/>
      <c r="Y806" s="35"/>
      <c r="Z806" s="35"/>
      <c r="AA806" s="35"/>
    </row>
    <row r="807">
      <c r="A807" s="35"/>
      <c r="B807" s="35"/>
      <c r="C807" s="35"/>
      <c r="D807" s="35"/>
      <c r="E807" s="107"/>
      <c r="F807" s="35"/>
      <c r="G807" s="35"/>
      <c r="H807" s="35"/>
      <c r="I807" s="35"/>
      <c r="J807" s="35"/>
      <c r="K807" s="35"/>
      <c r="L807" s="35"/>
      <c r="M807" s="35"/>
      <c r="N807" s="35"/>
      <c r="O807" s="35"/>
      <c r="P807" s="35"/>
      <c r="Q807" s="35"/>
      <c r="R807" s="35"/>
      <c r="S807" s="35"/>
      <c r="T807" s="35"/>
      <c r="U807" s="35"/>
      <c r="V807" s="35"/>
      <c r="W807" s="35"/>
      <c r="X807" s="35"/>
      <c r="Y807" s="35"/>
      <c r="Z807" s="35"/>
      <c r="AA807" s="35"/>
    </row>
    <row r="808">
      <c r="A808" s="35"/>
      <c r="B808" s="35"/>
      <c r="C808" s="35"/>
      <c r="D808" s="35"/>
      <c r="E808" s="107"/>
      <c r="F808" s="35"/>
      <c r="G808" s="35"/>
      <c r="H808" s="35"/>
      <c r="I808" s="35"/>
      <c r="J808" s="35"/>
      <c r="K808" s="35"/>
      <c r="L808" s="35"/>
      <c r="M808" s="35"/>
      <c r="N808" s="35"/>
      <c r="O808" s="35"/>
      <c r="P808" s="35"/>
      <c r="Q808" s="35"/>
      <c r="R808" s="35"/>
      <c r="S808" s="35"/>
      <c r="T808" s="35"/>
      <c r="U808" s="35"/>
      <c r="V808" s="35"/>
      <c r="W808" s="35"/>
      <c r="X808" s="35"/>
      <c r="Y808" s="35"/>
      <c r="Z808" s="35"/>
      <c r="AA808" s="35"/>
    </row>
    <row r="809">
      <c r="A809" s="35"/>
      <c r="B809" s="35"/>
      <c r="C809" s="35"/>
      <c r="D809" s="35"/>
      <c r="E809" s="107"/>
      <c r="F809" s="35"/>
      <c r="G809" s="35"/>
      <c r="H809" s="35"/>
      <c r="I809" s="35"/>
      <c r="J809" s="35"/>
      <c r="K809" s="35"/>
      <c r="L809" s="35"/>
      <c r="M809" s="35"/>
      <c r="N809" s="35"/>
      <c r="O809" s="35"/>
      <c r="P809" s="35"/>
      <c r="Q809" s="35"/>
      <c r="R809" s="35"/>
      <c r="S809" s="35"/>
      <c r="T809" s="35"/>
      <c r="U809" s="35"/>
      <c r="V809" s="35"/>
      <c r="W809" s="35"/>
      <c r="X809" s="35"/>
      <c r="Y809" s="35"/>
      <c r="Z809" s="35"/>
      <c r="AA809" s="35"/>
    </row>
    <row r="810">
      <c r="A810" s="35"/>
      <c r="B810" s="35"/>
      <c r="C810" s="35"/>
      <c r="D810" s="35"/>
      <c r="E810" s="107"/>
      <c r="F810" s="35"/>
      <c r="G810" s="35"/>
      <c r="H810" s="35"/>
      <c r="I810" s="35"/>
      <c r="J810" s="35"/>
      <c r="K810" s="35"/>
      <c r="L810" s="35"/>
      <c r="M810" s="35"/>
      <c r="N810" s="35"/>
      <c r="O810" s="35"/>
      <c r="P810" s="35"/>
      <c r="Q810" s="35"/>
      <c r="R810" s="35"/>
      <c r="S810" s="35"/>
      <c r="T810" s="35"/>
      <c r="U810" s="35"/>
      <c r="V810" s="35"/>
      <c r="W810" s="35"/>
      <c r="X810" s="35"/>
      <c r="Y810" s="35"/>
      <c r="Z810" s="35"/>
      <c r="AA810" s="35"/>
    </row>
    <row r="811">
      <c r="A811" s="35"/>
      <c r="B811" s="35"/>
      <c r="C811" s="35"/>
      <c r="D811" s="35"/>
      <c r="E811" s="107"/>
      <c r="F811" s="35"/>
      <c r="G811" s="35"/>
      <c r="H811" s="35"/>
      <c r="I811" s="35"/>
      <c r="J811" s="35"/>
      <c r="K811" s="35"/>
      <c r="L811" s="35"/>
      <c r="M811" s="35"/>
      <c r="N811" s="35"/>
      <c r="O811" s="35"/>
      <c r="P811" s="35"/>
      <c r="Q811" s="35"/>
      <c r="R811" s="35"/>
      <c r="S811" s="35"/>
      <c r="T811" s="35"/>
      <c r="U811" s="35"/>
      <c r="V811" s="35"/>
      <c r="W811" s="35"/>
      <c r="X811" s="35"/>
      <c r="Y811" s="35"/>
      <c r="Z811" s="35"/>
      <c r="AA811" s="35"/>
    </row>
    <row r="812">
      <c r="A812" s="35"/>
      <c r="B812" s="35"/>
      <c r="C812" s="35"/>
      <c r="D812" s="35"/>
      <c r="E812" s="107"/>
      <c r="F812" s="35"/>
      <c r="G812" s="35"/>
      <c r="H812" s="35"/>
      <c r="I812" s="35"/>
      <c r="J812" s="35"/>
      <c r="K812" s="35"/>
      <c r="L812" s="35"/>
      <c r="M812" s="35"/>
      <c r="N812" s="35"/>
      <c r="O812" s="35"/>
      <c r="P812" s="35"/>
      <c r="Q812" s="35"/>
      <c r="R812" s="35"/>
      <c r="S812" s="35"/>
      <c r="T812" s="35"/>
      <c r="U812" s="35"/>
      <c r="V812" s="35"/>
      <c r="W812" s="35"/>
      <c r="X812" s="35"/>
      <c r="Y812" s="35"/>
      <c r="Z812" s="35"/>
      <c r="AA812" s="35"/>
    </row>
    <row r="813">
      <c r="A813" s="35"/>
      <c r="B813" s="35"/>
      <c r="C813" s="35"/>
      <c r="D813" s="35"/>
      <c r="E813" s="107"/>
      <c r="F813" s="35"/>
      <c r="G813" s="35"/>
      <c r="H813" s="35"/>
      <c r="I813" s="35"/>
      <c r="J813" s="35"/>
      <c r="K813" s="35"/>
      <c r="L813" s="35"/>
      <c r="M813" s="35"/>
      <c r="N813" s="35"/>
      <c r="O813" s="35"/>
      <c r="P813" s="35"/>
      <c r="Q813" s="35"/>
      <c r="R813" s="35"/>
      <c r="S813" s="35"/>
      <c r="T813" s="35"/>
      <c r="U813" s="35"/>
      <c r="V813" s="35"/>
      <c r="W813" s="35"/>
      <c r="X813" s="35"/>
      <c r="Y813" s="35"/>
      <c r="Z813" s="35"/>
      <c r="AA813" s="35"/>
    </row>
    <row r="814">
      <c r="A814" s="35"/>
      <c r="B814" s="35"/>
      <c r="C814" s="35"/>
      <c r="D814" s="35"/>
      <c r="E814" s="107"/>
      <c r="F814" s="35"/>
      <c r="G814" s="35"/>
      <c r="H814" s="35"/>
      <c r="I814" s="35"/>
      <c r="J814" s="35"/>
      <c r="K814" s="35"/>
      <c r="L814" s="35"/>
      <c r="M814" s="35"/>
      <c r="N814" s="35"/>
      <c r="O814" s="35"/>
      <c r="P814" s="35"/>
      <c r="Q814" s="35"/>
      <c r="R814" s="35"/>
      <c r="S814" s="35"/>
      <c r="T814" s="35"/>
      <c r="U814" s="35"/>
      <c r="V814" s="35"/>
      <c r="W814" s="35"/>
      <c r="X814" s="35"/>
      <c r="Y814" s="35"/>
      <c r="Z814" s="35"/>
      <c r="AA814" s="35"/>
    </row>
    <row r="815">
      <c r="A815" s="35"/>
      <c r="B815" s="35"/>
      <c r="C815" s="35"/>
      <c r="D815" s="35"/>
      <c r="E815" s="107"/>
      <c r="F815" s="35"/>
      <c r="G815" s="35"/>
      <c r="H815" s="35"/>
      <c r="I815" s="35"/>
      <c r="J815" s="35"/>
      <c r="K815" s="35"/>
      <c r="L815" s="35"/>
      <c r="M815" s="35"/>
      <c r="N815" s="35"/>
      <c r="O815" s="35"/>
      <c r="P815" s="35"/>
      <c r="Q815" s="35"/>
      <c r="R815" s="35"/>
      <c r="S815" s="35"/>
      <c r="T815" s="35"/>
      <c r="U815" s="35"/>
      <c r="V815" s="35"/>
      <c r="W815" s="35"/>
      <c r="X815" s="35"/>
      <c r="Y815" s="35"/>
      <c r="Z815" s="35"/>
      <c r="AA815" s="35"/>
    </row>
    <row r="816">
      <c r="A816" s="35"/>
      <c r="B816" s="35"/>
      <c r="C816" s="35"/>
      <c r="D816" s="35"/>
      <c r="E816" s="107"/>
      <c r="F816" s="35"/>
      <c r="G816" s="35"/>
      <c r="H816" s="35"/>
      <c r="I816" s="35"/>
      <c r="J816" s="35"/>
      <c r="K816" s="35"/>
      <c r="L816" s="35"/>
      <c r="M816" s="35"/>
      <c r="N816" s="35"/>
      <c r="O816" s="35"/>
      <c r="P816" s="35"/>
      <c r="Q816" s="35"/>
      <c r="R816" s="35"/>
      <c r="S816" s="35"/>
      <c r="T816" s="35"/>
      <c r="U816" s="35"/>
      <c r="V816" s="35"/>
      <c r="W816" s="35"/>
      <c r="X816" s="35"/>
      <c r="Y816" s="35"/>
      <c r="Z816" s="35"/>
      <c r="AA816" s="35"/>
    </row>
    <row r="817">
      <c r="A817" s="35"/>
      <c r="B817" s="35"/>
      <c r="C817" s="35"/>
      <c r="D817" s="35"/>
      <c r="E817" s="107"/>
      <c r="F817" s="35"/>
      <c r="G817" s="35"/>
      <c r="H817" s="35"/>
      <c r="I817" s="35"/>
      <c r="J817" s="35"/>
      <c r="K817" s="35"/>
      <c r="L817" s="35"/>
      <c r="M817" s="35"/>
      <c r="N817" s="35"/>
      <c r="O817" s="35"/>
      <c r="P817" s="35"/>
      <c r="Q817" s="35"/>
      <c r="R817" s="35"/>
      <c r="S817" s="35"/>
      <c r="T817" s="35"/>
      <c r="U817" s="35"/>
      <c r="V817" s="35"/>
      <c r="W817" s="35"/>
      <c r="X817" s="35"/>
      <c r="Y817" s="35"/>
      <c r="Z817" s="35"/>
      <c r="AA817" s="35"/>
    </row>
    <row r="818">
      <c r="A818" s="35"/>
      <c r="B818" s="35"/>
      <c r="C818" s="35"/>
      <c r="D818" s="35"/>
      <c r="E818" s="107"/>
      <c r="F818" s="35"/>
      <c r="G818" s="35"/>
      <c r="H818" s="35"/>
      <c r="I818" s="35"/>
      <c r="J818" s="35"/>
      <c r="K818" s="35"/>
      <c r="L818" s="35"/>
      <c r="M818" s="35"/>
      <c r="N818" s="35"/>
      <c r="O818" s="35"/>
      <c r="P818" s="35"/>
      <c r="Q818" s="35"/>
      <c r="R818" s="35"/>
      <c r="S818" s="35"/>
      <c r="T818" s="35"/>
      <c r="U818" s="35"/>
      <c r="V818" s="35"/>
      <c r="W818" s="35"/>
      <c r="X818" s="35"/>
      <c r="Y818" s="35"/>
      <c r="Z818" s="35"/>
      <c r="AA818" s="35"/>
    </row>
    <row r="819">
      <c r="A819" s="35"/>
      <c r="B819" s="35"/>
      <c r="C819" s="35"/>
      <c r="D819" s="35"/>
      <c r="E819" s="107"/>
      <c r="F819" s="35"/>
      <c r="G819" s="35"/>
      <c r="H819" s="35"/>
      <c r="I819" s="35"/>
      <c r="J819" s="35"/>
      <c r="K819" s="35"/>
      <c r="L819" s="35"/>
      <c r="M819" s="35"/>
      <c r="N819" s="35"/>
      <c r="O819" s="35"/>
      <c r="P819" s="35"/>
      <c r="Q819" s="35"/>
      <c r="R819" s="35"/>
      <c r="S819" s="35"/>
      <c r="T819" s="35"/>
      <c r="U819" s="35"/>
      <c r="V819" s="35"/>
      <c r="W819" s="35"/>
      <c r="X819" s="35"/>
      <c r="Y819" s="35"/>
      <c r="Z819" s="35"/>
      <c r="AA819" s="35"/>
    </row>
    <row r="820">
      <c r="A820" s="35"/>
      <c r="B820" s="35"/>
      <c r="C820" s="35"/>
      <c r="D820" s="35"/>
      <c r="E820" s="107"/>
      <c r="F820" s="35"/>
      <c r="G820" s="35"/>
      <c r="H820" s="35"/>
      <c r="I820" s="35"/>
      <c r="J820" s="35"/>
      <c r="K820" s="35"/>
      <c r="L820" s="35"/>
      <c r="M820" s="35"/>
      <c r="N820" s="35"/>
      <c r="O820" s="35"/>
      <c r="P820" s="35"/>
      <c r="Q820" s="35"/>
      <c r="R820" s="35"/>
      <c r="S820" s="35"/>
      <c r="T820" s="35"/>
      <c r="U820" s="35"/>
      <c r="V820" s="35"/>
      <c r="W820" s="35"/>
      <c r="X820" s="35"/>
      <c r="Y820" s="35"/>
      <c r="Z820" s="35"/>
      <c r="AA820" s="35"/>
    </row>
    <row r="821">
      <c r="A821" s="35"/>
      <c r="B821" s="35"/>
      <c r="C821" s="35"/>
      <c r="D821" s="35"/>
      <c r="E821" s="107"/>
      <c r="F821" s="35"/>
      <c r="G821" s="35"/>
      <c r="H821" s="35"/>
      <c r="I821" s="35"/>
      <c r="J821" s="35"/>
      <c r="K821" s="35"/>
      <c r="L821" s="35"/>
      <c r="M821" s="35"/>
      <c r="N821" s="35"/>
      <c r="O821" s="35"/>
      <c r="P821" s="35"/>
      <c r="Q821" s="35"/>
      <c r="R821" s="35"/>
      <c r="S821" s="35"/>
      <c r="T821" s="35"/>
      <c r="U821" s="35"/>
      <c r="V821" s="35"/>
      <c r="W821" s="35"/>
      <c r="X821" s="35"/>
      <c r="Y821" s="35"/>
      <c r="Z821" s="35"/>
      <c r="AA821" s="35"/>
    </row>
    <row r="822">
      <c r="A822" s="35"/>
      <c r="B822" s="35"/>
      <c r="C822" s="35"/>
      <c r="D822" s="35"/>
      <c r="E822" s="107"/>
      <c r="F822" s="35"/>
      <c r="G822" s="35"/>
      <c r="H822" s="35"/>
      <c r="I822" s="35"/>
      <c r="J822" s="35"/>
      <c r="K822" s="35"/>
      <c r="L822" s="35"/>
      <c r="M822" s="35"/>
      <c r="N822" s="35"/>
      <c r="O822" s="35"/>
      <c r="P822" s="35"/>
      <c r="Q822" s="35"/>
      <c r="R822" s="35"/>
      <c r="S822" s="35"/>
      <c r="T822" s="35"/>
      <c r="U822" s="35"/>
      <c r="V822" s="35"/>
      <c r="W822" s="35"/>
      <c r="X822" s="35"/>
      <c r="Y822" s="35"/>
      <c r="Z822" s="35"/>
      <c r="AA822" s="35"/>
    </row>
    <row r="823">
      <c r="A823" s="35"/>
      <c r="B823" s="35"/>
      <c r="C823" s="35"/>
      <c r="D823" s="35"/>
      <c r="E823" s="107"/>
      <c r="F823" s="35"/>
      <c r="G823" s="35"/>
      <c r="H823" s="35"/>
      <c r="I823" s="35"/>
      <c r="J823" s="35"/>
      <c r="K823" s="35"/>
      <c r="L823" s="35"/>
      <c r="M823" s="35"/>
      <c r="N823" s="35"/>
      <c r="O823" s="35"/>
      <c r="P823" s="35"/>
      <c r="Q823" s="35"/>
      <c r="R823" s="35"/>
      <c r="S823" s="35"/>
      <c r="T823" s="35"/>
      <c r="U823" s="35"/>
      <c r="V823" s="35"/>
      <c r="W823" s="35"/>
      <c r="X823" s="35"/>
      <c r="Y823" s="35"/>
      <c r="Z823" s="35"/>
      <c r="AA823" s="35"/>
    </row>
    <row r="824">
      <c r="A824" s="35"/>
      <c r="B824" s="35"/>
      <c r="C824" s="35"/>
      <c r="D824" s="35"/>
      <c r="E824" s="107"/>
      <c r="F824" s="35"/>
      <c r="G824" s="35"/>
      <c r="H824" s="35"/>
      <c r="I824" s="35"/>
      <c r="J824" s="35"/>
      <c r="K824" s="35"/>
      <c r="L824" s="35"/>
      <c r="M824" s="35"/>
      <c r="N824" s="35"/>
      <c r="O824" s="35"/>
      <c r="P824" s="35"/>
      <c r="Q824" s="35"/>
      <c r="R824" s="35"/>
      <c r="S824" s="35"/>
      <c r="T824" s="35"/>
      <c r="U824" s="35"/>
      <c r="V824" s="35"/>
      <c r="W824" s="35"/>
      <c r="X824" s="35"/>
      <c r="Y824" s="35"/>
      <c r="Z824" s="35"/>
      <c r="AA824" s="35"/>
    </row>
    <row r="825">
      <c r="A825" s="35"/>
      <c r="B825" s="35"/>
      <c r="C825" s="35"/>
      <c r="D825" s="35"/>
      <c r="E825" s="107"/>
      <c r="F825" s="35"/>
      <c r="G825" s="35"/>
      <c r="H825" s="35"/>
      <c r="I825" s="35"/>
      <c r="J825" s="35"/>
      <c r="K825" s="35"/>
      <c r="L825" s="35"/>
      <c r="M825" s="35"/>
      <c r="N825" s="35"/>
      <c r="O825" s="35"/>
      <c r="P825" s="35"/>
      <c r="Q825" s="35"/>
      <c r="R825" s="35"/>
      <c r="S825" s="35"/>
      <c r="T825" s="35"/>
      <c r="U825" s="35"/>
      <c r="V825" s="35"/>
      <c r="W825" s="35"/>
      <c r="X825" s="35"/>
      <c r="Y825" s="35"/>
      <c r="Z825" s="35"/>
      <c r="AA825" s="35"/>
    </row>
    <row r="826">
      <c r="A826" s="35"/>
      <c r="B826" s="35"/>
      <c r="C826" s="35"/>
      <c r="D826" s="35"/>
      <c r="E826" s="107"/>
      <c r="F826" s="35"/>
      <c r="G826" s="35"/>
      <c r="H826" s="35"/>
      <c r="I826" s="35"/>
      <c r="J826" s="35"/>
      <c r="K826" s="35"/>
      <c r="L826" s="35"/>
      <c r="M826" s="35"/>
      <c r="N826" s="35"/>
      <c r="O826" s="35"/>
      <c r="P826" s="35"/>
      <c r="Q826" s="35"/>
      <c r="R826" s="35"/>
      <c r="S826" s="35"/>
      <c r="T826" s="35"/>
      <c r="U826" s="35"/>
      <c r="V826" s="35"/>
      <c r="W826" s="35"/>
      <c r="X826" s="35"/>
      <c r="Y826" s="35"/>
      <c r="Z826" s="35"/>
      <c r="AA826" s="35"/>
    </row>
    <row r="827">
      <c r="A827" s="35"/>
      <c r="B827" s="35"/>
      <c r="C827" s="35"/>
      <c r="D827" s="35"/>
      <c r="E827" s="107"/>
      <c r="F827" s="35"/>
      <c r="G827" s="35"/>
      <c r="H827" s="35"/>
      <c r="I827" s="35"/>
      <c r="J827" s="35"/>
      <c r="K827" s="35"/>
      <c r="L827" s="35"/>
      <c r="M827" s="35"/>
      <c r="N827" s="35"/>
      <c r="O827" s="35"/>
      <c r="P827" s="35"/>
      <c r="Q827" s="35"/>
      <c r="R827" s="35"/>
      <c r="S827" s="35"/>
      <c r="T827" s="35"/>
      <c r="U827" s="35"/>
      <c r="V827" s="35"/>
      <c r="W827" s="35"/>
      <c r="X827" s="35"/>
      <c r="Y827" s="35"/>
      <c r="Z827" s="35"/>
      <c r="AA827" s="35"/>
    </row>
    <row r="828">
      <c r="A828" s="35"/>
      <c r="B828" s="35"/>
      <c r="C828" s="35"/>
      <c r="D828" s="35"/>
      <c r="E828" s="107"/>
      <c r="F828" s="35"/>
      <c r="G828" s="35"/>
      <c r="H828" s="35"/>
      <c r="I828" s="35"/>
      <c r="J828" s="35"/>
      <c r="K828" s="35"/>
      <c r="L828" s="35"/>
      <c r="M828" s="35"/>
      <c r="N828" s="35"/>
      <c r="O828" s="35"/>
      <c r="P828" s="35"/>
      <c r="Q828" s="35"/>
      <c r="R828" s="35"/>
      <c r="S828" s="35"/>
      <c r="T828" s="35"/>
      <c r="U828" s="35"/>
      <c r="V828" s="35"/>
      <c r="W828" s="35"/>
      <c r="X828" s="35"/>
      <c r="Y828" s="35"/>
      <c r="Z828" s="35"/>
      <c r="AA828" s="35"/>
    </row>
    <row r="829">
      <c r="A829" s="35"/>
      <c r="B829" s="35"/>
      <c r="C829" s="35"/>
      <c r="D829" s="35"/>
      <c r="E829" s="107"/>
      <c r="F829" s="35"/>
      <c r="G829" s="35"/>
      <c r="H829" s="35"/>
      <c r="I829" s="35"/>
      <c r="J829" s="35"/>
      <c r="K829" s="35"/>
      <c r="L829" s="35"/>
      <c r="M829" s="35"/>
      <c r="N829" s="35"/>
      <c r="O829" s="35"/>
      <c r="P829" s="35"/>
      <c r="Q829" s="35"/>
      <c r="R829" s="35"/>
      <c r="S829" s="35"/>
      <c r="T829" s="35"/>
      <c r="U829" s="35"/>
      <c r="V829" s="35"/>
      <c r="W829" s="35"/>
      <c r="X829" s="35"/>
      <c r="Y829" s="35"/>
      <c r="Z829" s="35"/>
      <c r="AA829" s="35"/>
    </row>
    <row r="830">
      <c r="A830" s="35"/>
      <c r="B830" s="35"/>
      <c r="C830" s="35"/>
      <c r="D830" s="35"/>
      <c r="E830" s="107"/>
      <c r="F830" s="35"/>
      <c r="G830" s="35"/>
      <c r="H830" s="35"/>
      <c r="I830" s="35"/>
      <c r="J830" s="35"/>
      <c r="K830" s="35"/>
      <c r="L830" s="35"/>
      <c r="M830" s="35"/>
      <c r="N830" s="35"/>
      <c r="O830" s="35"/>
      <c r="P830" s="35"/>
      <c r="Q830" s="35"/>
      <c r="R830" s="35"/>
      <c r="S830" s="35"/>
      <c r="T830" s="35"/>
      <c r="U830" s="35"/>
      <c r="V830" s="35"/>
      <c r="W830" s="35"/>
      <c r="X830" s="35"/>
      <c r="Y830" s="35"/>
      <c r="Z830" s="35"/>
      <c r="AA830" s="35"/>
    </row>
    <row r="831">
      <c r="A831" s="35"/>
      <c r="B831" s="35"/>
      <c r="C831" s="35"/>
      <c r="D831" s="35"/>
      <c r="E831" s="107"/>
      <c r="F831" s="35"/>
      <c r="G831" s="35"/>
      <c r="H831" s="35"/>
      <c r="I831" s="35"/>
      <c r="J831" s="35"/>
      <c r="K831" s="35"/>
      <c r="L831" s="35"/>
      <c r="M831" s="35"/>
      <c r="N831" s="35"/>
      <c r="O831" s="35"/>
      <c r="P831" s="35"/>
      <c r="Q831" s="35"/>
      <c r="R831" s="35"/>
      <c r="S831" s="35"/>
      <c r="T831" s="35"/>
      <c r="U831" s="35"/>
      <c r="V831" s="35"/>
      <c r="W831" s="35"/>
      <c r="X831" s="35"/>
      <c r="Y831" s="35"/>
      <c r="Z831" s="35"/>
      <c r="AA831" s="35"/>
    </row>
    <row r="832">
      <c r="A832" s="35"/>
      <c r="B832" s="35"/>
      <c r="C832" s="35"/>
      <c r="D832" s="35"/>
      <c r="E832" s="107"/>
      <c r="F832" s="35"/>
      <c r="G832" s="35"/>
      <c r="H832" s="35"/>
      <c r="I832" s="35"/>
      <c r="J832" s="35"/>
      <c r="K832" s="35"/>
      <c r="L832" s="35"/>
      <c r="M832" s="35"/>
      <c r="N832" s="35"/>
      <c r="O832" s="35"/>
      <c r="P832" s="35"/>
      <c r="Q832" s="35"/>
      <c r="R832" s="35"/>
      <c r="S832" s="35"/>
      <c r="T832" s="35"/>
      <c r="U832" s="35"/>
      <c r="V832" s="35"/>
      <c r="W832" s="35"/>
      <c r="X832" s="35"/>
      <c r="Y832" s="35"/>
      <c r="Z832" s="35"/>
      <c r="AA832" s="35"/>
    </row>
    <row r="833">
      <c r="A833" s="35"/>
      <c r="B833" s="35"/>
      <c r="C833" s="35"/>
      <c r="D833" s="35"/>
      <c r="E833" s="107"/>
      <c r="F833" s="35"/>
      <c r="G833" s="35"/>
      <c r="H833" s="35"/>
      <c r="I833" s="35"/>
      <c r="J833" s="35"/>
      <c r="K833" s="35"/>
      <c r="L833" s="35"/>
      <c r="M833" s="35"/>
      <c r="N833" s="35"/>
      <c r="O833" s="35"/>
      <c r="P833" s="35"/>
      <c r="Q833" s="35"/>
      <c r="R833" s="35"/>
      <c r="S833" s="35"/>
      <c r="T833" s="35"/>
      <c r="U833" s="35"/>
      <c r="V833" s="35"/>
      <c r="W833" s="35"/>
      <c r="X833" s="35"/>
      <c r="Y833" s="35"/>
      <c r="Z833" s="35"/>
      <c r="AA833" s="35"/>
    </row>
    <row r="834">
      <c r="A834" s="35"/>
      <c r="B834" s="35"/>
      <c r="C834" s="35"/>
      <c r="D834" s="35"/>
      <c r="E834" s="107"/>
      <c r="F834" s="35"/>
      <c r="G834" s="35"/>
      <c r="H834" s="35"/>
      <c r="I834" s="35"/>
      <c r="J834" s="35"/>
      <c r="K834" s="35"/>
      <c r="L834" s="35"/>
      <c r="M834" s="35"/>
      <c r="N834" s="35"/>
      <c r="O834" s="35"/>
      <c r="P834" s="35"/>
      <c r="Q834" s="35"/>
      <c r="R834" s="35"/>
      <c r="S834" s="35"/>
      <c r="T834" s="35"/>
      <c r="U834" s="35"/>
      <c r="V834" s="35"/>
      <c r="W834" s="35"/>
      <c r="X834" s="35"/>
      <c r="Y834" s="35"/>
      <c r="Z834" s="35"/>
      <c r="AA834" s="35"/>
    </row>
    <row r="835">
      <c r="A835" s="35"/>
      <c r="B835" s="35"/>
      <c r="C835" s="35"/>
      <c r="D835" s="35"/>
      <c r="E835" s="107"/>
      <c r="F835" s="35"/>
      <c r="G835" s="35"/>
      <c r="H835" s="35"/>
      <c r="I835" s="35"/>
      <c r="J835" s="35"/>
      <c r="K835" s="35"/>
      <c r="L835" s="35"/>
      <c r="M835" s="35"/>
      <c r="N835" s="35"/>
      <c r="O835" s="35"/>
      <c r="P835" s="35"/>
      <c r="Q835" s="35"/>
      <c r="R835" s="35"/>
      <c r="S835" s="35"/>
      <c r="T835" s="35"/>
      <c r="U835" s="35"/>
      <c r="V835" s="35"/>
      <c r="W835" s="35"/>
      <c r="X835" s="35"/>
      <c r="Y835" s="35"/>
      <c r="Z835" s="35"/>
      <c r="AA835" s="35"/>
    </row>
    <row r="836">
      <c r="A836" s="35"/>
      <c r="B836" s="35"/>
      <c r="C836" s="35"/>
      <c r="D836" s="35"/>
      <c r="E836" s="107"/>
      <c r="F836" s="35"/>
      <c r="G836" s="35"/>
      <c r="H836" s="35"/>
      <c r="I836" s="35"/>
      <c r="J836" s="35"/>
      <c r="K836" s="35"/>
      <c r="L836" s="35"/>
      <c r="M836" s="35"/>
      <c r="N836" s="35"/>
      <c r="O836" s="35"/>
      <c r="P836" s="35"/>
      <c r="Q836" s="35"/>
      <c r="R836" s="35"/>
      <c r="S836" s="35"/>
      <c r="T836" s="35"/>
      <c r="U836" s="35"/>
      <c r="V836" s="35"/>
      <c r="W836" s="35"/>
      <c r="X836" s="35"/>
      <c r="Y836" s="35"/>
      <c r="Z836" s="35"/>
      <c r="AA836" s="35"/>
    </row>
    <row r="837">
      <c r="A837" s="35"/>
      <c r="B837" s="35"/>
      <c r="C837" s="35"/>
      <c r="D837" s="35"/>
      <c r="E837" s="107"/>
      <c r="F837" s="35"/>
      <c r="G837" s="35"/>
      <c r="H837" s="35"/>
      <c r="I837" s="35"/>
      <c r="J837" s="35"/>
      <c r="K837" s="35"/>
      <c r="L837" s="35"/>
      <c r="M837" s="35"/>
      <c r="N837" s="35"/>
      <c r="O837" s="35"/>
      <c r="P837" s="35"/>
      <c r="Q837" s="35"/>
      <c r="R837" s="35"/>
      <c r="S837" s="35"/>
      <c r="T837" s="35"/>
      <c r="U837" s="35"/>
      <c r="V837" s="35"/>
      <c r="W837" s="35"/>
      <c r="X837" s="35"/>
      <c r="Y837" s="35"/>
      <c r="Z837" s="35"/>
      <c r="AA837" s="35"/>
    </row>
    <row r="838">
      <c r="A838" s="35"/>
      <c r="B838" s="35"/>
      <c r="C838" s="35"/>
      <c r="D838" s="35"/>
      <c r="E838" s="107"/>
      <c r="F838" s="35"/>
      <c r="G838" s="35"/>
      <c r="H838" s="35"/>
      <c r="I838" s="35"/>
      <c r="J838" s="35"/>
      <c r="K838" s="35"/>
      <c r="L838" s="35"/>
      <c r="M838" s="35"/>
      <c r="N838" s="35"/>
      <c r="O838" s="35"/>
      <c r="P838" s="35"/>
      <c r="Q838" s="35"/>
      <c r="R838" s="35"/>
      <c r="S838" s="35"/>
      <c r="T838" s="35"/>
      <c r="U838" s="35"/>
      <c r="V838" s="35"/>
      <c r="W838" s="35"/>
      <c r="X838" s="35"/>
      <c r="Y838" s="35"/>
      <c r="Z838" s="35"/>
      <c r="AA838" s="35"/>
    </row>
    <row r="839">
      <c r="A839" s="35"/>
      <c r="B839" s="35"/>
      <c r="C839" s="35"/>
      <c r="D839" s="35"/>
      <c r="E839" s="107"/>
      <c r="F839" s="35"/>
      <c r="G839" s="35"/>
      <c r="H839" s="35"/>
      <c r="I839" s="35"/>
      <c r="J839" s="35"/>
      <c r="K839" s="35"/>
      <c r="L839" s="35"/>
      <c r="M839" s="35"/>
      <c r="N839" s="35"/>
      <c r="O839" s="35"/>
      <c r="P839" s="35"/>
      <c r="Q839" s="35"/>
      <c r="R839" s="35"/>
      <c r="S839" s="35"/>
      <c r="T839" s="35"/>
      <c r="U839" s="35"/>
      <c r="V839" s="35"/>
      <c r="W839" s="35"/>
      <c r="X839" s="35"/>
      <c r="Y839" s="35"/>
      <c r="Z839" s="35"/>
      <c r="AA839" s="35"/>
    </row>
    <row r="840">
      <c r="A840" s="35"/>
      <c r="B840" s="35"/>
      <c r="C840" s="35"/>
      <c r="D840" s="35"/>
      <c r="E840" s="107"/>
      <c r="F840" s="35"/>
      <c r="G840" s="35"/>
      <c r="H840" s="35"/>
      <c r="I840" s="35"/>
      <c r="J840" s="35"/>
      <c r="K840" s="35"/>
      <c r="L840" s="35"/>
      <c r="M840" s="35"/>
      <c r="N840" s="35"/>
      <c r="O840" s="35"/>
      <c r="P840" s="35"/>
      <c r="Q840" s="35"/>
      <c r="R840" s="35"/>
      <c r="S840" s="35"/>
      <c r="T840" s="35"/>
      <c r="U840" s="35"/>
      <c r="V840" s="35"/>
      <c r="W840" s="35"/>
      <c r="X840" s="35"/>
      <c r="Y840" s="35"/>
      <c r="Z840" s="35"/>
      <c r="AA840" s="35"/>
    </row>
    <row r="841">
      <c r="A841" s="35"/>
      <c r="B841" s="35"/>
      <c r="C841" s="35"/>
      <c r="D841" s="35"/>
      <c r="E841" s="107"/>
      <c r="F841" s="35"/>
      <c r="G841" s="35"/>
      <c r="H841" s="35"/>
      <c r="I841" s="35"/>
      <c r="J841" s="35"/>
      <c r="K841" s="35"/>
      <c r="L841" s="35"/>
      <c r="M841" s="35"/>
      <c r="N841" s="35"/>
      <c r="O841" s="35"/>
      <c r="P841" s="35"/>
      <c r="Q841" s="35"/>
      <c r="R841" s="35"/>
      <c r="S841" s="35"/>
      <c r="T841" s="35"/>
      <c r="U841" s="35"/>
      <c r="V841" s="35"/>
      <c r="W841" s="35"/>
      <c r="X841" s="35"/>
      <c r="Y841" s="35"/>
      <c r="Z841" s="35"/>
      <c r="AA841" s="35"/>
    </row>
    <row r="842">
      <c r="A842" s="35"/>
      <c r="B842" s="35"/>
      <c r="C842" s="35"/>
      <c r="D842" s="35"/>
      <c r="E842" s="107"/>
      <c r="F842" s="35"/>
      <c r="G842" s="35"/>
      <c r="H842" s="35"/>
      <c r="I842" s="35"/>
      <c r="J842" s="35"/>
      <c r="K842" s="35"/>
      <c r="L842" s="35"/>
      <c r="M842" s="35"/>
      <c r="N842" s="35"/>
      <c r="O842" s="35"/>
      <c r="P842" s="35"/>
      <c r="Q842" s="35"/>
      <c r="R842" s="35"/>
      <c r="S842" s="35"/>
      <c r="T842" s="35"/>
      <c r="U842" s="35"/>
      <c r="V842" s="35"/>
      <c r="W842" s="35"/>
      <c r="X842" s="35"/>
      <c r="Y842" s="35"/>
      <c r="Z842" s="35"/>
      <c r="AA842" s="35"/>
    </row>
    <row r="843">
      <c r="A843" s="35"/>
      <c r="B843" s="35"/>
      <c r="C843" s="35"/>
      <c r="D843" s="35"/>
      <c r="E843" s="107"/>
      <c r="F843" s="35"/>
      <c r="G843" s="35"/>
      <c r="H843" s="35"/>
      <c r="I843" s="35"/>
      <c r="J843" s="35"/>
      <c r="K843" s="35"/>
      <c r="L843" s="35"/>
      <c r="M843" s="35"/>
      <c r="N843" s="35"/>
      <c r="O843" s="35"/>
      <c r="P843" s="35"/>
      <c r="Q843" s="35"/>
      <c r="R843" s="35"/>
      <c r="S843" s="35"/>
      <c r="T843" s="35"/>
      <c r="U843" s="35"/>
      <c r="V843" s="35"/>
      <c r="W843" s="35"/>
      <c r="X843" s="35"/>
      <c r="Y843" s="35"/>
      <c r="Z843" s="35"/>
      <c r="AA843" s="35"/>
    </row>
    <row r="844">
      <c r="A844" s="35"/>
      <c r="B844" s="35"/>
      <c r="C844" s="35"/>
      <c r="D844" s="35"/>
      <c r="E844" s="107"/>
      <c r="F844" s="35"/>
      <c r="G844" s="35"/>
      <c r="H844" s="35"/>
      <c r="I844" s="35"/>
      <c r="J844" s="35"/>
      <c r="K844" s="35"/>
      <c r="L844" s="35"/>
      <c r="M844" s="35"/>
      <c r="N844" s="35"/>
      <c r="O844" s="35"/>
      <c r="P844" s="35"/>
      <c r="Q844" s="35"/>
      <c r="R844" s="35"/>
      <c r="S844" s="35"/>
      <c r="T844" s="35"/>
      <c r="U844" s="35"/>
      <c r="V844" s="35"/>
      <c r="W844" s="35"/>
      <c r="X844" s="35"/>
      <c r="Y844" s="35"/>
      <c r="Z844" s="35"/>
      <c r="AA844" s="35"/>
    </row>
    <row r="845">
      <c r="A845" s="35"/>
      <c r="B845" s="35"/>
      <c r="C845" s="35"/>
      <c r="D845" s="35"/>
      <c r="E845" s="107"/>
      <c r="F845" s="35"/>
      <c r="G845" s="35"/>
      <c r="H845" s="35"/>
      <c r="I845" s="35"/>
      <c r="J845" s="35"/>
      <c r="K845" s="35"/>
      <c r="L845" s="35"/>
      <c r="M845" s="35"/>
      <c r="N845" s="35"/>
      <c r="O845" s="35"/>
      <c r="P845" s="35"/>
      <c r="Q845" s="35"/>
      <c r="R845" s="35"/>
      <c r="S845" s="35"/>
      <c r="T845" s="35"/>
      <c r="U845" s="35"/>
      <c r="V845" s="35"/>
      <c r="W845" s="35"/>
      <c r="X845" s="35"/>
      <c r="Y845" s="35"/>
      <c r="Z845" s="35"/>
      <c r="AA845" s="35"/>
    </row>
    <row r="846">
      <c r="A846" s="35"/>
      <c r="B846" s="35"/>
      <c r="C846" s="35"/>
      <c r="D846" s="35"/>
      <c r="E846" s="107"/>
      <c r="F846" s="35"/>
      <c r="G846" s="35"/>
      <c r="H846" s="35"/>
      <c r="I846" s="35"/>
      <c r="J846" s="35"/>
      <c r="K846" s="35"/>
      <c r="L846" s="35"/>
      <c r="M846" s="35"/>
      <c r="N846" s="35"/>
      <c r="O846" s="35"/>
      <c r="P846" s="35"/>
      <c r="Q846" s="35"/>
      <c r="R846" s="35"/>
      <c r="S846" s="35"/>
      <c r="T846" s="35"/>
      <c r="U846" s="35"/>
      <c r="V846" s="35"/>
      <c r="W846" s="35"/>
      <c r="X846" s="35"/>
      <c r="Y846" s="35"/>
      <c r="Z846" s="35"/>
      <c r="AA846" s="35"/>
    </row>
    <row r="847">
      <c r="A847" s="35"/>
      <c r="B847" s="35"/>
      <c r="C847" s="35"/>
      <c r="D847" s="35"/>
      <c r="E847" s="107"/>
      <c r="F847" s="35"/>
      <c r="G847" s="35"/>
      <c r="H847" s="35"/>
      <c r="I847" s="35"/>
      <c r="J847" s="35"/>
      <c r="K847" s="35"/>
      <c r="L847" s="35"/>
      <c r="M847" s="35"/>
      <c r="N847" s="35"/>
      <c r="O847" s="35"/>
      <c r="P847" s="35"/>
      <c r="Q847" s="35"/>
      <c r="R847" s="35"/>
      <c r="S847" s="35"/>
      <c r="T847" s="35"/>
      <c r="U847" s="35"/>
      <c r="V847" s="35"/>
      <c r="W847" s="35"/>
      <c r="X847" s="35"/>
      <c r="Y847" s="35"/>
      <c r="Z847" s="35"/>
      <c r="AA847" s="35"/>
    </row>
    <row r="848">
      <c r="A848" s="35"/>
      <c r="B848" s="35"/>
      <c r="C848" s="35"/>
      <c r="D848" s="35"/>
      <c r="E848" s="107"/>
      <c r="F848" s="35"/>
      <c r="G848" s="35"/>
      <c r="H848" s="35"/>
      <c r="I848" s="35"/>
      <c r="J848" s="35"/>
      <c r="K848" s="35"/>
      <c r="L848" s="35"/>
      <c r="M848" s="35"/>
      <c r="N848" s="35"/>
      <c r="O848" s="35"/>
      <c r="P848" s="35"/>
      <c r="Q848" s="35"/>
      <c r="R848" s="35"/>
      <c r="S848" s="35"/>
      <c r="T848" s="35"/>
      <c r="U848" s="35"/>
      <c r="V848" s="35"/>
      <c r="W848" s="35"/>
      <c r="X848" s="35"/>
      <c r="Y848" s="35"/>
      <c r="Z848" s="35"/>
      <c r="AA848" s="35"/>
    </row>
    <row r="849">
      <c r="A849" s="35"/>
      <c r="B849" s="35"/>
      <c r="C849" s="35"/>
      <c r="D849" s="35"/>
      <c r="E849" s="107"/>
      <c r="F849" s="35"/>
      <c r="G849" s="35"/>
      <c r="H849" s="35"/>
      <c r="I849" s="35"/>
      <c r="J849" s="35"/>
      <c r="K849" s="35"/>
      <c r="L849" s="35"/>
      <c r="M849" s="35"/>
      <c r="N849" s="35"/>
      <c r="O849" s="35"/>
      <c r="P849" s="35"/>
      <c r="Q849" s="35"/>
      <c r="R849" s="35"/>
      <c r="S849" s="35"/>
      <c r="T849" s="35"/>
      <c r="U849" s="35"/>
      <c r="V849" s="35"/>
      <c r="W849" s="35"/>
      <c r="X849" s="35"/>
      <c r="Y849" s="35"/>
      <c r="Z849" s="35"/>
      <c r="AA849" s="35"/>
    </row>
    <row r="850">
      <c r="A850" s="35"/>
      <c r="B850" s="35"/>
      <c r="C850" s="35"/>
      <c r="D850" s="35"/>
      <c r="E850" s="107"/>
      <c r="F850" s="35"/>
      <c r="G850" s="35"/>
      <c r="H850" s="35"/>
      <c r="I850" s="35"/>
      <c r="J850" s="35"/>
      <c r="K850" s="35"/>
      <c r="L850" s="35"/>
      <c r="M850" s="35"/>
      <c r="N850" s="35"/>
      <c r="O850" s="35"/>
      <c r="P850" s="35"/>
      <c r="Q850" s="35"/>
      <c r="R850" s="35"/>
      <c r="S850" s="35"/>
      <c r="T850" s="35"/>
      <c r="U850" s="35"/>
      <c r="V850" s="35"/>
      <c r="W850" s="35"/>
      <c r="X850" s="35"/>
      <c r="Y850" s="35"/>
      <c r="Z850" s="35"/>
      <c r="AA850" s="35"/>
    </row>
    <row r="851">
      <c r="A851" s="35"/>
      <c r="B851" s="35"/>
      <c r="C851" s="35"/>
      <c r="D851" s="35"/>
      <c r="E851" s="107"/>
      <c r="F851" s="35"/>
      <c r="G851" s="35"/>
      <c r="H851" s="35"/>
      <c r="I851" s="35"/>
      <c r="J851" s="35"/>
      <c r="K851" s="35"/>
      <c r="L851" s="35"/>
      <c r="M851" s="35"/>
      <c r="N851" s="35"/>
      <c r="O851" s="35"/>
      <c r="P851" s="35"/>
      <c r="Q851" s="35"/>
      <c r="R851" s="35"/>
      <c r="S851" s="35"/>
      <c r="T851" s="35"/>
      <c r="U851" s="35"/>
      <c r="V851" s="35"/>
      <c r="W851" s="35"/>
      <c r="X851" s="35"/>
      <c r="Y851" s="35"/>
      <c r="Z851" s="35"/>
      <c r="AA851" s="35"/>
    </row>
    <row r="852">
      <c r="A852" s="35"/>
      <c r="B852" s="35"/>
      <c r="C852" s="35"/>
      <c r="D852" s="35"/>
      <c r="E852" s="107"/>
      <c r="F852" s="35"/>
      <c r="G852" s="35"/>
      <c r="H852" s="35"/>
      <c r="I852" s="35"/>
      <c r="J852" s="35"/>
      <c r="K852" s="35"/>
      <c r="L852" s="35"/>
      <c r="M852" s="35"/>
      <c r="N852" s="35"/>
      <c r="O852" s="35"/>
      <c r="P852" s="35"/>
      <c r="Q852" s="35"/>
      <c r="R852" s="35"/>
      <c r="S852" s="35"/>
      <c r="T852" s="35"/>
      <c r="U852" s="35"/>
      <c r="V852" s="35"/>
      <c r="W852" s="35"/>
      <c r="X852" s="35"/>
      <c r="Y852" s="35"/>
      <c r="Z852" s="35"/>
      <c r="AA852" s="35"/>
    </row>
    <row r="853">
      <c r="A853" s="35"/>
      <c r="B853" s="35"/>
      <c r="C853" s="35"/>
      <c r="D853" s="35"/>
      <c r="E853" s="107"/>
      <c r="F853" s="35"/>
      <c r="G853" s="35"/>
      <c r="H853" s="35"/>
      <c r="I853" s="35"/>
      <c r="J853" s="35"/>
      <c r="K853" s="35"/>
      <c r="L853" s="35"/>
      <c r="M853" s="35"/>
      <c r="N853" s="35"/>
      <c r="O853" s="35"/>
      <c r="P853" s="35"/>
      <c r="Q853" s="35"/>
      <c r="R853" s="35"/>
      <c r="S853" s="35"/>
      <c r="T853" s="35"/>
      <c r="U853" s="35"/>
      <c r="V853" s="35"/>
      <c r="W853" s="35"/>
      <c r="X853" s="35"/>
      <c r="Y853" s="35"/>
      <c r="Z853" s="35"/>
      <c r="AA853" s="35"/>
    </row>
    <row r="854">
      <c r="A854" s="35"/>
      <c r="B854" s="35"/>
      <c r="C854" s="35"/>
      <c r="D854" s="35"/>
      <c r="E854" s="107"/>
      <c r="F854" s="35"/>
      <c r="G854" s="35"/>
      <c r="H854" s="35"/>
      <c r="I854" s="35"/>
      <c r="J854" s="35"/>
      <c r="K854" s="35"/>
      <c r="L854" s="35"/>
      <c r="M854" s="35"/>
      <c r="N854" s="35"/>
      <c r="O854" s="35"/>
      <c r="P854" s="35"/>
      <c r="Q854" s="35"/>
      <c r="R854" s="35"/>
      <c r="S854" s="35"/>
      <c r="T854" s="35"/>
      <c r="U854" s="35"/>
      <c r="V854" s="35"/>
      <c r="W854" s="35"/>
      <c r="X854" s="35"/>
      <c r="Y854" s="35"/>
      <c r="Z854" s="35"/>
      <c r="AA854" s="35"/>
    </row>
    <row r="855">
      <c r="A855" s="35"/>
      <c r="B855" s="35"/>
      <c r="C855" s="35"/>
      <c r="D855" s="35"/>
      <c r="E855" s="107"/>
      <c r="F855" s="35"/>
      <c r="G855" s="35"/>
      <c r="H855" s="35"/>
      <c r="I855" s="35"/>
      <c r="J855" s="35"/>
      <c r="K855" s="35"/>
      <c r="L855" s="35"/>
      <c r="M855" s="35"/>
      <c r="N855" s="35"/>
      <c r="O855" s="35"/>
      <c r="P855" s="35"/>
      <c r="Q855" s="35"/>
      <c r="R855" s="35"/>
      <c r="S855" s="35"/>
      <c r="T855" s="35"/>
      <c r="U855" s="35"/>
      <c r="V855" s="35"/>
      <c r="W855" s="35"/>
      <c r="X855" s="35"/>
      <c r="Y855" s="35"/>
      <c r="Z855" s="35"/>
      <c r="AA855" s="35"/>
    </row>
    <row r="856">
      <c r="A856" s="35"/>
      <c r="B856" s="35"/>
      <c r="C856" s="35"/>
      <c r="D856" s="35"/>
      <c r="E856" s="107"/>
      <c r="F856" s="35"/>
      <c r="G856" s="35"/>
      <c r="H856" s="35"/>
      <c r="I856" s="35"/>
      <c r="J856" s="35"/>
      <c r="K856" s="35"/>
      <c r="L856" s="35"/>
      <c r="M856" s="35"/>
      <c r="N856" s="35"/>
      <c r="O856" s="35"/>
      <c r="P856" s="35"/>
      <c r="Q856" s="35"/>
      <c r="R856" s="35"/>
      <c r="S856" s="35"/>
      <c r="T856" s="35"/>
      <c r="U856" s="35"/>
      <c r="V856" s="35"/>
      <c r="W856" s="35"/>
      <c r="X856" s="35"/>
      <c r="Y856" s="35"/>
      <c r="Z856" s="35"/>
      <c r="AA856" s="35"/>
    </row>
    <row r="857">
      <c r="A857" s="35"/>
      <c r="B857" s="35"/>
      <c r="C857" s="35"/>
      <c r="D857" s="35"/>
      <c r="E857" s="107"/>
      <c r="F857" s="35"/>
      <c r="G857" s="35"/>
      <c r="H857" s="35"/>
      <c r="I857" s="35"/>
      <c r="J857" s="35"/>
      <c r="K857" s="35"/>
      <c r="L857" s="35"/>
      <c r="M857" s="35"/>
      <c r="N857" s="35"/>
      <c r="O857" s="35"/>
      <c r="P857" s="35"/>
      <c r="Q857" s="35"/>
      <c r="R857" s="35"/>
      <c r="S857" s="35"/>
      <c r="T857" s="35"/>
      <c r="U857" s="35"/>
      <c r="V857" s="35"/>
      <c r="W857" s="35"/>
      <c r="X857" s="35"/>
      <c r="Y857" s="35"/>
      <c r="Z857" s="35"/>
      <c r="AA857" s="35"/>
    </row>
    <row r="858">
      <c r="A858" s="35"/>
      <c r="B858" s="35"/>
      <c r="C858" s="35"/>
      <c r="D858" s="35"/>
      <c r="E858" s="107"/>
      <c r="F858" s="35"/>
      <c r="G858" s="35"/>
      <c r="H858" s="35"/>
      <c r="I858" s="35"/>
      <c r="J858" s="35"/>
      <c r="K858" s="35"/>
      <c r="L858" s="35"/>
      <c r="M858" s="35"/>
      <c r="N858" s="35"/>
      <c r="O858" s="35"/>
      <c r="P858" s="35"/>
      <c r="Q858" s="35"/>
      <c r="R858" s="35"/>
      <c r="S858" s="35"/>
      <c r="T858" s="35"/>
      <c r="U858" s="35"/>
      <c r="V858" s="35"/>
      <c r="W858" s="35"/>
      <c r="X858" s="35"/>
      <c r="Y858" s="35"/>
      <c r="Z858" s="35"/>
      <c r="AA858" s="35"/>
    </row>
    <row r="859">
      <c r="A859" s="35"/>
      <c r="B859" s="35"/>
      <c r="C859" s="35"/>
      <c r="D859" s="35"/>
      <c r="E859" s="107"/>
      <c r="F859" s="35"/>
      <c r="G859" s="35"/>
      <c r="H859" s="35"/>
      <c r="I859" s="35"/>
      <c r="J859" s="35"/>
      <c r="K859" s="35"/>
      <c r="L859" s="35"/>
      <c r="M859" s="35"/>
      <c r="N859" s="35"/>
      <c r="O859" s="35"/>
      <c r="P859" s="35"/>
      <c r="Q859" s="35"/>
      <c r="R859" s="35"/>
      <c r="S859" s="35"/>
      <c r="T859" s="35"/>
      <c r="U859" s="35"/>
      <c r="V859" s="35"/>
      <c r="W859" s="35"/>
      <c r="X859" s="35"/>
      <c r="Y859" s="35"/>
      <c r="Z859" s="35"/>
      <c r="AA859" s="35"/>
    </row>
    <row r="860">
      <c r="A860" s="35"/>
      <c r="B860" s="35"/>
      <c r="C860" s="35"/>
      <c r="D860" s="35"/>
      <c r="E860" s="107"/>
      <c r="F860" s="35"/>
      <c r="G860" s="35"/>
      <c r="H860" s="35"/>
      <c r="I860" s="35"/>
      <c r="J860" s="35"/>
      <c r="K860" s="35"/>
      <c r="L860" s="35"/>
      <c r="M860" s="35"/>
      <c r="N860" s="35"/>
      <c r="O860" s="35"/>
      <c r="P860" s="35"/>
      <c r="Q860" s="35"/>
      <c r="R860" s="35"/>
      <c r="S860" s="35"/>
      <c r="T860" s="35"/>
      <c r="U860" s="35"/>
      <c r="V860" s="35"/>
      <c r="W860" s="35"/>
      <c r="X860" s="35"/>
      <c r="Y860" s="35"/>
      <c r="Z860" s="35"/>
      <c r="AA860" s="35"/>
    </row>
    <row r="861">
      <c r="A861" s="35"/>
      <c r="B861" s="35"/>
      <c r="C861" s="35"/>
      <c r="D861" s="35"/>
      <c r="E861" s="107"/>
      <c r="F861" s="35"/>
      <c r="G861" s="35"/>
      <c r="H861" s="35"/>
      <c r="I861" s="35"/>
      <c r="J861" s="35"/>
      <c r="K861" s="35"/>
      <c r="L861" s="35"/>
      <c r="M861" s="35"/>
      <c r="N861" s="35"/>
      <c r="O861" s="35"/>
      <c r="P861" s="35"/>
      <c r="Q861" s="35"/>
      <c r="R861" s="35"/>
      <c r="S861" s="35"/>
      <c r="T861" s="35"/>
      <c r="U861" s="35"/>
      <c r="V861" s="35"/>
      <c r="W861" s="35"/>
      <c r="X861" s="35"/>
      <c r="Y861" s="35"/>
      <c r="Z861" s="35"/>
      <c r="AA861" s="35"/>
    </row>
    <row r="862">
      <c r="A862" s="35"/>
      <c r="B862" s="35"/>
      <c r="C862" s="35"/>
      <c r="D862" s="35"/>
      <c r="E862" s="107"/>
      <c r="F862" s="35"/>
      <c r="G862" s="35"/>
      <c r="H862" s="35"/>
      <c r="I862" s="35"/>
      <c r="J862" s="35"/>
      <c r="K862" s="35"/>
      <c r="L862" s="35"/>
      <c r="M862" s="35"/>
      <c r="N862" s="35"/>
      <c r="O862" s="35"/>
      <c r="P862" s="35"/>
      <c r="Q862" s="35"/>
      <c r="R862" s="35"/>
      <c r="S862" s="35"/>
      <c r="T862" s="35"/>
      <c r="U862" s="35"/>
      <c r="V862" s="35"/>
      <c r="W862" s="35"/>
      <c r="X862" s="35"/>
      <c r="Y862" s="35"/>
      <c r="Z862" s="35"/>
      <c r="AA862" s="35"/>
    </row>
    <row r="863">
      <c r="A863" s="35"/>
      <c r="B863" s="35"/>
      <c r="C863" s="35"/>
      <c r="D863" s="35"/>
      <c r="E863" s="107"/>
      <c r="F863" s="35"/>
      <c r="G863" s="35"/>
      <c r="H863" s="35"/>
      <c r="I863" s="35"/>
      <c r="J863" s="35"/>
      <c r="K863" s="35"/>
      <c r="L863" s="35"/>
      <c r="M863" s="35"/>
      <c r="N863" s="35"/>
      <c r="O863" s="35"/>
      <c r="P863" s="35"/>
      <c r="Q863" s="35"/>
      <c r="R863" s="35"/>
      <c r="S863" s="35"/>
      <c r="T863" s="35"/>
      <c r="U863" s="35"/>
      <c r="V863" s="35"/>
      <c r="W863" s="35"/>
      <c r="X863" s="35"/>
      <c r="Y863" s="35"/>
      <c r="Z863" s="35"/>
      <c r="AA863" s="35"/>
    </row>
    <row r="864">
      <c r="A864" s="35"/>
      <c r="B864" s="35"/>
      <c r="C864" s="35"/>
      <c r="D864" s="35"/>
      <c r="E864" s="107"/>
      <c r="F864" s="35"/>
      <c r="G864" s="35"/>
      <c r="H864" s="35"/>
      <c r="I864" s="35"/>
      <c r="J864" s="35"/>
      <c r="K864" s="35"/>
      <c r="L864" s="35"/>
      <c r="M864" s="35"/>
      <c r="N864" s="35"/>
      <c r="O864" s="35"/>
      <c r="P864" s="35"/>
      <c r="Q864" s="35"/>
      <c r="R864" s="35"/>
      <c r="S864" s="35"/>
      <c r="T864" s="35"/>
      <c r="U864" s="35"/>
      <c r="V864" s="35"/>
      <c r="W864" s="35"/>
      <c r="X864" s="35"/>
      <c r="Y864" s="35"/>
      <c r="Z864" s="35"/>
      <c r="AA864" s="35"/>
    </row>
    <row r="865">
      <c r="A865" s="35"/>
      <c r="B865" s="35"/>
      <c r="C865" s="35"/>
      <c r="D865" s="35"/>
      <c r="E865" s="107"/>
      <c r="F865" s="35"/>
      <c r="G865" s="35"/>
      <c r="H865" s="35"/>
      <c r="I865" s="35"/>
      <c r="J865" s="35"/>
      <c r="K865" s="35"/>
      <c r="L865" s="35"/>
      <c r="M865" s="35"/>
      <c r="N865" s="35"/>
      <c r="O865" s="35"/>
      <c r="P865" s="35"/>
      <c r="Q865" s="35"/>
      <c r="R865" s="35"/>
      <c r="S865" s="35"/>
      <c r="T865" s="35"/>
      <c r="U865" s="35"/>
      <c r="V865" s="35"/>
      <c r="W865" s="35"/>
      <c r="X865" s="35"/>
      <c r="Y865" s="35"/>
      <c r="Z865" s="35"/>
      <c r="AA865" s="35"/>
    </row>
    <row r="866">
      <c r="A866" s="35"/>
      <c r="B866" s="35"/>
      <c r="C866" s="35"/>
      <c r="D866" s="35"/>
      <c r="E866" s="107"/>
      <c r="F866" s="35"/>
      <c r="G866" s="35"/>
      <c r="H866" s="35"/>
      <c r="I866" s="35"/>
      <c r="J866" s="35"/>
      <c r="K866" s="35"/>
      <c r="L866" s="35"/>
      <c r="M866" s="35"/>
      <c r="N866" s="35"/>
      <c r="O866" s="35"/>
      <c r="P866" s="35"/>
      <c r="Q866" s="35"/>
      <c r="R866" s="35"/>
      <c r="S866" s="35"/>
      <c r="T866" s="35"/>
      <c r="U866" s="35"/>
      <c r="V866" s="35"/>
      <c r="W866" s="35"/>
      <c r="X866" s="35"/>
      <c r="Y866" s="35"/>
      <c r="Z866" s="35"/>
      <c r="AA866" s="35"/>
    </row>
    <row r="867">
      <c r="A867" s="35"/>
      <c r="B867" s="35"/>
      <c r="C867" s="35"/>
      <c r="D867" s="35"/>
      <c r="E867" s="107"/>
      <c r="F867" s="35"/>
      <c r="G867" s="35"/>
      <c r="H867" s="35"/>
      <c r="I867" s="35"/>
      <c r="J867" s="35"/>
      <c r="K867" s="35"/>
      <c r="L867" s="35"/>
      <c r="M867" s="35"/>
      <c r="N867" s="35"/>
      <c r="O867" s="35"/>
      <c r="P867" s="35"/>
      <c r="Q867" s="35"/>
      <c r="R867" s="35"/>
      <c r="S867" s="35"/>
      <c r="T867" s="35"/>
      <c r="U867" s="35"/>
      <c r="V867" s="35"/>
      <c r="W867" s="35"/>
      <c r="X867" s="35"/>
      <c r="Y867" s="35"/>
      <c r="Z867" s="35"/>
      <c r="AA867" s="35"/>
    </row>
    <row r="868">
      <c r="A868" s="35"/>
      <c r="B868" s="35"/>
      <c r="C868" s="35"/>
      <c r="D868" s="35"/>
      <c r="E868" s="107"/>
      <c r="F868" s="35"/>
      <c r="G868" s="35"/>
      <c r="H868" s="35"/>
      <c r="I868" s="35"/>
      <c r="J868" s="35"/>
      <c r="K868" s="35"/>
      <c r="L868" s="35"/>
      <c r="M868" s="35"/>
      <c r="N868" s="35"/>
      <c r="O868" s="35"/>
      <c r="P868" s="35"/>
      <c r="Q868" s="35"/>
      <c r="R868" s="35"/>
      <c r="S868" s="35"/>
      <c r="T868" s="35"/>
      <c r="U868" s="35"/>
      <c r="V868" s="35"/>
      <c r="W868" s="35"/>
      <c r="X868" s="35"/>
      <c r="Y868" s="35"/>
      <c r="Z868" s="35"/>
      <c r="AA868" s="35"/>
    </row>
    <row r="869">
      <c r="A869" s="35"/>
      <c r="B869" s="35"/>
      <c r="C869" s="35"/>
      <c r="D869" s="35"/>
      <c r="E869" s="107"/>
      <c r="F869" s="35"/>
      <c r="G869" s="35"/>
      <c r="H869" s="35"/>
      <c r="I869" s="35"/>
      <c r="J869" s="35"/>
      <c r="K869" s="35"/>
      <c r="L869" s="35"/>
      <c r="M869" s="35"/>
      <c r="N869" s="35"/>
      <c r="O869" s="35"/>
      <c r="P869" s="35"/>
      <c r="Q869" s="35"/>
      <c r="R869" s="35"/>
      <c r="S869" s="35"/>
      <c r="T869" s="35"/>
      <c r="U869" s="35"/>
      <c r="V869" s="35"/>
      <c r="W869" s="35"/>
      <c r="X869" s="35"/>
      <c r="Y869" s="35"/>
      <c r="Z869" s="35"/>
      <c r="AA869" s="35"/>
    </row>
    <row r="870">
      <c r="A870" s="35"/>
      <c r="B870" s="35"/>
      <c r="C870" s="35"/>
      <c r="D870" s="35"/>
      <c r="E870" s="107"/>
      <c r="F870" s="35"/>
      <c r="G870" s="35"/>
      <c r="H870" s="35"/>
      <c r="I870" s="35"/>
      <c r="J870" s="35"/>
      <c r="K870" s="35"/>
      <c r="L870" s="35"/>
      <c r="M870" s="35"/>
      <c r="N870" s="35"/>
      <c r="O870" s="35"/>
      <c r="P870" s="35"/>
      <c r="Q870" s="35"/>
      <c r="R870" s="35"/>
      <c r="S870" s="35"/>
      <c r="T870" s="35"/>
      <c r="U870" s="35"/>
      <c r="V870" s="35"/>
      <c r="W870" s="35"/>
      <c r="X870" s="35"/>
      <c r="Y870" s="35"/>
      <c r="Z870" s="35"/>
      <c r="AA870" s="35"/>
    </row>
    <row r="871">
      <c r="A871" s="35"/>
      <c r="B871" s="35"/>
      <c r="C871" s="35"/>
      <c r="D871" s="35"/>
      <c r="E871" s="107"/>
      <c r="F871" s="35"/>
      <c r="G871" s="35"/>
      <c r="H871" s="35"/>
      <c r="I871" s="35"/>
      <c r="J871" s="35"/>
      <c r="K871" s="35"/>
      <c r="L871" s="35"/>
      <c r="M871" s="35"/>
      <c r="N871" s="35"/>
      <c r="O871" s="35"/>
      <c r="P871" s="35"/>
      <c r="Q871" s="35"/>
      <c r="R871" s="35"/>
      <c r="S871" s="35"/>
      <c r="T871" s="35"/>
      <c r="U871" s="35"/>
      <c r="V871" s="35"/>
      <c r="W871" s="35"/>
      <c r="X871" s="35"/>
      <c r="Y871" s="35"/>
      <c r="Z871" s="35"/>
      <c r="AA871" s="35"/>
    </row>
    <row r="872">
      <c r="A872" s="35"/>
      <c r="B872" s="35"/>
      <c r="C872" s="35"/>
      <c r="D872" s="35"/>
      <c r="E872" s="107"/>
      <c r="F872" s="35"/>
      <c r="G872" s="35"/>
      <c r="H872" s="35"/>
      <c r="I872" s="35"/>
      <c r="J872" s="35"/>
      <c r="K872" s="35"/>
      <c r="L872" s="35"/>
      <c r="M872" s="35"/>
      <c r="N872" s="35"/>
      <c r="O872" s="35"/>
      <c r="P872" s="35"/>
      <c r="Q872" s="35"/>
      <c r="R872" s="35"/>
      <c r="S872" s="35"/>
      <c r="T872" s="35"/>
      <c r="U872" s="35"/>
      <c r="V872" s="35"/>
      <c r="W872" s="35"/>
      <c r="X872" s="35"/>
      <c r="Y872" s="35"/>
      <c r="Z872" s="35"/>
      <c r="AA872" s="35"/>
    </row>
    <row r="873">
      <c r="A873" s="35"/>
      <c r="B873" s="35"/>
      <c r="C873" s="35"/>
      <c r="D873" s="35"/>
      <c r="E873" s="107"/>
      <c r="F873" s="35"/>
      <c r="G873" s="35"/>
      <c r="H873" s="35"/>
      <c r="I873" s="35"/>
      <c r="J873" s="35"/>
      <c r="K873" s="35"/>
      <c r="L873" s="35"/>
      <c r="M873" s="35"/>
      <c r="N873" s="35"/>
      <c r="O873" s="35"/>
      <c r="P873" s="35"/>
      <c r="Q873" s="35"/>
      <c r="R873" s="35"/>
      <c r="S873" s="35"/>
      <c r="T873" s="35"/>
      <c r="U873" s="35"/>
      <c r="V873" s="35"/>
      <c r="W873" s="35"/>
      <c r="X873" s="35"/>
      <c r="Y873" s="35"/>
      <c r="Z873" s="35"/>
      <c r="AA873" s="35"/>
    </row>
    <row r="874">
      <c r="A874" s="35"/>
      <c r="B874" s="35"/>
      <c r="C874" s="35"/>
      <c r="D874" s="35"/>
      <c r="E874" s="107"/>
      <c r="F874" s="35"/>
      <c r="G874" s="35"/>
      <c r="H874" s="35"/>
      <c r="I874" s="35"/>
      <c r="J874" s="35"/>
      <c r="K874" s="35"/>
      <c r="L874" s="35"/>
      <c r="M874" s="35"/>
      <c r="N874" s="35"/>
      <c r="O874" s="35"/>
      <c r="P874" s="35"/>
      <c r="Q874" s="35"/>
      <c r="R874" s="35"/>
      <c r="S874" s="35"/>
      <c r="T874" s="35"/>
      <c r="U874" s="35"/>
      <c r="V874" s="35"/>
      <c r="W874" s="35"/>
      <c r="X874" s="35"/>
      <c r="Y874" s="35"/>
      <c r="Z874" s="35"/>
      <c r="AA874" s="35"/>
    </row>
    <row r="875">
      <c r="A875" s="35"/>
      <c r="B875" s="35"/>
      <c r="C875" s="35"/>
      <c r="D875" s="35"/>
      <c r="E875" s="107"/>
      <c r="F875" s="35"/>
      <c r="G875" s="35"/>
      <c r="H875" s="35"/>
      <c r="I875" s="35"/>
      <c r="J875" s="35"/>
      <c r="K875" s="35"/>
      <c r="L875" s="35"/>
      <c r="M875" s="35"/>
      <c r="N875" s="35"/>
      <c r="O875" s="35"/>
      <c r="P875" s="35"/>
      <c r="Q875" s="35"/>
      <c r="R875" s="35"/>
      <c r="S875" s="35"/>
      <c r="T875" s="35"/>
      <c r="U875" s="35"/>
      <c r="V875" s="35"/>
      <c r="W875" s="35"/>
      <c r="X875" s="35"/>
      <c r="Y875" s="35"/>
      <c r="Z875" s="35"/>
      <c r="AA875" s="35"/>
    </row>
    <row r="876">
      <c r="A876" s="35"/>
      <c r="B876" s="35"/>
      <c r="C876" s="35"/>
      <c r="D876" s="35"/>
      <c r="E876" s="107"/>
      <c r="F876" s="35"/>
      <c r="G876" s="35"/>
      <c r="H876" s="35"/>
      <c r="I876" s="35"/>
      <c r="J876" s="35"/>
      <c r="K876" s="35"/>
      <c r="L876" s="35"/>
      <c r="M876" s="35"/>
      <c r="N876" s="35"/>
      <c r="O876" s="35"/>
      <c r="P876" s="35"/>
      <c r="Q876" s="35"/>
      <c r="R876" s="35"/>
      <c r="S876" s="35"/>
      <c r="T876" s="35"/>
      <c r="U876" s="35"/>
      <c r="V876" s="35"/>
      <c r="W876" s="35"/>
      <c r="X876" s="35"/>
      <c r="Y876" s="35"/>
      <c r="Z876" s="35"/>
      <c r="AA876" s="35"/>
    </row>
    <row r="877">
      <c r="A877" s="35"/>
      <c r="B877" s="35"/>
      <c r="C877" s="35"/>
      <c r="D877" s="35"/>
      <c r="E877" s="107"/>
      <c r="F877" s="35"/>
      <c r="G877" s="35"/>
      <c r="H877" s="35"/>
      <c r="I877" s="35"/>
      <c r="J877" s="35"/>
      <c r="K877" s="35"/>
      <c r="L877" s="35"/>
      <c r="M877" s="35"/>
      <c r="N877" s="35"/>
      <c r="O877" s="35"/>
      <c r="P877" s="35"/>
      <c r="Q877" s="35"/>
      <c r="R877" s="35"/>
      <c r="S877" s="35"/>
      <c r="T877" s="35"/>
      <c r="U877" s="35"/>
      <c r="V877" s="35"/>
      <c r="W877" s="35"/>
      <c r="X877" s="35"/>
      <c r="Y877" s="35"/>
      <c r="Z877" s="35"/>
      <c r="AA877" s="35"/>
    </row>
    <row r="878">
      <c r="A878" s="35"/>
      <c r="B878" s="35"/>
      <c r="C878" s="35"/>
      <c r="D878" s="35"/>
      <c r="E878" s="107"/>
      <c r="F878" s="35"/>
      <c r="G878" s="35"/>
      <c r="H878" s="35"/>
      <c r="I878" s="35"/>
      <c r="J878" s="35"/>
      <c r="K878" s="35"/>
      <c r="L878" s="35"/>
      <c r="M878" s="35"/>
      <c r="N878" s="35"/>
      <c r="O878" s="35"/>
      <c r="P878" s="35"/>
      <c r="Q878" s="35"/>
      <c r="R878" s="35"/>
      <c r="S878" s="35"/>
      <c r="T878" s="35"/>
      <c r="U878" s="35"/>
      <c r="V878" s="35"/>
      <c r="W878" s="35"/>
      <c r="X878" s="35"/>
      <c r="Y878" s="35"/>
      <c r="Z878" s="35"/>
      <c r="AA878" s="35"/>
    </row>
    <row r="879">
      <c r="A879" s="35"/>
      <c r="B879" s="35"/>
      <c r="C879" s="35"/>
      <c r="D879" s="35"/>
      <c r="E879" s="107"/>
      <c r="F879" s="35"/>
      <c r="G879" s="35"/>
      <c r="H879" s="35"/>
      <c r="I879" s="35"/>
      <c r="J879" s="35"/>
      <c r="K879" s="35"/>
      <c r="L879" s="35"/>
      <c r="M879" s="35"/>
      <c r="N879" s="35"/>
      <c r="O879" s="35"/>
      <c r="P879" s="35"/>
      <c r="Q879" s="35"/>
      <c r="R879" s="35"/>
      <c r="S879" s="35"/>
      <c r="T879" s="35"/>
      <c r="U879" s="35"/>
      <c r="V879" s="35"/>
      <c r="W879" s="35"/>
      <c r="X879" s="35"/>
      <c r="Y879" s="35"/>
      <c r="Z879" s="35"/>
      <c r="AA879" s="35"/>
    </row>
    <row r="880">
      <c r="A880" s="35"/>
      <c r="B880" s="35"/>
      <c r="C880" s="35"/>
      <c r="D880" s="35"/>
      <c r="E880" s="107"/>
      <c r="F880" s="35"/>
      <c r="G880" s="35"/>
      <c r="H880" s="35"/>
      <c r="I880" s="35"/>
      <c r="J880" s="35"/>
      <c r="K880" s="35"/>
      <c r="L880" s="35"/>
      <c r="M880" s="35"/>
      <c r="N880" s="35"/>
      <c r="O880" s="35"/>
      <c r="P880" s="35"/>
      <c r="Q880" s="35"/>
      <c r="R880" s="35"/>
      <c r="S880" s="35"/>
      <c r="T880" s="35"/>
      <c r="U880" s="35"/>
      <c r="V880" s="35"/>
      <c r="W880" s="35"/>
      <c r="X880" s="35"/>
      <c r="Y880" s="35"/>
      <c r="Z880" s="35"/>
      <c r="AA880" s="35"/>
    </row>
    <row r="881">
      <c r="A881" s="35"/>
      <c r="B881" s="35"/>
      <c r="C881" s="35"/>
      <c r="D881" s="35"/>
      <c r="E881" s="107"/>
      <c r="F881" s="35"/>
      <c r="G881" s="35"/>
      <c r="H881" s="35"/>
      <c r="I881" s="35"/>
      <c r="J881" s="35"/>
      <c r="K881" s="35"/>
      <c r="L881" s="35"/>
      <c r="M881" s="35"/>
      <c r="N881" s="35"/>
      <c r="O881" s="35"/>
      <c r="P881" s="35"/>
      <c r="Q881" s="35"/>
      <c r="R881" s="35"/>
      <c r="S881" s="35"/>
      <c r="T881" s="35"/>
      <c r="U881" s="35"/>
      <c r="V881" s="35"/>
      <c r="W881" s="35"/>
      <c r="X881" s="35"/>
      <c r="Y881" s="35"/>
      <c r="Z881" s="35"/>
      <c r="AA881" s="35"/>
    </row>
    <row r="882">
      <c r="A882" s="35"/>
      <c r="B882" s="35"/>
      <c r="C882" s="35"/>
      <c r="D882" s="35"/>
      <c r="E882" s="107"/>
      <c r="F882" s="35"/>
      <c r="G882" s="35"/>
      <c r="H882" s="35"/>
      <c r="I882" s="35"/>
      <c r="J882" s="35"/>
      <c r="K882" s="35"/>
      <c r="L882" s="35"/>
      <c r="M882" s="35"/>
      <c r="N882" s="35"/>
      <c r="O882" s="35"/>
      <c r="P882" s="35"/>
      <c r="Q882" s="35"/>
      <c r="R882" s="35"/>
      <c r="S882" s="35"/>
      <c r="T882" s="35"/>
      <c r="U882" s="35"/>
      <c r="V882" s="35"/>
      <c r="W882" s="35"/>
      <c r="X882" s="35"/>
      <c r="Y882" s="35"/>
      <c r="Z882" s="35"/>
      <c r="AA882" s="35"/>
    </row>
    <row r="883">
      <c r="A883" s="35"/>
      <c r="B883" s="35"/>
      <c r="C883" s="35"/>
      <c r="D883" s="35"/>
      <c r="E883" s="107"/>
      <c r="F883" s="35"/>
      <c r="G883" s="35"/>
      <c r="H883" s="35"/>
      <c r="I883" s="35"/>
      <c r="J883" s="35"/>
      <c r="K883" s="35"/>
      <c r="L883" s="35"/>
      <c r="M883" s="35"/>
      <c r="N883" s="35"/>
      <c r="O883" s="35"/>
      <c r="P883" s="35"/>
      <c r="Q883" s="35"/>
      <c r="R883" s="35"/>
      <c r="S883" s="35"/>
      <c r="T883" s="35"/>
      <c r="U883" s="35"/>
      <c r="V883" s="35"/>
      <c r="W883" s="35"/>
      <c r="X883" s="35"/>
      <c r="Y883" s="35"/>
      <c r="Z883" s="35"/>
      <c r="AA883" s="35"/>
    </row>
    <row r="884">
      <c r="A884" s="35"/>
      <c r="B884" s="35"/>
      <c r="C884" s="35"/>
      <c r="D884" s="35"/>
      <c r="E884" s="107"/>
      <c r="F884" s="35"/>
      <c r="G884" s="35"/>
      <c r="H884" s="35"/>
      <c r="I884" s="35"/>
      <c r="J884" s="35"/>
      <c r="K884" s="35"/>
      <c r="L884" s="35"/>
      <c r="M884" s="35"/>
      <c r="N884" s="35"/>
      <c r="O884" s="35"/>
      <c r="P884" s="35"/>
      <c r="Q884" s="35"/>
      <c r="R884" s="35"/>
      <c r="S884" s="35"/>
      <c r="T884" s="35"/>
      <c r="U884" s="35"/>
      <c r="V884" s="35"/>
      <c r="W884" s="35"/>
      <c r="X884" s="35"/>
      <c r="Y884" s="35"/>
      <c r="Z884" s="35"/>
      <c r="AA884" s="35"/>
    </row>
    <row r="885">
      <c r="A885" s="35"/>
      <c r="B885" s="35"/>
      <c r="C885" s="35"/>
      <c r="D885" s="35"/>
      <c r="E885" s="107"/>
      <c r="F885" s="35"/>
      <c r="G885" s="35"/>
      <c r="H885" s="35"/>
      <c r="I885" s="35"/>
      <c r="J885" s="35"/>
      <c r="K885" s="35"/>
      <c r="L885" s="35"/>
      <c r="M885" s="35"/>
      <c r="N885" s="35"/>
      <c r="O885" s="35"/>
      <c r="P885" s="35"/>
      <c r="Q885" s="35"/>
      <c r="R885" s="35"/>
      <c r="S885" s="35"/>
      <c r="T885" s="35"/>
      <c r="U885" s="35"/>
      <c r="V885" s="35"/>
      <c r="W885" s="35"/>
      <c r="X885" s="35"/>
      <c r="Y885" s="35"/>
      <c r="Z885" s="35"/>
      <c r="AA885" s="35"/>
    </row>
    <row r="886">
      <c r="A886" s="35"/>
      <c r="B886" s="35"/>
      <c r="C886" s="35"/>
      <c r="D886" s="35"/>
      <c r="E886" s="107"/>
      <c r="F886" s="35"/>
      <c r="G886" s="35"/>
      <c r="H886" s="35"/>
      <c r="I886" s="35"/>
      <c r="J886" s="35"/>
      <c r="K886" s="35"/>
      <c r="L886" s="35"/>
      <c r="M886" s="35"/>
      <c r="N886" s="35"/>
      <c r="O886" s="35"/>
      <c r="P886" s="35"/>
      <c r="Q886" s="35"/>
      <c r="R886" s="35"/>
      <c r="S886" s="35"/>
      <c r="T886" s="35"/>
      <c r="U886" s="35"/>
      <c r="V886" s="35"/>
      <c r="W886" s="35"/>
      <c r="X886" s="35"/>
      <c r="Y886" s="35"/>
      <c r="Z886" s="35"/>
      <c r="AA886" s="35"/>
    </row>
    <row r="887">
      <c r="A887" s="35"/>
      <c r="B887" s="35"/>
      <c r="C887" s="35"/>
      <c r="D887" s="35"/>
      <c r="E887" s="107"/>
      <c r="F887" s="35"/>
      <c r="G887" s="35"/>
      <c r="H887" s="35"/>
      <c r="I887" s="35"/>
      <c r="J887" s="35"/>
      <c r="K887" s="35"/>
      <c r="L887" s="35"/>
      <c r="M887" s="35"/>
      <c r="N887" s="35"/>
      <c r="O887" s="35"/>
      <c r="P887" s="35"/>
      <c r="Q887" s="35"/>
      <c r="R887" s="35"/>
      <c r="S887" s="35"/>
      <c r="T887" s="35"/>
      <c r="U887" s="35"/>
      <c r="V887" s="35"/>
      <c r="W887" s="35"/>
      <c r="X887" s="35"/>
      <c r="Y887" s="35"/>
      <c r="Z887" s="35"/>
      <c r="AA887" s="35"/>
    </row>
    <row r="888">
      <c r="A888" s="35"/>
      <c r="B888" s="35"/>
      <c r="C888" s="35"/>
      <c r="D888" s="35"/>
      <c r="E888" s="107"/>
      <c r="F888" s="35"/>
      <c r="G888" s="35"/>
      <c r="H888" s="35"/>
      <c r="I888" s="35"/>
      <c r="J888" s="35"/>
      <c r="K888" s="35"/>
      <c r="L888" s="35"/>
      <c r="M888" s="35"/>
      <c r="N888" s="35"/>
      <c r="O888" s="35"/>
      <c r="P888" s="35"/>
      <c r="Q888" s="35"/>
      <c r="R888" s="35"/>
      <c r="S888" s="35"/>
      <c r="T888" s="35"/>
      <c r="U888" s="35"/>
      <c r="V888" s="35"/>
      <c r="W888" s="35"/>
      <c r="X888" s="35"/>
      <c r="Y888" s="35"/>
      <c r="Z888" s="35"/>
      <c r="AA888" s="35"/>
    </row>
    <row r="889">
      <c r="A889" s="35"/>
      <c r="B889" s="35"/>
      <c r="C889" s="35"/>
      <c r="D889" s="35"/>
      <c r="E889" s="107"/>
      <c r="F889" s="35"/>
      <c r="G889" s="35"/>
      <c r="H889" s="35"/>
      <c r="I889" s="35"/>
      <c r="J889" s="35"/>
      <c r="K889" s="35"/>
      <c r="L889" s="35"/>
      <c r="M889" s="35"/>
      <c r="N889" s="35"/>
      <c r="O889" s="35"/>
      <c r="P889" s="35"/>
      <c r="Q889" s="35"/>
      <c r="R889" s="35"/>
      <c r="S889" s="35"/>
      <c r="T889" s="35"/>
      <c r="U889" s="35"/>
      <c r="V889" s="35"/>
      <c r="W889" s="35"/>
      <c r="X889" s="35"/>
      <c r="Y889" s="35"/>
      <c r="Z889" s="35"/>
      <c r="AA889" s="35"/>
    </row>
    <row r="890">
      <c r="A890" s="35"/>
      <c r="B890" s="35"/>
      <c r="C890" s="35"/>
      <c r="D890" s="35"/>
      <c r="E890" s="107"/>
      <c r="F890" s="35"/>
      <c r="G890" s="35"/>
      <c r="H890" s="35"/>
      <c r="I890" s="35"/>
      <c r="J890" s="35"/>
      <c r="K890" s="35"/>
      <c r="L890" s="35"/>
      <c r="M890" s="35"/>
      <c r="N890" s="35"/>
      <c r="O890" s="35"/>
      <c r="P890" s="35"/>
      <c r="Q890" s="35"/>
      <c r="R890" s="35"/>
      <c r="S890" s="35"/>
      <c r="T890" s="35"/>
      <c r="U890" s="35"/>
      <c r="V890" s="35"/>
      <c r="W890" s="35"/>
      <c r="X890" s="35"/>
      <c r="Y890" s="35"/>
      <c r="Z890" s="35"/>
      <c r="AA890" s="35"/>
    </row>
    <row r="891">
      <c r="A891" s="35"/>
      <c r="B891" s="35"/>
      <c r="C891" s="35"/>
      <c r="D891" s="35"/>
      <c r="E891" s="107"/>
      <c r="F891" s="35"/>
      <c r="G891" s="35"/>
      <c r="H891" s="35"/>
      <c r="I891" s="35"/>
      <c r="J891" s="35"/>
      <c r="K891" s="35"/>
      <c r="L891" s="35"/>
      <c r="M891" s="35"/>
      <c r="N891" s="35"/>
      <c r="O891" s="35"/>
      <c r="P891" s="35"/>
      <c r="Q891" s="35"/>
      <c r="R891" s="35"/>
      <c r="S891" s="35"/>
      <c r="T891" s="35"/>
      <c r="U891" s="35"/>
      <c r="V891" s="35"/>
      <c r="W891" s="35"/>
      <c r="X891" s="35"/>
      <c r="Y891" s="35"/>
      <c r="Z891" s="35"/>
      <c r="AA891" s="35"/>
    </row>
    <row r="892">
      <c r="A892" s="35"/>
      <c r="B892" s="35"/>
      <c r="C892" s="35"/>
      <c r="D892" s="35"/>
      <c r="E892" s="107"/>
      <c r="F892" s="35"/>
      <c r="G892" s="35"/>
      <c r="H892" s="35"/>
      <c r="I892" s="35"/>
      <c r="J892" s="35"/>
      <c r="K892" s="35"/>
      <c r="L892" s="35"/>
      <c r="M892" s="35"/>
      <c r="N892" s="35"/>
      <c r="O892" s="35"/>
      <c r="P892" s="35"/>
      <c r="Q892" s="35"/>
      <c r="R892" s="35"/>
      <c r="S892" s="35"/>
      <c r="T892" s="35"/>
      <c r="U892" s="35"/>
      <c r="V892" s="35"/>
      <c r="W892" s="35"/>
      <c r="X892" s="35"/>
      <c r="Y892" s="35"/>
      <c r="Z892" s="35"/>
      <c r="AA892" s="35"/>
    </row>
    <row r="893">
      <c r="A893" s="35"/>
      <c r="B893" s="35"/>
      <c r="C893" s="35"/>
      <c r="D893" s="35"/>
      <c r="E893" s="107"/>
      <c r="F893" s="35"/>
      <c r="G893" s="35"/>
      <c r="H893" s="35"/>
      <c r="I893" s="35"/>
      <c r="J893" s="35"/>
      <c r="K893" s="35"/>
      <c r="L893" s="35"/>
      <c r="M893" s="35"/>
      <c r="N893" s="35"/>
      <c r="O893" s="35"/>
      <c r="P893" s="35"/>
      <c r="Q893" s="35"/>
      <c r="R893" s="35"/>
      <c r="S893" s="35"/>
      <c r="T893" s="35"/>
      <c r="U893" s="35"/>
      <c r="V893" s="35"/>
      <c r="W893" s="35"/>
      <c r="X893" s="35"/>
      <c r="Y893" s="35"/>
      <c r="Z893" s="35"/>
      <c r="AA893" s="35"/>
    </row>
    <row r="894">
      <c r="A894" s="35"/>
      <c r="B894" s="35"/>
      <c r="C894" s="35"/>
      <c r="D894" s="35"/>
      <c r="E894" s="107"/>
      <c r="F894" s="35"/>
      <c r="G894" s="35"/>
      <c r="H894" s="35"/>
      <c r="I894" s="35"/>
      <c r="J894" s="35"/>
      <c r="K894" s="35"/>
      <c r="L894" s="35"/>
      <c r="M894" s="35"/>
      <c r="N894" s="35"/>
      <c r="O894" s="35"/>
      <c r="P894" s="35"/>
      <c r="Q894" s="35"/>
      <c r="R894" s="35"/>
      <c r="S894" s="35"/>
      <c r="T894" s="35"/>
      <c r="U894" s="35"/>
      <c r="V894" s="35"/>
      <c r="W894" s="35"/>
      <c r="X894" s="35"/>
      <c r="Y894" s="35"/>
      <c r="Z894" s="35"/>
      <c r="AA894" s="35"/>
    </row>
    <row r="895">
      <c r="A895" s="35"/>
      <c r="B895" s="35"/>
      <c r="C895" s="35"/>
      <c r="D895" s="35"/>
      <c r="E895" s="107"/>
      <c r="F895" s="35"/>
      <c r="G895" s="35"/>
      <c r="H895" s="35"/>
      <c r="I895" s="35"/>
      <c r="J895" s="35"/>
      <c r="K895" s="35"/>
      <c r="L895" s="35"/>
      <c r="M895" s="35"/>
      <c r="N895" s="35"/>
      <c r="O895" s="35"/>
      <c r="P895" s="35"/>
      <c r="Q895" s="35"/>
      <c r="R895" s="35"/>
      <c r="S895" s="35"/>
      <c r="T895" s="35"/>
      <c r="U895" s="35"/>
      <c r="V895" s="35"/>
      <c r="W895" s="35"/>
      <c r="X895" s="35"/>
      <c r="Y895" s="35"/>
      <c r="Z895" s="35"/>
      <c r="AA895" s="35"/>
    </row>
    <row r="896">
      <c r="A896" s="35"/>
      <c r="B896" s="35"/>
      <c r="C896" s="35"/>
      <c r="D896" s="35"/>
      <c r="E896" s="107"/>
      <c r="F896" s="35"/>
      <c r="G896" s="35"/>
      <c r="H896" s="35"/>
      <c r="I896" s="35"/>
      <c r="J896" s="35"/>
      <c r="K896" s="35"/>
      <c r="L896" s="35"/>
      <c r="M896" s="35"/>
      <c r="N896" s="35"/>
      <c r="O896" s="35"/>
      <c r="P896" s="35"/>
      <c r="Q896" s="35"/>
      <c r="R896" s="35"/>
      <c r="S896" s="35"/>
      <c r="T896" s="35"/>
      <c r="U896" s="35"/>
      <c r="V896" s="35"/>
      <c r="W896" s="35"/>
      <c r="X896" s="35"/>
      <c r="Y896" s="35"/>
      <c r="Z896" s="35"/>
      <c r="AA896" s="35"/>
    </row>
    <row r="897">
      <c r="A897" s="35"/>
      <c r="B897" s="35"/>
      <c r="C897" s="35"/>
      <c r="D897" s="35"/>
      <c r="E897" s="107"/>
      <c r="F897" s="35"/>
      <c r="G897" s="35"/>
      <c r="H897" s="35"/>
      <c r="I897" s="35"/>
      <c r="J897" s="35"/>
      <c r="K897" s="35"/>
      <c r="L897" s="35"/>
      <c r="M897" s="35"/>
      <c r="N897" s="35"/>
      <c r="O897" s="35"/>
      <c r="P897" s="35"/>
      <c r="Q897" s="35"/>
      <c r="R897" s="35"/>
      <c r="S897" s="35"/>
      <c r="T897" s="35"/>
      <c r="U897" s="35"/>
      <c r="V897" s="35"/>
      <c r="W897" s="35"/>
      <c r="X897" s="35"/>
      <c r="Y897" s="35"/>
      <c r="Z897" s="35"/>
      <c r="AA897" s="35"/>
    </row>
    <row r="898">
      <c r="A898" s="35"/>
      <c r="B898" s="35"/>
      <c r="C898" s="35"/>
      <c r="D898" s="35"/>
      <c r="E898" s="107"/>
      <c r="F898" s="35"/>
      <c r="G898" s="35"/>
      <c r="H898" s="35"/>
      <c r="I898" s="35"/>
      <c r="J898" s="35"/>
      <c r="K898" s="35"/>
      <c r="L898" s="35"/>
      <c r="M898" s="35"/>
      <c r="N898" s="35"/>
      <c r="O898" s="35"/>
      <c r="P898" s="35"/>
      <c r="Q898" s="35"/>
      <c r="R898" s="35"/>
      <c r="S898" s="35"/>
      <c r="T898" s="35"/>
      <c r="U898" s="35"/>
      <c r="V898" s="35"/>
      <c r="W898" s="35"/>
      <c r="X898" s="35"/>
      <c r="Y898" s="35"/>
      <c r="Z898" s="35"/>
      <c r="AA898" s="35"/>
    </row>
    <row r="899">
      <c r="A899" s="35"/>
      <c r="B899" s="35"/>
      <c r="C899" s="35"/>
      <c r="D899" s="35"/>
      <c r="E899" s="107"/>
      <c r="F899" s="35"/>
      <c r="G899" s="35"/>
      <c r="H899" s="35"/>
      <c r="I899" s="35"/>
      <c r="J899" s="35"/>
      <c r="K899" s="35"/>
      <c r="L899" s="35"/>
      <c r="M899" s="35"/>
      <c r="N899" s="35"/>
      <c r="O899" s="35"/>
      <c r="P899" s="35"/>
      <c r="Q899" s="35"/>
      <c r="R899" s="35"/>
      <c r="S899" s="35"/>
      <c r="T899" s="35"/>
      <c r="U899" s="35"/>
      <c r="V899" s="35"/>
      <c r="W899" s="35"/>
      <c r="X899" s="35"/>
      <c r="Y899" s="35"/>
      <c r="Z899" s="35"/>
      <c r="AA899" s="35"/>
    </row>
    <row r="900">
      <c r="A900" s="35"/>
      <c r="B900" s="35"/>
      <c r="C900" s="35"/>
      <c r="D900" s="35"/>
      <c r="E900" s="107"/>
      <c r="F900" s="35"/>
      <c r="G900" s="35"/>
      <c r="H900" s="35"/>
      <c r="I900" s="35"/>
      <c r="J900" s="35"/>
      <c r="K900" s="35"/>
      <c r="L900" s="35"/>
      <c r="M900" s="35"/>
      <c r="N900" s="35"/>
      <c r="O900" s="35"/>
      <c r="P900" s="35"/>
      <c r="Q900" s="35"/>
      <c r="R900" s="35"/>
      <c r="S900" s="35"/>
      <c r="T900" s="35"/>
      <c r="U900" s="35"/>
      <c r="V900" s="35"/>
      <c r="W900" s="35"/>
      <c r="X900" s="35"/>
      <c r="Y900" s="35"/>
      <c r="Z900" s="35"/>
      <c r="AA900" s="35"/>
    </row>
    <row r="901">
      <c r="A901" s="35"/>
      <c r="B901" s="35"/>
      <c r="C901" s="35"/>
      <c r="D901" s="35"/>
      <c r="E901" s="107"/>
      <c r="F901" s="35"/>
      <c r="G901" s="35"/>
      <c r="H901" s="35"/>
      <c r="I901" s="35"/>
      <c r="J901" s="35"/>
      <c r="K901" s="35"/>
      <c r="L901" s="35"/>
      <c r="M901" s="35"/>
      <c r="N901" s="35"/>
      <c r="O901" s="35"/>
      <c r="P901" s="35"/>
      <c r="Q901" s="35"/>
      <c r="R901" s="35"/>
      <c r="S901" s="35"/>
      <c r="T901" s="35"/>
      <c r="U901" s="35"/>
      <c r="V901" s="35"/>
      <c r="W901" s="35"/>
      <c r="X901" s="35"/>
      <c r="Y901" s="35"/>
      <c r="Z901" s="35"/>
      <c r="AA901" s="35"/>
    </row>
    <row r="902">
      <c r="A902" s="35"/>
      <c r="B902" s="35"/>
      <c r="C902" s="35"/>
      <c r="D902" s="35"/>
      <c r="E902" s="107"/>
      <c r="F902" s="35"/>
      <c r="G902" s="35"/>
      <c r="H902" s="35"/>
      <c r="I902" s="35"/>
      <c r="J902" s="35"/>
      <c r="K902" s="35"/>
      <c r="L902" s="35"/>
      <c r="M902" s="35"/>
      <c r="N902" s="35"/>
      <c r="O902" s="35"/>
      <c r="P902" s="35"/>
      <c r="Q902" s="35"/>
      <c r="R902" s="35"/>
      <c r="S902" s="35"/>
      <c r="T902" s="35"/>
      <c r="U902" s="35"/>
      <c r="V902" s="35"/>
      <c r="W902" s="35"/>
      <c r="X902" s="35"/>
      <c r="Y902" s="35"/>
      <c r="Z902" s="35"/>
      <c r="AA902" s="35"/>
    </row>
    <row r="903">
      <c r="A903" s="35"/>
      <c r="B903" s="35"/>
      <c r="C903" s="35"/>
      <c r="D903" s="35"/>
      <c r="E903" s="107"/>
      <c r="F903" s="35"/>
      <c r="G903" s="35"/>
      <c r="H903" s="35"/>
      <c r="I903" s="35"/>
      <c r="J903" s="35"/>
      <c r="K903" s="35"/>
      <c r="L903" s="35"/>
      <c r="M903" s="35"/>
      <c r="N903" s="35"/>
      <c r="O903" s="35"/>
      <c r="P903" s="35"/>
      <c r="Q903" s="35"/>
      <c r="R903" s="35"/>
      <c r="S903" s="35"/>
      <c r="T903" s="35"/>
      <c r="U903" s="35"/>
      <c r="V903" s="35"/>
      <c r="W903" s="35"/>
      <c r="X903" s="35"/>
      <c r="Y903" s="35"/>
      <c r="Z903" s="35"/>
      <c r="AA903" s="35"/>
    </row>
    <row r="904">
      <c r="A904" s="35"/>
      <c r="B904" s="35"/>
      <c r="C904" s="35"/>
      <c r="D904" s="35"/>
      <c r="E904" s="107"/>
      <c r="F904" s="35"/>
      <c r="G904" s="35"/>
      <c r="H904" s="35"/>
      <c r="I904" s="35"/>
      <c r="J904" s="35"/>
      <c r="K904" s="35"/>
      <c r="L904" s="35"/>
      <c r="M904" s="35"/>
      <c r="N904" s="35"/>
      <c r="O904" s="35"/>
      <c r="P904" s="35"/>
      <c r="Q904" s="35"/>
      <c r="R904" s="35"/>
      <c r="S904" s="35"/>
      <c r="T904" s="35"/>
      <c r="U904" s="35"/>
      <c r="V904" s="35"/>
      <c r="W904" s="35"/>
      <c r="X904" s="35"/>
      <c r="Y904" s="35"/>
      <c r="Z904" s="35"/>
      <c r="AA904" s="35"/>
    </row>
    <row r="905">
      <c r="A905" s="35"/>
      <c r="B905" s="35"/>
      <c r="C905" s="35"/>
      <c r="D905" s="35"/>
      <c r="E905" s="107"/>
      <c r="F905" s="35"/>
      <c r="G905" s="35"/>
      <c r="H905" s="35"/>
      <c r="I905" s="35"/>
      <c r="J905" s="35"/>
      <c r="K905" s="35"/>
      <c r="L905" s="35"/>
      <c r="M905" s="35"/>
      <c r="N905" s="35"/>
      <c r="O905" s="35"/>
      <c r="P905" s="35"/>
      <c r="Q905" s="35"/>
      <c r="R905" s="35"/>
      <c r="S905" s="35"/>
      <c r="T905" s="35"/>
      <c r="U905" s="35"/>
      <c r="V905" s="35"/>
      <c r="W905" s="35"/>
      <c r="X905" s="35"/>
      <c r="Y905" s="35"/>
      <c r="Z905" s="35"/>
      <c r="AA905" s="35"/>
    </row>
    <row r="906">
      <c r="A906" s="35"/>
      <c r="B906" s="35"/>
      <c r="C906" s="35"/>
      <c r="D906" s="35"/>
      <c r="E906" s="107"/>
      <c r="F906" s="35"/>
      <c r="G906" s="35"/>
      <c r="H906" s="35"/>
      <c r="I906" s="35"/>
      <c r="J906" s="35"/>
      <c r="K906" s="35"/>
      <c r="L906" s="35"/>
      <c r="M906" s="35"/>
      <c r="N906" s="35"/>
      <c r="O906" s="35"/>
      <c r="P906" s="35"/>
      <c r="Q906" s="35"/>
      <c r="R906" s="35"/>
      <c r="S906" s="35"/>
      <c r="T906" s="35"/>
      <c r="U906" s="35"/>
      <c r="V906" s="35"/>
      <c r="W906" s="35"/>
      <c r="X906" s="35"/>
      <c r="Y906" s="35"/>
      <c r="Z906" s="35"/>
      <c r="AA906" s="35"/>
    </row>
    <row r="907">
      <c r="A907" s="35"/>
      <c r="B907" s="35"/>
      <c r="C907" s="35"/>
      <c r="D907" s="35"/>
      <c r="E907" s="107"/>
      <c r="F907" s="35"/>
      <c r="G907" s="35"/>
      <c r="H907" s="35"/>
      <c r="I907" s="35"/>
      <c r="J907" s="35"/>
      <c r="K907" s="35"/>
      <c r="L907" s="35"/>
      <c r="M907" s="35"/>
      <c r="N907" s="35"/>
      <c r="O907" s="35"/>
      <c r="P907" s="35"/>
      <c r="Q907" s="35"/>
      <c r="R907" s="35"/>
      <c r="S907" s="35"/>
      <c r="T907" s="35"/>
      <c r="U907" s="35"/>
      <c r="V907" s="35"/>
      <c r="W907" s="35"/>
      <c r="X907" s="35"/>
      <c r="Y907" s="35"/>
      <c r="Z907" s="35"/>
      <c r="AA907" s="35"/>
    </row>
    <row r="908">
      <c r="A908" s="35"/>
      <c r="B908" s="35"/>
      <c r="C908" s="35"/>
      <c r="D908" s="35"/>
      <c r="E908" s="107"/>
      <c r="F908" s="35"/>
      <c r="G908" s="35"/>
      <c r="H908" s="35"/>
      <c r="I908" s="35"/>
      <c r="J908" s="35"/>
      <c r="K908" s="35"/>
      <c r="L908" s="35"/>
      <c r="M908" s="35"/>
      <c r="N908" s="35"/>
      <c r="O908" s="35"/>
      <c r="P908" s="35"/>
      <c r="Q908" s="35"/>
      <c r="R908" s="35"/>
      <c r="S908" s="35"/>
      <c r="T908" s="35"/>
      <c r="U908" s="35"/>
      <c r="V908" s="35"/>
      <c r="W908" s="35"/>
      <c r="X908" s="35"/>
      <c r="Y908" s="35"/>
      <c r="Z908" s="35"/>
      <c r="AA908" s="35"/>
    </row>
    <row r="909">
      <c r="A909" s="35"/>
      <c r="B909" s="35"/>
      <c r="C909" s="35"/>
      <c r="D909" s="35"/>
      <c r="E909" s="107"/>
      <c r="F909" s="35"/>
      <c r="G909" s="35"/>
      <c r="H909" s="35"/>
      <c r="I909" s="35"/>
      <c r="J909" s="35"/>
      <c r="K909" s="35"/>
      <c r="L909" s="35"/>
      <c r="M909" s="35"/>
      <c r="N909" s="35"/>
      <c r="O909" s="35"/>
      <c r="P909" s="35"/>
      <c r="Q909" s="35"/>
      <c r="R909" s="35"/>
      <c r="S909" s="35"/>
      <c r="T909" s="35"/>
      <c r="U909" s="35"/>
      <c r="V909" s="35"/>
      <c r="W909" s="35"/>
      <c r="X909" s="35"/>
      <c r="Y909" s="35"/>
      <c r="Z909" s="35"/>
      <c r="AA909" s="35"/>
    </row>
    <row r="910">
      <c r="A910" s="35"/>
      <c r="B910" s="35"/>
      <c r="C910" s="35"/>
      <c r="D910" s="35"/>
      <c r="E910" s="107"/>
      <c r="F910" s="35"/>
      <c r="G910" s="35"/>
      <c r="H910" s="35"/>
      <c r="I910" s="35"/>
      <c r="J910" s="35"/>
      <c r="K910" s="35"/>
      <c r="L910" s="35"/>
      <c r="M910" s="35"/>
      <c r="N910" s="35"/>
      <c r="O910" s="35"/>
      <c r="P910" s="35"/>
      <c r="Q910" s="35"/>
      <c r="R910" s="35"/>
      <c r="S910" s="35"/>
      <c r="T910" s="35"/>
      <c r="U910" s="35"/>
      <c r="V910" s="35"/>
      <c r="W910" s="35"/>
      <c r="X910" s="35"/>
      <c r="Y910" s="35"/>
      <c r="Z910" s="35"/>
      <c r="AA910" s="35"/>
    </row>
    <row r="911">
      <c r="A911" s="35"/>
      <c r="B911" s="35"/>
      <c r="C911" s="35"/>
      <c r="D911" s="35"/>
      <c r="E911" s="107"/>
      <c r="F911" s="35"/>
      <c r="G911" s="35"/>
      <c r="H911" s="35"/>
      <c r="I911" s="35"/>
      <c r="J911" s="35"/>
      <c r="K911" s="35"/>
      <c r="L911" s="35"/>
      <c r="M911" s="35"/>
      <c r="N911" s="35"/>
      <c r="O911" s="35"/>
      <c r="P911" s="35"/>
      <c r="Q911" s="35"/>
      <c r="R911" s="35"/>
      <c r="S911" s="35"/>
      <c r="T911" s="35"/>
      <c r="U911" s="35"/>
      <c r="V911" s="35"/>
      <c r="W911" s="35"/>
      <c r="X911" s="35"/>
      <c r="Y911" s="35"/>
      <c r="Z911" s="35"/>
      <c r="AA911" s="35"/>
    </row>
    <row r="912">
      <c r="A912" s="35"/>
      <c r="B912" s="35"/>
      <c r="C912" s="35"/>
      <c r="D912" s="35"/>
      <c r="E912" s="107"/>
      <c r="F912" s="35"/>
      <c r="G912" s="35"/>
      <c r="H912" s="35"/>
      <c r="I912" s="35"/>
      <c r="J912" s="35"/>
      <c r="K912" s="35"/>
      <c r="L912" s="35"/>
      <c r="M912" s="35"/>
      <c r="N912" s="35"/>
      <c r="O912" s="35"/>
      <c r="P912" s="35"/>
      <c r="Q912" s="35"/>
      <c r="R912" s="35"/>
      <c r="S912" s="35"/>
      <c r="T912" s="35"/>
      <c r="U912" s="35"/>
      <c r="V912" s="35"/>
      <c r="W912" s="35"/>
      <c r="X912" s="35"/>
      <c r="Y912" s="35"/>
      <c r="Z912" s="35"/>
      <c r="AA912" s="35"/>
    </row>
    <row r="913">
      <c r="A913" s="35"/>
      <c r="B913" s="35"/>
      <c r="C913" s="35"/>
      <c r="D913" s="35"/>
      <c r="E913" s="107"/>
      <c r="F913" s="35"/>
      <c r="G913" s="35"/>
      <c r="H913" s="35"/>
      <c r="I913" s="35"/>
      <c r="J913" s="35"/>
      <c r="K913" s="35"/>
      <c r="L913" s="35"/>
      <c r="M913" s="35"/>
      <c r="N913" s="35"/>
      <c r="O913" s="35"/>
      <c r="P913" s="35"/>
      <c r="Q913" s="35"/>
      <c r="R913" s="35"/>
      <c r="S913" s="35"/>
      <c r="T913" s="35"/>
      <c r="U913" s="35"/>
      <c r="V913" s="35"/>
      <c r="W913" s="35"/>
      <c r="X913" s="35"/>
      <c r="Y913" s="35"/>
      <c r="Z913" s="35"/>
      <c r="AA913" s="35"/>
    </row>
    <row r="914">
      <c r="A914" s="35"/>
      <c r="B914" s="35"/>
      <c r="C914" s="35"/>
      <c r="D914" s="35"/>
      <c r="E914" s="107"/>
      <c r="F914" s="35"/>
      <c r="G914" s="35"/>
      <c r="H914" s="35"/>
      <c r="I914" s="35"/>
      <c r="J914" s="35"/>
      <c r="K914" s="35"/>
      <c r="L914" s="35"/>
      <c r="M914" s="35"/>
      <c r="N914" s="35"/>
      <c r="O914" s="35"/>
      <c r="P914" s="35"/>
      <c r="Q914" s="35"/>
      <c r="R914" s="35"/>
      <c r="S914" s="35"/>
      <c r="T914" s="35"/>
      <c r="U914" s="35"/>
      <c r="V914" s="35"/>
      <c r="W914" s="35"/>
      <c r="X914" s="35"/>
      <c r="Y914" s="35"/>
      <c r="Z914" s="35"/>
      <c r="AA914" s="35"/>
    </row>
    <row r="915">
      <c r="A915" s="35"/>
      <c r="B915" s="35"/>
      <c r="C915" s="35"/>
      <c r="D915" s="35"/>
      <c r="E915" s="107"/>
      <c r="F915" s="35"/>
      <c r="G915" s="35"/>
      <c r="H915" s="35"/>
      <c r="I915" s="35"/>
      <c r="J915" s="35"/>
      <c r="K915" s="35"/>
      <c r="L915" s="35"/>
      <c r="M915" s="35"/>
      <c r="N915" s="35"/>
      <c r="O915" s="35"/>
      <c r="P915" s="35"/>
      <c r="Q915" s="35"/>
      <c r="R915" s="35"/>
      <c r="S915" s="35"/>
      <c r="T915" s="35"/>
      <c r="U915" s="35"/>
      <c r="V915" s="35"/>
      <c r="W915" s="35"/>
      <c r="X915" s="35"/>
      <c r="Y915" s="35"/>
      <c r="Z915" s="35"/>
      <c r="AA915" s="35"/>
    </row>
    <row r="916">
      <c r="A916" s="35"/>
      <c r="B916" s="35"/>
      <c r="C916" s="35"/>
      <c r="D916" s="35"/>
      <c r="E916" s="107"/>
      <c r="F916" s="35"/>
      <c r="G916" s="35"/>
      <c r="H916" s="35"/>
      <c r="I916" s="35"/>
      <c r="J916" s="35"/>
      <c r="K916" s="35"/>
      <c r="L916" s="35"/>
      <c r="M916" s="35"/>
      <c r="N916" s="35"/>
      <c r="O916" s="35"/>
      <c r="P916" s="35"/>
      <c r="Q916" s="35"/>
      <c r="R916" s="35"/>
      <c r="S916" s="35"/>
      <c r="T916" s="35"/>
      <c r="U916" s="35"/>
      <c r="V916" s="35"/>
      <c r="W916" s="35"/>
      <c r="X916" s="35"/>
      <c r="Y916" s="35"/>
      <c r="Z916" s="35"/>
      <c r="AA916" s="35"/>
    </row>
    <row r="917">
      <c r="A917" s="35"/>
      <c r="B917" s="35"/>
      <c r="C917" s="35"/>
      <c r="D917" s="35"/>
      <c r="E917" s="107"/>
      <c r="F917" s="35"/>
      <c r="G917" s="35"/>
      <c r="H917" s="35"/>
      <c r="I917" s="35"/>
      <c r="J917" s="35"/>
      <c r="K917" s="35"/>
      <c r="L917" s="35"/>
      <c r="M917" s="35"/>
      <c r="N917" s="35"/>
      <c r="O917" s="35"/>
      <c r="P917" s="35"/>
      <c r="Q917" s="35"/>
      <c r="R917" s="35"/>
      <c r="S917" s="35"/>
      <c r="T917" s="35"/>
      <c r="U917" s="35"/>
      <c r="V917" s="35"/>
      <c r="W917" s="35"/>
      <c r="X917" s="35"/>
      <c r="Y917" s="35"/>
      <c r="Z917" s="35"/>
      <c r="AA917" s="35"/>
    </row>
    <row r="918">
      <c r="A918" s="35"/>
      <c r="B918" s="35"/>
      <c r="C918" s="35"/>
      <c r="D918" s="35"/>
      <c r="E918" s="107"/>
      <c r="F918" s="35"/>
      <c r="G918" s="35"/>
      <c r="H918" s="35"/>
      <c r="I918" s="35"/>
      <c r="J918" s="35"/>
      <c r="K918" s="35"/>
      <c r="L918" s="35"/>
      <c r="M918" s="35"/>
      <c r="N918" s="35"/>
      <c r="O918" s="35"/>
      <c r="P918" s="35"/>
      <c r="Q918" s="35"/>
      <c r="R918" s="35"/>
      <c r="S918" s="35"/>
      <c r="T918" s="35"/>
      <c r="U918" s="35"/>
      <c r="V918" s="35"/>
      <c r="W918" s="35"/>
      <c r="X918" s="35"/>
      <c r="Y918" s="35"/>
      <c r="Z918" s="35"/>
      <c r="AA918" s="35"/>
    </row>
    <row r="919">
      <c r="A919" s="35"/>
      <c r="B919" s="35"/>
      <c r="C919" s="35"/>
      <c r="D919" s="35"/>
      <c r="E919" s="107"/>
      <c r="F919" s="35"/>
      <c r="G919" s="35"/>
      <c r="H919" s="35"/>
      <c r="I919" s="35"/>
      <c r="J919" s="35"/>
      <c r="K919" s="35"/>
      <c r="L919" s="35"/>
      <c r="M919" s="35"/>
      <c r="N919" s="35"/>
      <c r="O919" s="35"/>
      <c r="P919" s="35"/>
      <c r="Q919" s="35"/>
      <c r="R919" s="35"/>
      <c r="S919" s="35"/>
      <c r="T919" s="35"/>
      <c r="U919" s="35"/>
      <c r="V919" s="35"/>
      <c r="W919" s="35"/>
      <c r="X919" s="35"/>
      <c r="Y919" s="35"/>
      <c r="Z919" s="35"/>
      <c r="AA919" s="35"/>
    </row>
    <row r="920">
      <c r="A920" s="35"/>
      <c r="B920" s="35"/>
      <c r="C920" s="35"/>
      <c r="D920" s="35"/>
      <c r="E920" s="107"/>
      <c r="F920" s="35"/>
      <c r="G920" s="35"/>
      <c r="H920" s="35"/>
      <c r="I920" s="35"/>
      <c r="J920" s="35"/>
      <c r="K920" s="35"/>
      <c r="L920" s="35"/>
      <c r="M920" s="35"/>
      <c r="N920" s="35"/>
      <c r="O920" s="35"/>
      <c r="P920" s="35"/>
      <c r="Q920" s="35"/>
      <c r="R920" s="35"/>
      <c r="S920" s="35"/>
      <c r="T920" s="35"/>
      <c r="U920" s="35"/>
      <c r="V920" s="35"/>
      <c r="W920" s="35"/>
      <c r="X920" s="35"/>
      <c r="Y920" s="35"/>
      <c r="Z920" s="35"/>
      <c r="AA920" s="35"/>
    </row>
    <row r="921">
      <c r="A921" s="35"/>
      <c r="B921" s="35"/>
      <c r="C921" s="35"/>
      <c r="D921" s="35"/>
      <c r="E921" s="107"/>
      <c r="F921" s="35"/>
      <c r="G921" s="35"/>
      <c r="H921" s="35"/>
      <c r="I921" s="35"/>
      <c r="J921" s="35"/>
      <c r="K921" s="35"/>
      <c r="L921" s="35"/>
      <c r="M921" s="35"/>
      <c r="N921" s="35"/>
      <c r="O921" s="35"/>
      <c r="P921" s="35"/>
      <c r="Q921" s="35"/>
      <c r="R921" s="35"/>
      <c r="S921" s="35"/>
      <c r="T921" s="35"/>
      <c r="U921" s="35"/>
      <c r="V921" s="35"/>
      <c r="W921" s="35"/>
      <c r="X921" s="35"/>
      <c r="Y921" s="35"/>
      <c r="Z921" s="35"/>
      <c r="AA921" s="35"/>
    </row>
    <row r="922">
      <c r="A922" s="35"/>
      <c r="B922" s="35"/>
      <c r="C922" s="35"/>
      <c r="D922" s="35"/>
      <c r="E922" s="107"/>
      <c r="F922" s="35"/>
      <c r="G922" s="35"/>
      <c r="H922" s="35"/>
      <c r="I922" s="35"/>
      <c r="J922" s="35"/>
      <c r="K922" s="35"/>
      <c r="L922" s="35"/>
      <c r="M922" s="35"/>
      <c r="N922" s="35"/>
      <c r="O922" s="35"/>
      <c r="P922" s="35"/>
      <c r="Q922" s="35"/>
      <c r="R922" s="35"/>
      <c r="S922" s="35"/>
      <c r="T922" s="35"/>
      <c r="U922" s="35"/>
      <c r="V922" s="35"/>
      <c r="W922" s="35"/>
      <c r="X922" s="35"/>
      <c r="Y922" s="35"/>
      <c r="Z922" s="35"/>
      <c r="AA922" s="35"/>
    </row>
    <row r="923">
      <c r="A923" s="35"/>
      <c r="B923" s="35"/>
      <c r="C923" s="35"/>
      <c r="D923" s="35"/>
      <c r="E923" s="107"/>
      <c r="F923" s="35"/>
      <c r="G923" s="35"/>
      <c r="H923" s="35"/>
      <c r="I923" s="35"/>
      <c r="J923" s="35"/>
      <c r="K923" s="35"/>
      <c r="L923" s="35"/>
      <c r="M923" s="35"/>
      <c r="N923" s="35"/>
      <c r="O923" s="35"/>
      <c r="P923" s="35"/>
      <c r="Q923" s="35"/>
      <c r="R923" s="35"/>
      <c r="S923" s="35"/>
      <c r="T923" s="35"/>
      <c r="U923" s="35"/>
      <c r="V923" s="35"/>
      <c r="W923" s="35"/>
      <c r="X923" s="35"/>
      <c r="Y923" s="35"/>
      <c r="Z923" s="35"/>
      <c r="AA923" s="35"/>
    </row>
    <row r="924">
      <c r="A924" s="35"/>
      <c r="B924" s="35"/>
      <c r="C924" s="35"/>
      <c r="D924" s="35"/>
      <c r="E924" s="107"/>
      <c r="F924" s="35"/>
      <c r="G924" s="35"/>
      <c r="H924" s="35"/>
      <c r="I924" s="35"/>
      <c r="J924" s="35"/>
      <c r="K924" s="35"/>
      <c r="L924" s="35"/>
      <c r="M924" s="35"/>
      <c r="N924" s="35"/>
      <c r="O924" s="35"/>
      <c r="P924" s="35"/>
      <c r="Q924" s="35"/>
      <c r="R924" s="35"/>
      <c r="S924" s="35"/>
      <c r="T924" s="35"/>
      <c r="U924" s="35"/>
      <c r="V924" s="35"/>
      <c r="W924" s="35"/>
      <c r="X924" s="35"/>
      <c r="Y924" s="35"/>
      <c r="Z924" s="35"/>
      <c r="AA924" s="35"/>
    </row>
    <row r="925">
      <c r="A925" s="35"/>
      <c r="B925" s="35"/>
      <c r="C925" s="35"/>
      <c r="D925" s="35"/>
      <c r="E925" s="107"/>
      <c r="F925" s="35"/>
      <c r="G925" s="35"/>
      <c r="H925" s="35"/>
      <c r="I925" s="35"/>
      <c r="J925" s="35"/>
      <c r="K925" s="35"/>
      <c r="L925" s="35"/>
      <c r="M925" s="35"/>
      <c r="N925" s="35"/>
      <c r="O925" s="35"/>
      <c r="P925" s="35"/>
      <c r="Q925" s="35"/>
      <c r="R925" s="35"/>
      <c r="S925" s="35"/>
      <c r="T925" s="35"/>
      <c r="U925" s="35"/>
      <c r="V925" s="35"/>
      <c r="W925" s="35"/>
      <c r="X925" s="35"/>
      <c r="Y925" s="35"/>
      <c r="Z925" s="35"/>
      <c r="AA925" s="35"/>
    </row>
    <row r="926">
      <c r="A926" s="35"/>
      <c r="B926" s="35"/>
      <c r="C926" s="35"/>
      <c r="D926" s="35"/>
      <c r="E926" s="107"/>
      <c r="F926" s="35"/>
      <c r="G926" s="35"/>
      <c r="H926" s="35"/>
      <c r="I926" s="35"/>
      <c r="J926" s="35"/>
      <c r="K926" s="35"/>
      <c r="L926" s="35"/>
      <c r="M926" s="35"/>
      <c r="N926" s="35"/>
      <c r="O926" s="35"/>
      <c r="P926" s="35"/>
      <c r="Q926" s="35"/>
      <c r="R926" s="35"/>
      <c r="S926" s="35"/>
      <c r="T926" s="35"/>
      <c r="U926" s="35"/>
      <c r="V926" s="35"/>
      <c r="W926" s="35"/>
      <c r="X926" s="35"/>
      <c r="Y926" s="35"/>
      <c r="Z926" s="35"/>
      <c r="AA926" s="35"/>
    </row>
    <row r="927">
      <c r="A927" s="35"/>
      <c r="B927" s="35"/>
      <c r="C927" s="35"/>
      <c r="D927" s="35"/>
      <c r="E927" s="107"/>
      <c r="F927" s="35"/>
      <c r="G927" s="35"/>
      <c r="H927" s="35"/>
      <c r="I927" s="35"/>
      <c r="J927" s="35"/>
      <c r="K927" s="35"/>
      <c r="L927" s="35"/>
      <c r="M927" s="35"/>
      <c r="N927" s="35"/>
      <c r="O927" s="35"/>
      <c r="P927" s="35"/>
      <c r="Q927" s="35"/>
      <c r="R927" s="35"/>
      <c r="S927" s="35"/>
      <c r="T927" s="35"/>
      <c r="U927" s="35"/>
      <c r="V927" s="35"/>
      <c r="W927" s="35"/>
      <c r="X927" s="35"/>
      <c r="Y927" s="35"/>
      <c r="Z927" s="35"/>
      <c r="AA927" s="35"/>
    </row>
    <row r="928">
      <c r="A928" s="35"/>
      <c r="B928" s="35"/>
      <c r="C928" s="35"/>
      <c r="D928" s="35"/>
      <c r="E928" s="107"/>
      <c r="F928" s="35"/>
      <c r="G928" s="35"/>
      <c r="H928" s="35"/>
      <c r="I928" s="35"/>
      <c r="J928" s="35"/>
      <c r="K928" s="35"/>
      <c r="L928" s="35"/>
      <c r="M928" s="35"/>
      <c r="N928" s="35"/>
      <c r="O928" s="35"/>
      <c r="P928" s="35"/>
      <c r="Q928" s="35"/>
      <c r="R928" s="35"/>
      <c r="S928" s="35"/>
      <c r="T928" s="35"/>
      <c r="U928" s="35"/>
      <c r="V928" s="35"/>
      <c r="W928" s="35"/>
      <c r="X928" s="35"/>
      <c r="Y928" s="35"/>
      <c r="Z928" s="35"/>
      <c r="AA928" s="35"/>
    </row>
    <row r="929">
      <c r="A929" s="35"/>
      <c r="B929" s="35"/>
      <c r="C929" s="35"/>
      <c r="D929" s="35"/>
      <c r="E929" s="107"/>
      <c r="F929" s="35"/>
      <c r="G929" s="35"/>
      <c r="H929" s="35"/>
      <c r="I929" s="35"/>
      <c r="J929" s="35"/>
      <c r="K929" s="35"/>
      <c r="L929" s="35"/>
      <c r="M929" s="35"/>
      <c r="N929" s="35"/>
      <c r="O929" s="35"/>
      <c r="P929" s="35"/>
      <c r="Q929" s="35"/>
      <c r="R929" s="35"/>
      <c r="S929" s="35"/>
      <c r="T929" s="35"/>
      <c r="U929" s="35"/>
      <c r="V929" s="35"/>
      <c r="W929" s="35"/>
      <c r="X929" s="35"/>
      <c r="Y929" s="35"/>
      <c r="Z929" s="35"/>
      <c r="AA929" s="35"/>
    </row>
    <row r="930">
      <c r="A930" s="35"/>
      <c r="B930" s="35"/>
      <c r="C930" s="35"/>
      <c r="D930" s="35"/>
      <c r="E930" s="107"/>
      <c r="F930" s="35"/>
      <c r="G930" s="35"/>
      <c r="H930" s="35"/>
      <c r="I930" s="35"/>
      <c r="J930" s="35"/>
      <c r="K930" s="35"/>
      <c r="L930" s="35"/>
      <c r="M930" s="35"/>
      <c r="N930" s="35"/>
      <c r="O930" s="35"/>
      <c r="P930" s="35"/>
      <c r="Q930" s="35"/>
      <c r="R930" s="35"/>
      <c r="S930" s="35"/>
      <c r="T930" s="35"/>
      <c r="U930" s="35"/>
      <c r="V930" s="35"/>
      <c r="W930" s="35"/>
      <c r="X930" s="35"/>
      <c r="Y930" s="35"/>
      <c r="Z930" s="35"/>
      <c r="AA930" s="35"/>
    </row>
    <row r="931">
      <c r="A931" s="35"/>
      <c r="B931" s="35"/>
      <c r="C931" s="35"/>
      <c r="D931" s="35"/>
      <c r="E931" s="107"/>
      <c r="F931" s="35"/>
      <c r="G931" s="35"/>
      <c r="H931" s="35"/>
      <c r="I931" s="35"/>
      <c r="J931" s="35"/>
      <c r="K931" s="35"/>
      <c r="L931" s="35"/>
      <c r="M931" s="35"/>
      <c r="N931" s="35"/>
      <c r="O931" s="35"/>
      <c r="P931" s="35"/>
      <c r="Q931" s="35"/>
      <c r="R931" s="35"/>
      <c r="S931" s="35"/>
      <c r="T931" s="35"/>
      <c r="U931" s="35"/>
      <c r="V931" s="35"/>
      <c r="W931" s="35"/>
      <c r="X931" s="35"/>
      <c r="Y931" s="35"/>
      <c r="Z931" s="35"/>
      <c r="AA931" s="35"/>
    </row>
    <row r="932">
      <c r="A932" s="35"/>
      <c r="B932" s="35"/>
      <c r="C932" s="35"/>
      <c r="D932" s="35"/>
      <c r="E932" s="107"/>
      <c r="F932" s="35"/>
      <c r="G932" s="35"/>
      <c r="H932" s="35"/>
      <c r="I932" s="35"/>
      <c r="J932" s="35"/>
      <c r="K932" s="35"/>
      <c r="L932" s="35"/>
      <c r="M932" s="35"/>
      <c r="N932" s="35"/>
      <c r="O932" s="35"/>
      <c r="P932" s="35"/>
      <c r="Q932" s="35"/>
      <c r="R932" s="35"/>
      <c r="S932" s="35"/>
      <c r="T932" s="35"/>
      <c r="U932" s="35"/>
      <c r="V932" s="35"/>
      <c r="W932" s="35"/>
      <c r="X932" s="35"/>
      <c r="Y932" s="35"/>
      <c r="Z932" s="35"/>
      <c r="AA932" s="35"/>
    </row>
    <row r="933">
      <c r="A933" s="35"/>
      <c r="B933" s="35"/>
      <c r="C933" s="35"/>
      <c r="D933" s="35"/>
      <c r="E933" s="107"/>
      <c r="F933" s="35"/>
      <c r="G933" s="35"/>
      <c r="H933" s="35"/>
      <c r="I933" s="35"/>
      <c r="J933" s="35"/>
      <c r="K933" s="35"/>
      <c r="L933" s="35"/>
      <c r="M933" s="35"/>
      <c r="N933" s="35"/>
      <c r="O933" s="35"/>
      <c r="P933" s="35"/>
      <c r="Q933" s="35"/>
      <c r="R933" s="35"/>
      <c r="S933" s="35"/>
      <c r="T933" s="35"/>
      <c r="U933" s="35"/>
      <c r="V933" s="35"/>
      <c r="W933" s="35"/>
      <c r="X933" s="35"/>
      <c r="Y933" s="35"/>
      <c r="Z933" s="35"/>
      <c r="AA933" s="35"/>
    </row>
    <row r="934">
      <c r="A934" s="35"/>
      <c r="B934" s="35"/>
      <c r="C934" s="35"/>
      <c r="D934" s="35"/>
      <c r="E934" s="107"/>
      <c r="F934" s="35"/>
      <c r="G934" s="35"/>
      <c r="H934" s="35"/>
      <c r="I934" s="35"/>
      <c r="J934" s="35"/>
      <c r="K934" s="35"/>
      <c r="L934" s="35"/>
      <c r="M934" s="35"/>
      <c r="N934" s="35"/>
      <c r="O934" s="35"/>
      <c r="P934" s="35"/>
      <c r="Q934" s="35"/>
      <c r="R934" s="35"/>
      <c r="S934" s="35"/>
      <c r="T934" s="35"/>
      <c r="U934" s="35"/>
      <c r="V934" s="35"/>
      <c r="W934" s="35"/>
      <c r="X934" s="35"/>
      <c r="Y934" s="35"/>
      <c r="Z934" s="35"/>
      <c r="AA934" s="35"/>
    </row>
    <row r="935">
      <c r="A935" s="35"/>
      <c r="B935" s="35"/>
      <c r="C935" s="35"/>
      <c r="D935" s="35"/>
      <c r="E935" s="107"/>
      <c r="F935" s="35"/>
      <c r="G935" s="35"/>
      <c r="H935" s="35"/>
      <c r="I935" s="35"/>
      <c r="J935" s="35"/>
      <c r="K935" s="35"/>
      <c r="L935" s="35"/>
      <c r="M935" s="35"/>
      <c r="N935" s="35"/>
      <c r="O935" s="35"/>
      <c r="P935" s="35"/>
      <c r="Q935" s="35"/>
      <c r="R935" s="35"/>
      <c r="S935" s="35"/>
      <c r="T935" s="35"/>
      <c r="U935" s="35"/>
      <c r="V935" s="35"/>
      <c r="W935" s="35"/>
      <c r="X935" s="35"/>
      <c r="Y935" s="35"/>
      <c r="Z935" s="35"/>
      <c r="AA935" s="35"/>
    </row>
    <row r="936">
      <c r="A936" s="35"/>
      <c r="B936" s="35"/>
      <c r="C936" s="35"/>
      <c r="D936" s="35"/>
      <c r="E936" s="107"/>
      <c r="F936" s="35"/>
      <c r="G936" s="35"/>
      <c r="H936" s="35"/>
      <c r="I936" s="35"/>
      <c r="J936" s="35"/>
      <c r="K936" s="35"/>
      <c r="L936" s="35"/>
      <c r="M936" s="35"/>
      <c r="N936" s="35"/>
      <c r="O936" s="35"/>
      <c r="P936" s="35"/>
      <c r="Q936" s="35"/>
      <c r="R936" s="35"/>
      <c r="S936" s="35"/>
      <c r="T936" s="35"/>
      <c r="U936" s="35"/>
      <c r="V936" s="35"/>
      <c r="W936" s="35"/>
      <c r="X936" s="35"/>
      <c r="Y936" s="35"/>
      <c r="Z936" s="35"/>
      <c r="AA936" s="35"/>
    </row>
    <row r="937">
      <c r="A937" s="35"/>
      <c r="B937" s="35"/>
      <c r="C937" s="35"/>
      <c r="D937" s="35"/>
      <c r="E937" s="107"/>
      <c r="F937" s="35"/>
      <c r="G937" s="35"/>
      <c r="H937" s="35"/>
      <c r="I937" s="35"/>
      <c r="J937" s="35"/>
      <c r="K937" s="35"/>
      <c r="L937" s="35"/>
      <c r="M937" s="35"/>
      <c r="N937" s="35"/>
      <c r="O937" s="35"/>
      <c r="P937" s="35"/>
      <c r="Q937" s="35"/>
      <c r="R937" s="35"/>
      <c r="S937" s="35"/>
      <c r="T937" s="35"/>
      <c r="U937" s="35"/>
      <c r="V937" s="35"/>
      <c r="W937" s="35"/>
      <c r="X937" s="35"/>
      <c r="Y937" s="35"/>
      <c r="Z937" s="35"/>
      <c r="AA937" s="35"/>
    </row>
    <row r="938">
      <c r="A938" s="35"/>
      <c r="B938" s="35"/>
      <c r="C938" s="35"/>
      <c r="D938" s="35"/>
      <c r="E938" s="107"/>
      <c r="F938" s="35"/>
      <c r="G938" s="35"/>
      <c r="H938" s="35"/>
      <c r="I938" s="35"/>
      <c r="J938" s="35"/>
      <c r="K938" s="35"/>
      <c r="L938" s="35"/>
      <c r="M938" s="35"/>
      <c r="N938" s="35"/>
      <c r="O938" s="35"/>
      <c r="P938" s="35"/>
      <c r="Q938" s="35"/>
      <c r="R938" s="35"/>
      <c r="S938" s="35"/>
      <c r="T938" s="35"/>
      <c r="U938" s="35"/>
      <c r="V938" s="35"/>
      <c r="W938" s="35"/>
      <c r="X938" s="35"/>
      <c r="Y938" s="35"/>
      <c r="Z938" s="35"/>
      <c r="AA938" s="35"/>
    </row>
    <row r="939">
      <c r="A939" s="35"/>
      <c r="B939" s="35"/>
      <c r="C939" s="35"/>
      <c r="D939" s="35"/>
      <c r="E939" s="107"/>
      <c r="F939" s="35"/>
      <c r="G939" s="35"/>
      <c r="H939" s="35"/>
      <c r="I939" s="35"/>
      <c r="J939" s="35"/>
      <c r="K939" s="35"/>
      <c r="L939" s="35"/>
      <c r="M939" s="35"/>
      <c r="N939" s="35"/>
      <c r="O939" s="35"/>
      <c r="P939" s="35"/>
      <c r="Q939" s="35"/>
      <c r="R939" s="35"/>
      <c r="S939" s="35"/>
      <c r="T939" s="35"/>
      <c r="U939" s="35"/>
      <c r="V939" s="35"/>
      <c r="W939" s="35"/>
      <c r="X939" s="35"/>
      <c r="Y939" s="35"/>
      <c r="Z939" s="35"/>
      <c r="AA939" s="35"/>
    </row>
    <row r="940">
      <c r="A940" s="35"/>
      <c r="B940" s="35"/>
      <c r="C940" s="35"/>
      <c r="D940" s="35"/>
      <c r="E940" s="107"/>
      <c r="F940" s="35"/>
      <c r="G940" s="35"/>
      <c r="H940" s="35"/>
      <c r="I940" s="35"/>
      <c r="J940" s="35"/>
      <c r="K940" s="35"/>
      <c r="L940" s="35"/>
      <c r="M940" s="35"/>
      <c r="N940" s="35"/>
      <c r="O940" s="35"/>
      <c r="P940" s="35"/>
      <c r="Q940" s="35"/>
      <c r="R940" s="35"/>
      <c r="S940" s="35"/>
      <c r="T940" s="35"/>
      <c r="U940" s="35"/>
      <c r="V940" s="35"/>
      <c r="W940" s="35"/>
      <c r="X940" s="35"/>
      <c r="Y940" s="35"/>
      <c r="Z940" s="35"/>
      <c r="AA940" s="35"/>
    </row>
    <row r="941">
      <c r="A941" s="35"/>
      <c r="B941" s="35"/>
      <c r="C941" s="35"/>
      <c r="D941" s="35"/>
      <c r="E941" s="107"/>
      <c r="F941" s="35"/>
      <c r="G941" s="35"/>
      <c r="H941" s="35"/>
      <c r="I941" s="35"/>
      <c r="J941" s="35"/>
      <c r="K941" s="35"/>
      <c r="L941" s="35"/>
      <c r="M941" s="35"/>
      <c r="N941" s="35"/>
      <c r="O941" s="35"/>
      <c r="P941" s="35"/>
      <c r="Q941" s="35"/>
      <c r="R941" s="35"/>
      <c r="S941" s="35"/>
      <c r="T941" s="35"/>
      <c r="U941" s="35"/>
      <c r="V941" s="35"/>
      <c r="W941" s="35"/>
      <c r="X941" s="35"/>
      <c r="Y941" s="35"/>
      <c r="Z941" s="35"/>
      <c r="AA941" s="35"/>
    </row>
    <row r="942">
      <c r="A942" s="35"/>
      <c r="B942" s="35"/>
      <c r="C942" s="35"/>
      <c r="D942" s="35"/>
      <c r="E942" s="107"/>
      <c r="F942" s="35"/>
      <c r="G942" s="35"/>
      <c r="H942" s="35"/>
      <c r="I942" s="35"/>
      <c r="J942" s="35"/>
      <c r="K942" s="35"/>
      <c r="L942" s="35"/>
      <c r="M942" s="35"/>
      <c r="N942" s="35"/>
      <c r="O942" s="35"/>
      <c r="P942" s="35"/>
      <c r="Q942" s="35"/>
      <c r="R942" s="35"/>
      <c r="S942" s="35"/>
      <c r="T942" s="35"/>
      <c r="U942" s="35"/>
      <c r="V942" s="35"/>
      <c r="W942" s="35"/>
      <c r="X942" s="35"/>
      <c r="Y942" s="35"/>
      <c r="Z942" s="35"/>
      <c r="AA942" s="35"/>
    </row>
    <row r="943">
      <c r="A943" s="35"/>
      <c r="B943" s="35"/>
      <c r="C943" s="35"/>
      <c r="D943" s="35"/>
      <c r="E943" s="107"/>
      <c r="F943" s="35"/>
      <c r="G943" s="35"/>
      <c r="H943" s="35"/>
      <c r="I943" s="35"/>
      <c r="J943" s="35"/>
      <c r="K943" s="35"/>
      <c r="L943" s="35"/>
      <c r="M943" s="35"/>
      <c r="N943" s="35"/>
      <c r="O943" s="35"/>
      <c r="P943" s="35"/>
      <c r="Q943" s="35"/>
      <c r="R943" s="35"/>
      <c r="S943" s="35"/>
      <c r="T943" s="35"/>
      <c r="U943" s="35"/>
      <c r="V943" s="35"/>
      <c r="W943" s="35"/>
      <c r="X943" s="35"/>
      <c r="Y943" s="35"/>
      <c r="Z943" s="35"/>
      <c r="AA943" s="35"/>
    </row>
    <row r="944">
      <c r="A944" s="35"/>
      <c r="B944" s="35"/>
      <c r="C944" s="35"/>
      <c r="D944" s="35"/>
      <c r="E944" s="107"/>
      <c r="F944" s="35"/>
      <c r="G944" s="35"/>
      <c r="H944" s="35"/>
      <c r="I944" s="35"/>
      <c r="J944" s="35"/>
      <c r="K944" s="35"/>
      <c r="L944" s="35"/>
      <c r="M944" s="35"/>
      <c r="N944" s="35"/>
      <c r="O944" s="35"/>
      <c r="P944" s="35"/>
      <c r="Q944" s="35"/>
      <c r="R944" s="35"/>
      <c r="S944" s="35"/>
      <c r="T944" s="35"/>
      <c r="U944" s="35"/>
      <c r="V944" s="35"/>
      <c r="W944" s="35"/>
      <c r="X944" s="35"/>
      <c r="Y944" s="35"/>
      <c r="Z944" s="35"/>
      <c r="AA944" s="35"/>
    </row>
    <row r="945">
      <c r="A945" s="35"/>
      <c r="B945" s="35"/>
      <c r="C945" s="35"/>
      <c r="D945" s="35"/>
      <c r="E945" s="107"/>
      <c r="F945" s="35"/>
      <c r="G945" s="35"/>
      <c r="H945" s="35"/>
      <c r="I945" s="35"/>
      <c r="J945" s="35"/>
      <c r="K945" s="35"/>
      <c r="L945" s="35"/>
      <c r="M945" s="35"/>
      <c r="N945" s="35"/>
      <c r="O945" s="35"/>
      <c r="P945" s="35"/>
      <c r="Q945" s="35"/>
      <c r="R945" s="35"/>
      <c r="S945" s="35"/>
      <c r="T945" s="35"/>
      <c r="U945" s="35"/>
      <c r="V945" s="35"/>
      <c r="W945" s="35"/>
      <c r="X945" s="35"/>
      <c r="Y945" s="35"/>
      <c r="Z945" s="35"/>
      <c r="AA945" s="35"/>
    </row>
    <row r="946">
      <c r="A946" s="35"/>
      <c r="B946" s="35"/>
      <c r="C946" s="35"/>
      <c r="D946" s="35"/>
      <c r="E946" s="107"/>
      <c r="F946" s="35"/>
      <c r="G946" s="35"/>
      <c r="H946" s="35"/>
      <c r="I946" s="35"/>
      <c r="J946" s="35"/>
      <c r="K946" s="35"/>
      <c r="L946" s="35"/>
      <c r="M946" s="35"/>
      <c r="N946" s="35"/>
      <c r="O946" s="35"/>
      <c r="P946" s="35"/>
      <c r="Q946" s="35"/>
      <c r="R946" s="35"/>
      <c r="S946" s="35"/>
      <c r="T946" s="35"/>
      <c r="U946" s="35"/>
      <c r="V946" s="35"/>
      <c r="W946" s="35"/>
      <c r="X946" s="35"/>
      <c r="Y946" s="35"/>
      <c r="Z946" s="35"/>
      <c r="AA946" s="35"/>
    </row>
    <row r="947">
      <c r="A947" s="35"/>
      <c r="B947" s="35"/>
      <c r="C947" s="35"/>
      <c r="D947" s="35"/>
      <c r="E947" s="107"/>
      <c r="F947" s="35"/>
      <c r="G947" s="35"/>
      <c r="H947" s="35"/>
      <c r="I947" s="35"/>
      <c r="J947" s="35"/>
      <c r="K947" s="35"/>
      <c r="L947" s="35"/>
      <c r="M947" s="35"/>
      <c r="N947" s="35"/>
      <c r="O947" s="35"/>
      <c r="P947" s="35"/>
      <c r="Q947" s="35"/>
      <c r="R947" s="35"/>
      <c r="S947" s="35"/>
      <c r="T947" s="35"/>
      <c r="U947" s="35"/>
      <c r="V947" s="35"/>
      <c r="W947" s="35"/>
      <c r="X947" s="35"/>
      <c r="Y947" s="35"/>
      <c r="Z947" s="35"/>
      <c r="AA947" s="35"/>
    </row>
    <row r="948">
      <c r="A948" s="35"/>
      <c r="B948" s="35"/>
      <c r="C948" s="35"/>
      <c r="D948" s="35"/>
      <c r="E948" s="107"/>
      <c r="F948" s="35"/>
      <c r="G948" s="35"/>
      <c r="H948" s="35"/>
      <c r="I948" s="35"/>
      <c r="J948" s="35"/>
      <c r="K948" s="35"/>
      <c r="L948" s="35"/>
      <c r="M948" s="35"/>
      <c r="N948" s="35"/>
      <c r="O948" s="35"/>
      <c r="P948" s="35"/>
      <c r="Q948" s="35"/>
      <c r="R948" s="35"/>
      <c r="S948" s="35"/>
      <c r="T948" s="35"/>
      <c r="U948" s="35"/>
      <c r="V948" s="35"/>
      <c r="W948" s="35"/>
      <c r="X948" s="35"/>
      <c r="Y948" s="35"/>
      <c r="Z948" s="35"/>
      <c r="AA948" s="35"/>
    </row>
    <row r="949">
      <c r="A949" s="35"/>
      <c r="B949" s="35"/>
      <c r="C949" s="35"/>
      <c r="D949" s="35"/>
      <c r="E949" s="107"/>
      <c r="F949" s="35"/>
      <c r="G949" s="35"/>
      <c r="H949" s="35"/>
      <c r="I949" s="35"/>
      <c r="J949" s="35"/>
      <c r="K949" s="35"/>
      <c r="L949" s="35"/>
      <c r="M949" s="35"/>
      <c r="N949" s="35"/>
      <c r="O949" s="35"/>
      <c r="P949" s="35"/>
      <c r="Q949" s="35"/>
      <c r="R949" s="35"/>
      <c r="S949" s="35"/>
      <c r="T949" s="35"/>
      <c r="U949" s="35"/>
      <c r="V949" s="35"/>
      <c r="W949" s="35"/>
      <c r="X949" s="35"/>
      <c r="Y949" s="35"/>
      <c r="Z949" s="35"/>
      <c r="AA949" s="35"/>
    </row>
    <row r="950">
      <c r="A950" s="35"/>
      <c r="B950" s="35"/>
      <c r="C950" s="35"/>
      <c r="D950" s="35"/>
      <c r="E950" s="107"/>
      <c r="F950" s="35"/>
      <c r="G950" s="35"/>
      <c r="H950" s="35"/>
      <c r="I950" s="35"/>
      <c r="J950" s="35"/>
      <c r="K950" s="35"/>
      <c r="L950" s="35"/>
      <c r="M950" s="35"/>
      <c r="N950" s="35"/>
      <c r="O950" s="35"/>
      <c r="P950" s="35"/>
      <c r="Q950" s="35"/>
      <c r="R950" s="35"/>
      <c r="S950" s="35"/>
      <c r="T950" s="35"/>
      <c r="U950" s="35"/>
      <c r="V950" s="35"/>
      <c r="W950" s="35"/>
      <c r="X950" s="35"/>
      <c r="Y950" s="35"/>
      <c r="Z950" s="35"/>
      <c r="AA950" s="35"/>
    </row>
    <row r="951">
      <c r="A951" s="35"/>
      <c r="B951" s="35"/>
      <c r="C951" s="35"/>
      <c r="D951" s="35"/>
      <c r="E951" s="107"/>
      <c r="F951" s="35"/>
      <c r="G951" s="35"/>
      <c r="H951" s="35"/>
      <c r="I951" s="35"/>
      <c r="J951" s="35"/>
      <c r="K951" s="35"/>
      <c r="L951" s="35"/>
      <c r="M951" s="35"/>
      <c r="N951" s="35"/>
      <c r="O951" s="35"/>
      <c r="P951" s="35"/>
      <c r="Q951" s="35"/>
      <c r="R951" s="35"/>
      <c r="S951" s="35"/>
      <c r="T951" s="35"/>
      <c r="U951" s="35"/>
      <c r="V951" s="35"/>
      <c r="W951" s="35"/>
      <c r="X951" s="35"/>
      <c r="Y951" s="35"/>
      <c r="Z951" s="35"/>
      <c r="AA951" s="35"/>
    </row>
    <row r="952">
      <c r="A952" s="35"/>
      <c r="B952" s="35"/>
      <c r="C952" s="35"/>
      <c r="D952" s="35"/>
      <c r="E952" s="107"/>
      <c r="F952" s="35"/>
      <c r="G952" s="35"/>
      <c r="H952" s="35"/>
      <c r="I952" s="35"/>
      <c r="J952" s="35"/>
      <c r="K952" s="35"/>
      <c r="L952" s="35"/>
      <c r="M952" s="35"/>
      <c r="N952" s="35"/>
      <c r="O952" s="35"/>
      <c r="P952" s="35"/>
      <c r="Q952" s="35"/>
      <c r="R952" s="35"/>
      <c r="S952" s="35"/>
      <c r="T952" s="35"/>
      <c r="U952" s="35"/>
      <c r="V952" s="35"/>
      <c r="W952" s="35"/>
      <c r="X952" s="35"/>
      <c r="Y952" s="35"/>
      <c r="Z952" s="35"/>
      <c r="AA952" s="35"/>
    </row>
    <row r="953">
      <c r="A953" s="35"/>
      <c r="B953" s="35"/>
      <c r="C953" s="35"/>
      <c r="D953" s="35"/>
      <c r="E953" s="107"/>
      <c r="F953" s="35"/>
      <c r="G953" s="35"/>
      <c r="H953" s="35"/>
      <c r="I953" s="35"/>
      <c r="J953" s="35"/>
      <c r="K953" s="35"/>
      <c r="L953" s="35"/>
      <c r="M953" s="35"/>
      <c r="N953" s="35"/>
      <c r="O953" s="35"/>
      <c r="P953" s="35"/>
      <c r="Q953" s="35"/>
      <c r="R953" s="35"/>
      <c r="S953" s="35"/>
      <c r="T953" s="35"/>
      <c r="U953" s="35"/>
      <c r="V953" s="35"/>
      <c r="W953" s="35"/>
      <c r="X953" s="35"/>
      <c r="Y953" s="35"/>
      <c r="Z953" s="35"/>
      <c r="AA953" s="35"/>
    </row>
    <row r="954">
      <c r="A954" s="35"/>
      <c r="B954" s="35"/>
      <c r="C954" s="35"/>
      <c r="D954" s="35"/>
      <c r="E954" s="107"/>
      <c r="F954" s="35"/>
      <c r="G954" s="35"/>
      <c r="H954" s="35"/>
      <c r="I954" s="35"/>
      <c r="J954" s="35"/>
      <c r="K954" s="35"/>
      <c r="L954" s="35"/>
      <c r="M954" s="35"/>
      <c r="N954" s="35"/>
      <c r="O954" s="35"/>
      <c r="P954" s="35"/>
      <c r="Q954" s="35"/>
      <c r="R954" s="35"/>
      <c r="S954" s="35"/>
      <c r="T954" s="35"/>
      <c r="U954" s="35"/>
      <c r="V954" s="35"/>
      <c r="W954" s="35"/>
      <c r="X954" s="35"/>
      <c r="Y954" s="35"/>
      <c r="Z954" s="35"/>
      <c r="AA954" s="35"/>
    </row>
    <row r="955">
      <c r="A955" s="35"/>
      <c r="B955" s="35"/>
      <c r="C955" s="35"/>
      <c r="D955" s="35"/>
      <c r="E955" s="107"/>
      <c r="F955" s="35"/>
      <c r="G955" s="35"/>
      <c r="H955" s="35"/>
      <c r="I955" s="35"/>
      <c r="J955" s="35"/>
      <c r="K955" s="35"/>
      <c r="L955" s="35"/>
      <c r="M955" s="35"/>
      <c r="N955" s="35"/>
      <c r="O955" s="35"/>
      <c r="P955" s="35"/>
      <c r="Q955" s="35"/>
      <c r="R955" s="35"/>
      <c r="S955" s="35"/>
      <c r="T955" s="35"/>
      <c r="U955" s="35"/>
      <c r="V955" s="35"/>
      <c r="W955" s="35"/>
      <c r="X955" s="35"/>
      <c r="Y955" s="35"/>
      <c r="Z955" s="35"/>
      <c r="AA955" s="35"/>
    </row>
    <row r="956">
      <c r="A956" s="35"/>
      <c r="B956" s="35"/>
      <c r="C956" s="35"/>
      <c r="D956" s="35"/>
      <c r="E956" s="107"/>
      <c r="F956" s="35"/>
      <c r="G956" s="35"/>
      <c r="H956" s="35"/>
      <c r="I956" s="35"/>
      <c r="J956" s="35"/>
      <c r="K956" s="35"/>
      <c r="L956" s="35"/>
      <c r="M956" s="35"/>
      <c r="N956" s="35"/>
      <c r="O956" s="35"/>
      <c r="P956" s="35"/>
      <c r="Q956" s="35"/>
      <c r="R956" s="35"/>
      <c r="S956" s="35"/>
      <c r="T956" s="35"/>
      <c r="U956" s="35"/>
      <c r="V956" s="35"/>
      <c r="W956" s="35"/>
      <c r="X956" s="35"/>
      <c r="Y956" s="35"/>
      <c r="Z956" s="35"/>
      <c r="AA956" s="35"/>
    </row>
    <row r="957">
      <c r="A957" s="35"/>
      <c r="B957" s="35"/>
      <c r="C957" s="35"/>
      <c r="D957" s="35"/>
      <c r="E957" s="107"/>
      <c r="F957" s="35"/>
      <c r="G957" s="35"/>
      <c r="H957" s="35"/>
      <c r="I957" s="35"/>
      <c r="J957" s="35"/>
      <c r="K957" s="35"/>
      <c r="L957" s="35"/>
      <c r="M957" s="35"/>
      <c r="N957" s="35"/>
      <c r="O957" s="35"/>
      <c r="P957" s="35"/>
      <c r="Q957" s="35"/>
      <c r="R957" s="35"/>
      <c r="S957" s="35"/>
      <c r="T957" s="35"/>
      <c r="U957" s="35"/>
      <c r="V957" s="35"/>
      <c r="W957" s="35"/>
      <c r="X957" s="35"/>
      <c r="Y957" s="35"/>
      <c r="Z957" s="35"/>
      <c r="AA957" s="35"/>
    </row>
    <row r="958">
      <c r="A958" s="35"/>
      <c r="B958" s="35"/>
      <c r="C958" s="35"/>
      <c r="D958" s="35"/>
      <c r="E958" s="107"/>
      <c r="F958" s="35"/>
      <c r="G958" s="35"/>
      <c r="H958" s="35"/>
      <c r="I958" s="35"/>
      <c r="J958" s="35"/>
      <c r="K958" s="35"/>
      <c r="L958" s="35"/>
      <c r="M958" s="35"/>
      <c r="N958" s="35"/>
      <c r="O958" s="35"/>
      <c r="P958" s="35"/>
      <c r="Q958" s="35"/>
      <c r="R958" s="35"/>
      <c r="S958" s="35"/>
      <c r="T958" s="35"/>
      <c r="U958" s="35"/>
      <c r="V958" s="35"/>
      <c r="W958" s="35"/>
      <c r="X958" s="35"/>
      <c r="Y958" s="35"/>
      <c r="Z958" s="35"/>
      <c r="AA958" s="35"/>
    </row>
    <row r="959">
      <c r="A959" s="35"/>
      <c r="B959" s="35"/>
      <c r="C959" s="35"/>
      <c r="D959" s="35"/>
      <c r="E959" s="107"/>
      <c r="F959" s="35"/>
      <c r="G959" s="35"/>
      <c r="H959" s="35"/>
      <c r="I959" s="35"/>
      <c r="J959" s="35"/>
      <c r="K959" s="35"/>
      <c r="L959" s="35"/>
      <c r="M959" s="35"/>
      <c r="N959" s="35"/>
      <c r="O959" s="35"/>
      <c r="P959" s="35"/>
      <c r="Q959" s="35"/>
      <c r="R959" s="35"/>
      <c r="S959" s="35"/>
      <c r="T959" s="35"/>
      <c r="U959" s="35"/>
      <c r="V959" s="35"/>
      <c r="W959" s="35"/>
      <c r="X959" s="35"/>
      <c r="Y959" s="35"/>
      <c r="Z959" s="35"/>
      <c r="AA959" s="35"/>
    </row>
    <row r="960">
      <c r="A960" s="35"/>
      <c r="B960" s="35"/>
      <c r="C960" s="35"/>
      <c r="D960" s="35"/>
      <c r="E960" s="107"/>
      <c r="F960" s="35"/>
      <c r="G960" s="35"/>
      <c r="H960" s="35"/>
      <c r="I960" s="35"/>
      <c r="J960" s="35"/>
      <c r="K960" s="35"/>
      <c r="L960" s="35"/>
      <c r="M960" s="35"/>
      <c r="N960" s="35"/>
      <c r="O960" s="35"/>
      <c r="P960" s="35"/>
      <c r="Q960" s="35"/>
      <c r="R960" s="35"/>
      <c r="S960" s="35"/>
      <c r="T960" s="35"/>
      <c r="U960" s="35"/>
      <c r="V960" s="35"/>
      <c r="W960" s="35"/>
      <c r="X960" s="35"/>
      <c r="Y960" s="35"/>
      <c r="Z960" s="35"/>
      <c r="AA960" s="35"/>
    </row>
    <row r="961">
      <c r="A961" s="35"/>
      <c r="B961" s="35"/>
      <c r="C961" s="35"/>
      <c r="D961" s="35"/>
      <c r="E961" s="107"/>
      <c r="F961" s="35"/>
      <c r="G961" s="35"/>
      <c r="H961" s="35"/>
      <c r="I961" s="35"/>
      <c r="J961" s="35"/>
      <c r="K961" s="35"/>
      <c r="L961" s="35"/>
      <c r="M961" s="35"/>
      <c r="N961" s="35"/>
      <c r="O961" s="35"/>
      <c r="P961" s="35"/>
      <c r="Q961" s="35"/>
      <c r="R961" s="35"/>
      <c r="S961" s="35"/>
      <c r="T961" s="35"/>
      <c r="U961" s="35"/>
      <c r="V961" s="35"/>
      <c r="W961" s="35"/>
      <c r="X961" s="35"/>
      <c r="Y961" s="35"/>
      <c r="Z961" s="35"/>
      <c r="AA961" s="35"/>
    </row>
    <row r="962">
      <c r="A962" s="35"/>
      <c r="B962" s="35"/>
      <c r="C962" s="35"/>
      <c r="D962" s="35"/>
      <c r="E962" s="107"/>
      <c r="F962" s="35"/>
      <c r="G962" s="35"/>
      <c r="H962" s="35"/>
      <c r="I962" s="35"/>
      <c r="J962" s="35"/>
      <c r="K962" s="35"/>
      <c r="L962" s="35"/>
      <c r="M962" s="35"/>
      <c r="N962" s="35"/>
      <c r="O962" s="35"/>
      <c r="P962" s="35"/>
      <c r="Q962" s="35"/>
      <c r="R962" s="35"/>
      <c r="S962" s="35"/>
      <c r="T962" s="35"/>
      <c r="U962" s="35"/>
      <c r="V962" s="35"/>
      <c r="W962" s="35"/>
      <c r="X962" s="35"/>
      <c r="Y962" s="35"/>
      <c r="Z962" s="35"/>
      <c r="AA962" s="35"/>
    </row>
    <row r="963">
      <c r="A963" s="35"/>
      <c r="B963" s="35"/>
      <c r="C963" s="35"/>
      <c r="D963" s="35"/>
      <c r="E963" s="107"/>
      <c r="F963" s="35"/>
      <c r="G963" s="35"/>
      <c r="H963" s="35"/>
      <c r="I963" s="35"/>
      <c r="J963" s="35"/>
      <c r="K963" s="35"/>
      <c r="L963" s="35"/>
      <c r="M963" s="35"/>
      <c r="N963" s="35"/>
      <c r="O963" s="35"/>
      <c r="P963" s="35"/>
      <c r="Q963" s="35"/>
      <c r="R963" s="35"/>
      <c r="S963" s="35"/>
      <c r="T963" s="35"/>
      <c r="U963" s="35"/>
      <c r="V963" s="35"/>
      <c r="W963" s="35"/>
      <c r="X963" s="35"/>
      <c r="Y963" s="35"/>
      <c r="Z963" s="35"/>
      <c r="AA963" s="35"/>
    </row>
    <row r="964">
      <c r="A964" s="35"/>
      <c r="B964" s="35"/>
      <c r="C964" s="35"/>
      <c r="D964" s="35"/>
      <c r="E964" s="107"/>
      <c r="F964" s="35"/>
      <c r="G964" s="35"/>
      <c r="H964" s="35"/>
      <c r="I964" s="35"/>
      <c r="J964" s="35"/>
      <c r="K964" s="35"/>
      <c r="L964" s="35"/>
      <c r="M964" s="35"/>
      <c r="N964" s="35"/>
      <c r="O964" s="35"/>
      <c r="P964" s="35"/>
      <c r="Q964" s="35"/>
      <c r="R964" s="35"/>
      <c r="S964" s="35"/>
      <c r="T964" s="35"/>
      <c r="U964" s="35"/>
      <c r="V964" s="35"/>
      <c r="W964" s="35"/>
      <c r="X964" s="35"/>
      <c r="Y964" s="35"/>
      <c r="Z964" s="35"/>
      <c r="AA964" s="35"/>
    </row>
    <row r="965">
      <c r="A965" s="35"/>
      <c r="B965" s="35"/>
      <c r="C965" s="35"/>
      <c r="D965" s="35"/>
      <c r="E965" s="107"/>
      <c r="F965" s="35"/>
      <c r="G965" s="35"/>
      <c r="H965" s="35"/>
      <c r="I965" s="35"/>
      <c r="J965" s="35"/>
      <c r="K965" s="35"/>
      <c r="L965" s="35"/>
      <c r="M965" s="35"/>
      <c r="N965" s="35"/>
      <c r="O965" s="35"/>
      <c r="P965" s="35"/>
      <c r="Q965" s="35"/>
      <c r="R965" s="35"/>
      <c r="S965" s="35"/>
      <c r="T965" s="35"/>
      <c r="U965" s="35"/>
      <c r="V965" s="35"/>
      <c r="W965" s="35"/>
      <c r="X965" s="35"/>
      <c r="Y965" s="35"/>
      <c r="Z965" s="35"/>
      <c r="AA965" s="35"/>
    </row>
    <row r="966">
      <c r="A966" s="35"/>
      <c r="B966" s="35"/>
      <c r="C966" s="35"/>
      <c r="D966" s="35"/>
      <c r="E966" s="107"/>
      <c r="F966" s="35"/>
      <c r="G966" s="35"/>
      <c r="H966" s="35"/>
      <c r="I966" s="35"/>
      <c r="J966" s="35"/>
      <c r="K966" s="35"/>
      <c r="L966" s="35"/>
      <c r="M966" s="35"/>
      <c r="N966" s="35"/>
      <c r="O966" s="35"/>
      <c r="P966" s="35"/>
      <c r="Q966" s="35"/>
      <c r="R966" s="35"/>
      <c r="S966" s="35"/>
      <c r="T966" s="35"/>
      <c r="U966" s="35"/>
      <c r="V966" s="35"/>
      <c r="W966" s="35"/>
      <c r="X966" s="35"/>
      <c r="Y966" s="35"/>
      <c r="Z966" s="35"/>
      <c r="AA966" s="35"/>
    </row>
    <row r="967">
      <c r="A967" s="35"/>
      <c r="B967" s="35"/>
      <c r="C967" s="35"/>
      <c r="D967" s="35"/>
      <c r="E967" s="107"/>
      <c r="F967" s="35"/>
      <c r="G967" s="35"/>
      <c r="H967" s="35"/>
      <c r="I967" s="35"/>
      <c r="J967" s="35"/>
      <c r="K967" s="35"/>
      <c r="L967" s="35"/>
      <c r="M967" s="35"/>
      <c r="N967" s="35"/>
      <c r="O967" s="35"/>
      <c r="P967" s="35"/>
      <c r="Q967" s="35"/>
      <c r="R967" s="35"/>
      <c r="S967" s="35"/>
      <c r="T967" s="35"/>
      <c r="U967" s="35"/>
      <c r="V967" s="35"/>
      <c r="W967" s="35"/>
      <c r="X967" s="35"/>
      <c r="Y967" s="35"/>
      <c r="Z967" s="35"/>
      <c r="AA967" s="35"/>
    </row>
    <row r="968">
      <c r="A968" s="35"/>
      <c r="B968" s="35"/>
      <c r="C968" s="35"/>
      <c r="D968" s="35"/>
      <c r="E968" s="107"/>
      <c r="F968" s="35"/>
      <c r="G968" s="35"/>
      <c r="H968" s="35"/>
      <c r="I968" s="35"/>
      <c r="J968" s="35"/>
      <c r="K968" s="35"/>
      <c r="L968" s="35"/>
      <c r="M968" s="35"/>
      <c r="N968" s="35"/>
      <c r="O968" s="35"/>
      <c r="P968" s="35"/>
      <c r="Q968" s="35"/>
      <c r="R968" s="35"/>
      <c r="S968" s="35"/>
      <c r="T968" s="35"/>
      <c r="U968" s="35"/>
      <c r="V968" s="35"/>
      <c r="W968" s="35"/>
      <c r="X968" s="35"/>
      <c r="Y968" s="35"/>
      <c r="Z968" s="35"/>
      <c r="AA968" s="35"/>
    </row>
    <row r="969">
      <c r="A969" s="35"/>
      <c r="B969" s="35"/>
      <c r="C969" s="35"/>
      <c r="D969" s="35"/>
      <c r="E969" s="107"/>
      <c r="F969" s="35"/>
      <c r="G969" s="35"/>
      <c r="H969" s="35"/>
      <c r="I969" s="35"/>
      <c r="J969" s="35"/>
      <c r="K969" s="35"/>
      <c r="L969" s="35"/>
      <c r="M969" s="35"/>
      <c r="N969" s="35"/>
      <c r="O969" s="35"/>
      <c r="P969" s="35"/>
      <c r="Q969" s="35"/>
      <c r="R969" s="35"/>
      <c r="S969" s="35"/>
      <c r="T969" s="35"/>
      <c r="U969" s="35"/>
      <c r="V969" s="35"/>
      <c r="W969" s="35"/>
      <c r="X969" s="35"/>
      <c r="Y969" s="35"/>
      <c r="Z969" s="35"/>
      <c r="AA969" s="35"/>
    </row>
    <row r="970">
      <c r="A970" s="35"/>
      <c r="B970" s="35"/>
      <c r="C970" s="35"/>
      <c r="D970" s="35"/>
      <c r="E970" s="107"/>
      <c r="F970" s="35"/>
      <c r="G970" s="35"/>
      <c r="H970" s="35"/>
      <c r="I970" s="35"/>
      <c r="J970" s="35"/>
      <c r="K970" s="35"/>
      <c r="L970" s="35"/>
      <c r="M970" s="35"/>
      <c r="N970" s="35"/>
      <c r="O970" s="35"/>
      <c r="P970" s="35"/>
      <c r="Q970" s="35"/>
      <c r="R970" s="35"/>
      <c r="S970" s="35"/>
      <c r="T970" s="35"/>
      <c r="U970" s="35"/>
      <c r="V970" s="35"/>
      <c r="W970" s="35"/>
      <c r="X970" s="35"/>
      <c r="Y970" s="35"/>
      <c r="Z970" s="35"/>
      <c r="AA970" s="35"/>
    </row>
    <row r="971">
      <c r="A971" s="35"/>
      <c r="B971" s="35"/>
      <c r="C971" s="35"/>
      <c r="D971" s="35"/>
      <c r="E971" s="107"/>
      <c r="F971" s="35"/>
      <c r="G971" s="35"/>
      <c r="H971" s="35"/>
      <c r="I971" s="35"/>
      <c r="J971" s="35"/>
      <c r="K971" s="35"/>
      <c r="L971" s="35"/>
      <c r="M971" s="35"/>
      <c r="N971" s="35"/>
      <c r="O971" s="35"/>
      <c r="P971" s="35"/>
      <c r="Q971" s="35"/>
      <c r="R971" s="35"/>
      <c r="S971" s="35"/>
      <c r="T971" s="35"/>
      <c r="U971" s="35"/>
      <c r="V971" s="35"/>
      <c r="W971" s="35"/>
      <c r="X971" s="35"/>
      <c r="Y971" s="35"/>
      <c r="Z971" s="35"/>
      <c r="AA971" s="35"/>
    </row>
    <row r="972">
      <c r="A972" s="35"/>
      <c r="B972" s="35"/>
      <c r="C972" s="35"/>
      <c r="D972" s="35"/>
      <c r="E972" s="107"/>
      <c r="F972" s="35"/>
      <c r="G972" s="35"/>
      <c r="H972" s="35"/>
      <c r="I972" s="35"/>
      <c r="J972" s="35"/>
      <c r="K972" s="35"/>
      <c r="L972" s="35"/>
      <c r="M972" s="35"/>
      <c r="N972" s="35"/>
      <c r="O972" s="35"/>
      <c r="P972" s="35"/>
      <c r="Q972" s="35"/>
      <c r="R972" s="35"/>
      <c r="S972" s="35"/>
      <c r="T972" s="35"/>
      <c r="U972" s="35"/>
      <c r="V972" s="35"/>
      <c r="W972" s="35"/>
      <c r="X972" s="35"/>
      <c r="Y972" s="35"/>
      <c r="Z972" s="35"/>
      <c r="AA972" s="35"/>
    </row>
    <row r="973">
      <c r="A973" s="35"/>
      <c r="B973" s="35"/>
      <c r="C973" s="35"/>
      <c r="D973" s="35"/>
      <c r="E973" s="107"/>
      <c r="F973" s="35"/>
      <c r="G973" s="35"/>
      <c r="H973" s="35"/>
      <c r="I973" s="35"/>
      <c r="J973" s="35"/>
      <c r="K973" s="35"/>
      <c r="L973" s="35"/>
      <c r="M973" s="35"/>
      <c r="N973" s="35"/>
      <c r="O973" s="35"/>
      <c r="P973" s="35"/>
      <c r="Q973" s="35"/>
      <c r="R973" s="35"/>
      <c r="S973" s="35"/>
      <c r="T973" s="35"/>
      <c r="U973" s="35"/>
      <c r="V973" s="35"/>
      <c r="W973" s="35"/>
      <c r="X973" s="35"/>
      <c r="Y973" s="35"/>
      <c r="Z973" s="35"/>
      <c r="AA973" s="35"/>
    </row>
    <row r="974">
      <c r="A974" s="35"/>
      <c r="B974" s="35"/>
      <c r="C974" s="35"/>
      <c r="D974" s="35"/>
      <c r="E974" s="107"/>
      <c r="F974" s="35"/>
      <c r="G974" s="35"/>
      <c r="H974" s="35"/>
      <c r="I974" s="35"/>
      <c r="J974" s="35"/>
      <c r="K974" s="35"/>
      <c r="L974" s="35"/>
      <c r="M974" s="35"/>
      <c r="N974" s="35"/>
      <c r="O974" s="35"/>
      <c r="P974" s="35"/>
      <c r="Q974" s="35"/>
      <c r="R974" s="35"/>
      <c r="S974" s="35"/>
      <c r="T974" s="35"/>
      <c r="U974" s="35"/>
      <c r="V974" s="35"/>
      <c r="W974" s="35"/>
      <c r="X974" s="35"/>
      <c r="Y974" s="35"/>
      <c r="Z974" s="35"/>
      <c r="AA974" s="35"/>
    </row>
    <row r="975">
      <c r="A975" s="35"/>
      <c r="B975" s="35"/>
      <c r="C975" s="35"/>
      <c r="D975" s="35"/>
      <c r="E975" s="107"/>
      <c r="F975" s="35"/>
      <c r="G975" s="35"/>
      <c r="H975" s="35"/>
      <c r="I975" s="35"/>
      <c r="J975" s="35"/>
      <c r="K975" s="35"/>
      <c r="L975" s="35"/>
      <c r="M975" s="35"/>
      <c r="N975" s="35"/>
      <c r="O975" s="35"/>
      <c r="P975" s="35"/>
      <c r="Q975" s="35"/>
      <c r="R975" s="35"/>
      <c r="S975" s="35"/>
      <c r="T975" s="35"/>
      <c r="U975" s="35"/>
      <c r="V975" s="35"/>
      <c r="W975" s="35"/>
      <c r="X975" s="35"/>
      <c r="Y975" s="35"/>
      <c r="Z975" s="35"/>
      <c r="AA975" s="35"/>
    </row>
    <row r="976">
      <c r="A976" s="35"/>
      <c r="B976" s="35"/>
      <c r="C976" s="35"/>
      <c r="D976" s="35"/>
      <c r="E976" s="107"/>
      <c r="F976" s="35"/>
      <c r="G976" s="35"/>
      <c r="H976" s="35"/>
      <c r="I976" s="35"/>
      <c r="J976" s="35"/>
      <c r="K976" s="35"/>
      <c r="L976" s="35"/>
      <c r="M976" s="35"/>
      <c r="N976" s="35"/>
      <c r="O976" s="35"/>
      <c r="P976" s="35"/>
      <c r="Q976" s="35"/>
      <c r="R976" s="35"/>
      <c r="S976" s="35"/>
      <c r="T976" s="35"/>
      <c r="U976" s="35"/>
      <c r="V976" s="35"/>
      <c r="W976" s="35"/>
      <c r="X976" s="35"/>
      <c r="Y976" s="35"/>
      <c r="Z976" s="35"/>
      <c r="AA976" s="35"/>
    </row>
    <row r="977">
      <c r="A977" s="35"/>
      <c r="B977" s="35"/>
      <c r="C977" s="35"/>
      <c r="D977" s="35"/>
      <c r="E977" s="107"/>
      <c r="F977" s="35"/>
      <c r="G977" s="35"/>
      <c r="H977" s="35"/>
      <c r="I977" s="35"/>
      <c r="J977" s="35"/>
      <c r="K977" s="35"/>
      <c r="L977" s="35"/>
      <c r="M977" s="35"/>
      <c r="N977" s="35"/>
      <c r="O977" s="35"/>
      <c r="P977" s="35"/>
      <c r="Q977" s="35"/>
      <c r="R977" s="35"/>
      <c r="S977" s="35"/>
      <c r="T977" s="35"/>
      <c r="U977" s="35"/>
      <c r="V977" s="35"/>
      <c r="W977" s="35"/>
      <c r="X977" s="35"/>
      <c r="Y977" s="35"/>
      <c r="Z977" s="35"/>
      <c r="AA977" s="35"/>
    </row>
    <row r="978">
      <c r="A978" s="35"/>
      <c r="B978" s="35"/>
      <c r="C978" s="35"/>
      <c r="D978" s="35"/>
      <c r="E978" s="107"/>
      <c r="F978" s="35"/>
      <c r="G978" s="35"/>
      <c r="H978" s="35"/>
      <c r="I978" s="35"/>
      <c r="J978" s="35"/>
      <c r="K978" s="35"/>
      <c r="L978" s="35"/>
      <c r="M978" s="35"/>
      <c r="N978" s="35"/>
      <c r="O978" s="35"/>
      <c r="P978" s="35"/>
      <c r="Q978" s="35"/>
      <c r="R978" s="35"/>
      <c r="S978" s="35"/>
      <c r="T978" s="35"/>
      <c r="U978" s="35"/>
      <c r="V978" s="35"/>
      <c r="W978" s="35"/>
      <c r="X978" s="35"/>
      <c r="Y978" s="35"/>
      <c r="Z978" s="35"/>
      <c r="AA978" s="35"/>
    </row>
    <row r="979">
      <c r="A979" s="35"/>
      <c r="B979" s="35"/>
      <c r="C979" s="35"/>
      <c r="D979" s="35"/>
      <c r="E979" s="107"/>
      <c r="F979" s="35"/>
      <c r="G979" s="35"/>
      <c r="H979" s="35"/>
      <c r="I979" s="35"/>
      <c r="J979" s="35"/>
      <c r="K979" s="35"/>
      <c r="L979" s="35"/>
      <c r="M979" s="35"/>
      <c r="N979" s="35"/>
      <c r="O979" s="35"/>
      <c r="P979" s="35"/>
      <c r="Q979" s="35"/>
      <c r="R979" s="35"/>
      <c r="S979" s="35"/>
      <c r="T979" s="35"/>
      <c r="U979" s="35"/>
      <c r="V979" s="35"/>
      <c r="W979" s="35"/>
      <c r="X979" s="35"/>
      <c r="Y979" s="35"/>
      <c r="Z979" s="35"/>
      <c r="AA979" s="35"/>
    </row>
    <row r="980">
      <c r="A980" s="35"/>
      <c r="B980" s="35"/>
      <c r="C980" s="35"/>
      <c r="D980" s="35"/>
      <c r="E980" s="107"/>
      <c r="F980" s="35"/>
      <c r="G980" s="35"/>
      <c r="H980" s="35"/>
      <c r="I980" s="35"/>
      <c r="J980" s="35"/>
      <c r="K980" s="35"/>
      <c r="L980" s="35"/>
      <c r="M980" s="35"/>
      <c r="N980" s="35"/>
      <c r="O980" s="35"/>
      <c r="P980" s="35"/>
      <c r="Q980" s="35"/>
      <c r="R980" s="35"/>
      <c r="S980" s="35"/>
      <c r="T980" s="35"/>
      <c r="U980" s="35"/>
      <c r="V980" s="35"/>
      <c r="W980" s="35"/>
      <c r="X980" s="35"/>
      <c r="Y980" s="35"/>
      <c r="Z980" s="35"/>
      <c r="AA980" s="35"/>
    </row>
    <row r="981">
      <c r="A981" s="35"/>
      <c r="B981" s="35"/>
      <c r="C981" s="35"/>
      <c r="D981" s="35"/>
      <c r="E981" s="107"/>
      <c r="F981" s="35"/>
      <c r="G981" s="35"/>
      <c r="H981" s="35"/>
      <c r="I981" s="35"/>
      <c r="J981" s="35"/>
      <c r="K981" s="35"/>
      <c r="L981" s="35"/>
      <c r="M981" s="35"/>
      <c r="N981" s="35"/>
      <c r="O981" s="35"/>
      <c r="P981" s="35"/>
      <c r="Q981" s="35"/>
      <c r="R981" s="35"/>
      <c r="S981" s="35"/>
      <c r="T981" s="35"/>
      <c r="U981" s="35"/>
      <c r="V981" s="35"/>
      <c r="W981" s="35"/>
      <c r="X981" s="35"/>
      <c r="Y981" s="35"/>
      <c r="Z981" s="35"/>
      <c r="AA981" s="35"/>
    </row>
    <row r="982">
      <c r="A982" s="35"/>
      <c r="B982" s="35"/>
      <c r="C982" s="35"/>
      <c r="D982" s="35"/>
      <c r="E982" s="107"/>
      <c r="F982" s="35"/>
      <c r="G982" s="35"/>
      <c r="H982" s="35"/>
      <c r="I982" s="35"/>
      <c r="J982" s="35"/>
      <c r="K982" s="35"/>
      <c r="L982" s="35"/>
      <c r="M982" s="35"/>
      <c r="N982" s="35"/>
      <c r="O982" s="35"/>
      <c r="P982" s="35"/>
      <c r="Q982" s="35"/>
      <c r="R982" s="35"/>
      <c r="S982" s="35"/>
      <c r="T982" s="35"/>
      <c r="U982" s="35"/>
      <c r="V982" s="35"/>
      <c r="W982" s="35"/>
      <c r="X982" s="35"/>
      <c r="Y982" s="35"/>
      <c r="Z982" s="35"/>
      <c r="AA982" s="35"/>
    </row>
    <row r="983">
      <c r="A983" s="35"/>
      <c r="B983" s="35"/>
      <c r="C983" s="35"/>
      <c r="D983" s="35"/>
      <c r="E983" s="107"/>
      <c r="F983" s="35"/>
      <c r="G983" s="35"/>
      <c r="H983" s="35"/>
      <c r="I983" s="35"/>
      <c r="J983" s="35"/>
      <c r="K983" s="35"/>
      <c r="L983" s="35"/>
      <c r="M983" s="35"/>
      <c r="N983" s="35"/>
      <c r="O983" s="35"/>
      <c r="P983" s="35"/>
      <c r="Q983" s="35"/>
      <c r="R983" s="35"/>
      <c r="S983" s="35"/>
      <c r="T983" s="35"/>
      <c r="U983" s="35"/>
      <c r="V983" s="35"/>
      <c r="W983" s="35"/>
      <c r="X983" s="35"/>
      <c r="Y983" s="35"/>
      <c r="Z983" s="35"/>
      <c r="AA983" s="35"/>
    </row>
    <row r="984">
      <c r="A984" s="35"/>
      <c r="B984" s="35"/>
      <c r="C984" s="35"/>
      <c r="D984" s="35"/>
      <c r="E984" s="107"/>
      <c r="F984" s="35"/>
      <c r="G984" s="35"/>
      <c r="H984" s="35"/>
      <c r="I984" s="35"/>
      <c r="J984" s="35"/>
      <c r="K984" s="35"/>
      <c r="L984" s="35"/>
      <c r="M984" s="35"/>
      <c r="N984" s="35"/>
      <c r="O984" s="35"/>
      <c r="P984" s="35"/>
      <c r="Q984" s="35"/>
      <c r="R984" s="35"/>
      <c r="S984" s="35"/>
      <c r="T984" s="35"/>
      <c r="U984" s="35"/>
      <c r="V984" s="35"/>
      <c r="W984" s="35"/>
      <c r="X984" s="35"/>
      <c r="Y984" s="35"/>
      <c r="Z984" s="35"/>
      <c r="AA984" s="35"/>
    </row>
    <row r="985">
      <c r="A985" s="35"/>
      <c r="B985" s="35"/>
      <c r="C985" s="35"/>
      <c r="D985" s="35"/>
      <c r="E985" s="107"/>
      <c r="F985" s="35"/>
      <c r="G985" s="35"/>
      <c r="H985" s="35"/>
      <c r="I985" s="35"/>
      <c r="J985" s="35"/>
      <c r="K985" s="35"/>
      <c r="L985" s="35"/>
      <c r="M985" s="35"/>
      <c r="N985" s="35"/>
      <c r="O985" s="35"/>
      <c r="P985" s="35"/>
      <c r="Q985" s="35"/>
      <c r="R985" s="35"/>
      <c r="S985" s="35"/>
      <c r="T985" s="35"/>
      <c r="U985" s="35"/>
      <c r="V985" s="35"/>
      <c r="W985" s="35"/>
      <c r="X985" s="35"/>
      <c r="Y985" s="35"/>
      <c r="Z985" s="35"/>
      <c r="AA985" s="35"/>
    </row>
    <row r="986">
      <c r="A986" s="35"/>
      <c r="B986" s="35"/>
      <c r="C986" s="35"/>
      <c r="D986" s="35"/>
      <c r="E986" s="107"/>
      <c r="F986" s="35"/>
      <c r="G986" s="35"/>
      <c r="H986" s="35"/>
      <c r="I986" s="35"/>
      <c r="J986" s="35"/>
      <c r="K986" s="35"/>
      <c r="L986" s="35"/>
      <c r="M986" s="35"/>
      <c r="N986" s="35"/>
      <c r="O986" s="35"/>
      <c r="P986" s="35"/>
      <c r="Q986" s="35"/>
      <c r="R986" s="35"/>
      <c r="S986" s="35"/>
      <c r="T986" s="35"/>
      <c r="U986" s="35"/>
      <c r="V986" s="35"/>
      <c r="W986" s="35"/>
      <c r="X986" s="35"/>
      <c r="Y986" s="35"/>
      <c r="Z986" s="35"/>
      <c r="AA986" s="35"/>
    </row>
    <row r="987">
      <c r="A987" s="35"/>
      <c r="B987" s="35"/>
      <c r="C987" s="35"/>
      <c r="D987" s="35"/>
      <c r="E987" s="107"/>
      <c r="F987" s="35"/>
      <c r="G987" s="35"/>
      <c r="H987" s="35"/>
      <c r="I987" s="35"/>
      <c r="J987" s="35"/>
      <c r="K987" s="35"/>
      <c r="L987" s="35"/>
      <c r="M987" s="35"/>
      <c r="N987" s="35"/>
      <c r="O987" s="35"/>
      <c r="P987" s="35"/>
      <c r="Q987" s="35"/>
      <c r="R987" s="35"/>
      <c r="S987" s="35"/>
      <c r="T987" s="35"/>
      <c r="U987" s="35"/>
      <c r="V987" s="35"/>
      <c r="W987" s="35"/>
      <c r="X987" s="35"/>
      <c r="Y987" s="35"/>
      <c r="Z987" s="35"/>
      <c r="AA987" s="35"/>
    </row>
    <row r="988">
      <c r="A988" s="35"/>
      <c r="B988" s="35"/>
      <c r="C988" s="35"/>
      <c r="D988" s="35"/>
      <c r="E988" s="107"/>
      <c r="F988" s="35"/>
      <c r="G988" s="35"/>
      <c r="H988" s="35"/>
      <c r="I988" s="35"/>
      <c r="J988" s="35"/>
      <c r="K988" s="35"/>
      <c r="L988" s="35"/>
      <c r="M988" s="35"/>
      <c r="N988" s="35"/>
      <c r="O988" s="35"/>
      <c r="P988" s="35"/>
      <c r="Q988" s="35"/>
      <c r="R988" s="35"/>
      <c r="S988" s="35"/>
      <c r="T988" s="35"/>
      <c r="U988" s="35"/>
      <c r="V988" s="35"/>
      <c r="W988" s="35"/>
      <c r="X988" s="35"/>
      <c r="Y988" s="35"/>
      <c r="Z988" s="35"/>
      <c r="AA988" s="35"/>
    </row>
    <row r="989">
      <c r="A989" s="35"/>
      <c r="B989" s="35"/>
      <c r="C989" s="35"/>
      <c r="D989" s="35"/>
      <c r="E989" s="107"/>
      <c r="F989" s="35"/>
      <c r="G989" s="35"/>
      <c r="H989" s="35"/>
      <c r="I989" s="35"/>
      <c r="J989" s="35"/>
      <c r="K989" s="35"/>
      <c r="L989" s="35"/>
      <c r="M989" s="35"/>
      <c r="N989" s="35"/>
      <c r="O989" s="35"/>
      <c r="P989" s="35"/>
      <c r="Q989" s="35"/>
      <c r="R989" s="35"/>
      <c r="S989" s="35"/>
      <c r="T989" s="35"/>
      <c r="U989" s="35"/>
      <c r="V989" s="35"/>
      <c r="W989" s="35"/>
      <c r="X989" s="35"/>
      <c r="Y989" s="35"/>
      <c r="Z989" s="35"/>
      <c r="AA989" s="35"/>
    </row>
    <row r="990">
      <c r="A990" s="35"/>
      <c r="B990" s="35"/>
      <c r="C990" s="35"/>
      <c r="D990" s="35"/>
      <c r="E990" s="107"/>
      <c r="F990" s="35"/>
      <c r="G990" s="35"/>
      <c r="H990" s="35"/>
      <c r="I990" s="35"/>
      <c r="J990" s="35"/>
      <c r="K990" s="35"/>
      <c r="L990" s="35"/>
      <c r="M990" s="35"/>
      <c r="N990" s="35"/>
      <c r="O990" s="35"/>
      <c r="P990" s="35"/>
      <c r="Q990" s="35"/>
      <c r="R990" s="35"/>
      <c r="S990" s="35"/>
      <c r="T990" s="35"/>
      <c r="U990" s="35"/>
      <c r="V990" s="35"/>
      <c r="W990" s="35"/>
      <c r="X990" s="35"/>
      <c r="Y990" s="35"/>
      <c r="Z990" s="35"/>
      <c r="AA990" s="35"/>
    </row>
    <row r="991">
      <c r="A991" s="35"/>
      <c r="B991" s="35"/>
      <c r="C991" s="35"/>
      <c r="D991" s="35"/>
      <c r="E991" s="107"/>
      <c r="F991" s="35"/>
      <c r="G991" s="35"/>
      <c r="H991" s="35"/>
      <c r="I991" s="35"/>
      <c r="J991" s="35"/>
      <c r="K991" s="35"/>
      <c r="L991" s="35"/>
      <c r="M991" s="35"/>
      <c r="N991" s="35"/>
      <c r="O991" s="35"/>
      <c r="P991" s="35"/>
      <c r="Q991" s="35"/>
      <c r="R991" s="35"/>
      <c r="S991" s="35"/>
      <c r="T991" s="35"/>
      <c r="U991" s="35"/>
      <c r="V991" s="35"/>
      <c r="W991" s="35"/>
      <c r="X991" s="35"/>
      <c r="Y991" s="35"/>
      <c r="Z991" s="35"/>
      <c r="AA991" s="35"/>
    </row>
    <row r="992">
      <c r="A992" s="35"/>
      <c r="B992" s="35"/>
      <c r="C992" s="35"/>
      <c r="D992" s="35"/>
      <c r="E992" s="107"/>
      <c r="F992" s="35"/>
      <c r="G992" s="35"/>
      <c r="H992" s="35"/>
      <c r="I992" s="35"/>
      <c r="J992" s="35"/>
      <c r="K992" s="35"/>
      <c r="L992" s="35"/>
      <c r="M992" s="35"/>
      <c r="N992" s="35"/>
      <c r="O992" s="35"/>
      <c r="P992" s="35"/>
      <c r="Q992" s="35"/>
      <c r="R992" s="35"/>
      <c r="S992" s="35"/>
      <c r="T992" s="35"/>
      <c r="U992" s="35"/>
      <c r="V992" s="35"/>
      <c r="W992" s="35"/>
      <c r="X992" s="35"/>
      <c r="Y992" s="35"/>
      <c r="Z992" s="35"/>
      <c r="AA992" s="35"/>
    </row>
    <row r="993">
      <c r="A993" s="35"/>
      <c r="B993" s="35"/>
      <c r="C993" s="35"/>
      <c r="D993" s="35"/>
      <c r="E993" s="107"/>
      <c r="F993" s="35"/>
      <c r="G993" s="35"/>
      <c r="H993" s="35"/>
      <c r="I993" s="35"/>
      <c r="J993" s="35"/>
      <c r="K993" s="35"/>
      <c r="L993" s="35"/>
      <c r="M993" s="35"/>
      <c r="N993" s="35"/>
      <c r="O993" s="35"/>
      <c r="P993" s="35"/>
      <c r="Q993" s="35"/>
      <c r="R993" s="35"/>
      <c r="S993" s="35"/>
      <c r="T993" s="35"/>
      <c r="U993" s="35"/>
      <c r="V993" s="35"/>
      <c r="W993" s="35"/>
      <c r="X993" s="35"/>
      <c r="Y993" s="35"/>
      <c r="Z993" s="35"/>
      <c r="AA993" s="35"/>
    </row>
    <row r="994">
      <c r="A994" s="35"/>
      <c r="B994" s="35"/>
      <c r="C994" s="35"/>
      <c r="D994" s="35"/>
      <c r="E994" s="107"/>
      <c r="F994" s="35"/>
      <c r="G994" s="35"/>
      <c r="H994" s="35"/>
      <c r="I994" s="35"/>
      <c r="J994" s="35"/>
      <c r="K994" s="35"/>
      <c r="L994" s="35"/>
      <c r="M994" s="35"/>
      <c r="N994" s="35"/>
      <c r="O994" s="35"/>
      <c r="P994" s="35"/>
      <c r="Q994" s="35"/>
      <c r="R994" s="35"/>
      <c r="S994" s="35"/>
      <c r="T994" s="35"/>
      <c r="U994" s="35"/>
      <c r="V994" s="35"/>
      <c r="W994" s="35"/>
      <c r="X994" s="35"/>
      <c r="Y994" s="35"/>
      <c r="Z994" s="35"/>
      <c r="AA994" s="35"/>
    </row>
    <row r="995">
      <c r="A995" s="35"/>
      <c r="B995" s="35"/>
      <c r="C995" s="35"/>
      <c r="D995" s="35"/>
      <c r="E995" s="107"/>
      <c r="F995" s="35"/>
      <c r="G995" s="35"/>
      <c r="H995" s="35"/>
      <c r="I995" s="35"/>
      <c r="J995" s="35"/>
      <c r="K995" s="35"/>
      <c r="L995" s="35"/>
      <c r="M995" s="35"/>
      <c r="N995" s="35"/>
      <c r="O995" s="35"/>
      <c r="P995" s="35"/>
      <c r="Q995" s="35"/>
      <c r="R995" s="35"/>
      <c r="S995" s="35"/>
      <c r="T995" s="35"/>
      <c r="U995" s="35"/>
      <c r="V995" s="35"/>
      <c r="W995" s="35"/>
      <c r="X995" s="35"/>
      <c r="Y995" s="35"/>
      <c r="Z995" s="35"/>
      <c r="AA995" s="35"/>
    </row>
    <row r="996">
      <c r="A996" s="35"/>
      <c r="B996" s="35"/>
      <c r="C996" s="35"/>
      <c r="D996" s="35"/>
      <c r="E996" s="107"/>
      <c r="F996" s="35"/>
      <c r="G996" s="35"/>
      <c r="H996" s="35"/>
      <c r="I996" s="35"/>
      <c r="J996" s="35"/>
      <c r="K996" s="35"/>
      <c r="L996" s="35"/>
      <c r="M996" s="35"/>
      <c r="N996" s="35"/>
      <c r="O996" s="35"/>
      <c r="P996" s="35"/>
      <c r="Q996" s="35"/>
      <c r="R996" s="35"/>
      <c r="S996" s="35"/>
      <c r="T996" s="35"/>
      <c r="U996" s="35"/>
      <c r="V996" s="35"/>
      <c r="W996" s="35"/>
      <c r="X996" s="35"/>
      <c r="Y996" s="35"/>
      <c r="Z996" s="35"/>
      <c r="AA996" s="35"/>
    </row>
    <row r="997">
      <c r="A997" s="35"/>
      <c r="B997" s="35"/>
      <c r="C997" s="35"/>
      <c r="D997" s="35"/>
      <c r="E997" s="107"/>
      <c r="F997" s="35"/>
      <c r="G997" s="35"/>
      <c r="H997" s="35"/>
      <c r="I997" s="35"/>
      <c r="J997" s="35"/>
      <c r="K997" s="35"/>
      <c r="L997" s="35"/>
      <c r="M997" s="35"/>
      <c r="N997" s="35"/>
      <c r="O997" s="35"/>
      <c r="P997" s="35"/>
      <c r="Q997" s="35"/>
      <c r="R997" s="35"/>
      <c r="S997" s="35"/>
      <c r="T997" s="35"/>
      <c r="U997" s="35"/>
      <c r="V997" s="35"/>
      <c r="W997" s="35"/>
      <c r="X997" s="35"/>
      <c r="Y997" s="35"/>
      <c r="Z997" s="35"/>
      <c r="AA997" s="35"/>
    </row>
    <row r="998">
      <c r="A998" s="35"/>
      <c r="B998" s="35"/>
      <c r="C998" s="35"/>
      <c r="D998" s="35"/>
      <c r="E998" s="107"/>
      <c r="F998" s="35"/>
      <c r="G998" s="35"/>
      <c r="H998" s="35"/>
      <c r="I998" s="35"/>
      <c r="J998" s="35"/>
      <c r="K998" s="35"/>
      <c r="L998" s="35"/>
      <c r="M998" s="35"/>
      <c r="N998" s="35"/>
      <c r="O998" s="35"/>
      <c r="P998" s="35"/>
      <c r="Q998" s="35"/>
      <c r="R998" s="35"/>
      <c r="S998" s="35"/>
      <c r="T998" s="35"/>
      <c r="U998" s="35"/>
      <c r="V998" s="35"/>
      <c r="W998" s="35"/>
      <c r="X998" s="35"/>
      <c r="Y998" s="35"/>
      <c r="Z998" s="35"/>
      <c r="AA998" s="35"/>
    </row>
    <row r="999">
      <c r="A999" s="35"/>
      <c r="B999" s="35"/>
      <c r="C999" s="35"/>
      <c r="D999" s="35"/>
      <c r="E999" s="107"/>
      <c r="F999" s="35"/>
      <c r="G999" s="35"/>
      <c r="H999" s="35"/>
      <c r="I999" s="35"/>
      <c r="J999" s="35"/>
      <c r="K999" s="35"/>
      <c r="L999" s="35"/>
      <c r="M999" s="35"/>
      <c r="N999" s="35"/>
      <c r="O999" s="35"/>
      <c r="P999" s="35"/>
      <c r="Q999" s="35"/>
      <c r="R999" s="35"/>
      <c r="S999" s="35"/>
      <c r="T999" s="35"/>
      <c r="U999" s="35"/>
      <c r="V999" s="35"/>
      <c r="W999" s="35"/>
      <c r="X999" s="35"/>
      <c r="Y999" s="35"/>
      <c r="Z999" s="35"/>
      <c r="AA999" s="35"/>
    </row>
    <row r="1000">
      <c r="A1000" s="35"/>
      <c r="B1000" s="35"/>
      <c r="C1000" s="35"/>
      <c r="D1000" s="35"/>
      <c r="E1000" s="107"/>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row>
    <row r="1001">
      <c r="A1001" s="35"/>
      <c r="B1001" s="35"/>
      <c r="C1001" s="35"/>
      <c r="D1001" s="35"/>
      <c r="E1001" s="107"/>
      <c r="F1001" s="35"/>
      <c r="G1001" s="35"/>
      <c r="H1001" s="35"/>
      <c r="I1001" s="35"/>
      <c r="J1001" s="35"/>
      <c r="K1001" s="35"/>
      <c r="L1001" s="35"/>
      <c r="M1001" s="35"/>
      <c r="N1001" s="35"/>
      <c r="O1001" s="35"/>
      <c r="P1001" s="35"/>
      <c r="Q1001" s="35"/>
      <c r="R1001" s="35"/>
      <c r="S1001" s="35"/>
      <c r="T1001" s="35"/>
      <c r="U1001" s="35"/>
      <c r="V1001" s="35"/>
      <c r="W1001" s="35"/>
      <c r="X1001" s="35"/>
      <c r="Y1001" s="35"/>
      <c r="Z1001" s="35"/>
      <c r="AA1001" s="35"/>
    </row>
    <row r="1002">
      <c r="A1002" s="35"/>
      <c r="B1002" s="35"/>
      <c r="C1002" s="35"/>
      <c r="D1002" s="35"/>
      <c r="E1002" s="107"/>
      <c r="F1002" s="35"/>
      <c r="G1002" s="35"/>
      <c r="H1002" s="35"/>
      <c r="I1002" s="35"/>
      <c r="J1002" s="35"/>
      <c r="K1002" s="35"/>
      <c r="L1002" s="35"/>
      <c r="M1002" s="35"/>
      <c r="N1002" s="35"/>
      <c r="O1002" s="35"/>
      <c r="P1002" s="35"/>
      <c r="Q1002" s="35"/>
      <c r="R1002" s="35"/>
      <c r="S1002" s="35"/>
      <c r="T1002" s="35"/>
      <c r="U1002" s="35"/>
      <c r="V1002" s="35"/>
      <c r="W1002" s="35"/>
      <c r="X1002" s="35"/>
      <c r="Y1002" s="35"/>
      <c r="Z1002" s="35"/>
      <c r="AA1002" s="35"/>
    </row>
  </sheetData>
  <autoFilter ref="$A$1:$AA$114">
    <filterColumn colId="6">
      <filters>
        <filter val="Local Product Initiative"/>
        <filter val="Duplicate"/>
      </filters>
    </filterColumn>
  </autoFilter>
  <dataValidations>
    <dataValidation type="list" allowBlank="1" showErrorMessage="1" sqref="G2:G114">
      <formula1>"Consider for FY 27,Not in FY 2027,Local Product Initiative ,Revisit,Duplicate,Needs Review"</formula1>
    </dataValidation>
  </dataValidations>
  <hyperlinks>
    <hyperlink r:id="rId4" ref="A2"/>
    <hyperlink r:id="rId5" ref="B2"/>
    <hyperlink r:id="rId6" ref="D2"/>
    <hyperlink r:id="rId7" ref="A3"/>
    <hyperlink r:id="rId8" ref="B3"/>
    <hyperlink r:id="rId9" ref="D3"/>
    <hyperlink r:id="rId10" ref="A4"/>
    <hyperlink r:id="rId11" ref="B4"/>
    <hyperlink r:id="rId12" ref="D4"/>
    <hyperlink r:id="rId13" ref="A5"/>
    <hyperlink r:id="rId14" ref="B5"/>
    <hyperlink r:id="rId15" ref="D5"/>
    <hyperlink r:id="rId16" ref="A6"/>
    <hyperlink r:id="rId17" ref="D6"/>
    <hyperlink r:id="rId18" ref="A7"/>
    <hyperlink r:id="rId19" ref="B7"/>
    <hyperlink r:id="rId20" ref="D7"/>
    <hyperlink r:id="rId21" ref="A8"/>
    <hyperlink r:id="rId22" ref="D8"/>
    <hyperlink r:id="rId23" ref="A9"/>
    <hyperlink r:id="rId24" ref="A10"/>
    <hyperlink r:id="rId25" ref="A11"/>
    <hyperlink r:id="rId26" ref="A12"/>
    <hyperlink r:id="rId27" ref="D12"/>
    <hyperlink r:id="rId28" ref="A13"/>
    <hyperlink r:id="rId29" ref="A14"/>
    <hyperlink r:id="rId30" ref="B14"/>
    <hyperlink r:id="rId31" ref="D14"/>
    <hyperlink r:id="rId32" ref="A15"/>
    <hyperlink r:id="rId33" ref="B15"/>
    <hyperlink r:id="rId34" ref="D15"/>
    <hyperlink display="Depends on Tenant renaming/immutability for immutable id generation&#10;&#10;KR, to drive meeting with jeff and Glenda to understand the Why " location="'Proposals to consider '!B109" ref="F15"/>
    <hyperlink r:id="rId35" ref="A16"/>
    <hyperlink r:id="rId36" ref="D16"/>
    <hyperlink r:id="rId37" ref="A17"/>
    <hyperlink r:id="rId38" ref="A18"/>
    <hyperlink r:id="rId39" ref="A19"/>
    <hyperlink r:id="rId40" ref="A20"/>
    <hyperlink r:id="rId41" ref="B20"/>
    <hyperlink r:id="rId42" ref="A21"/>
    <hyperlink r:id="rId43" ref="D21"/>
    <hyperlink r:id="rId44" ref="A22"/>
    <hyperlink r:id="rId45" ref="D22"/>
    <hyperlink r:id="rId46" ref="A23"/>
    <hyperlink r:id="rId47" ref="B23"/>
    <hyperlink r:id="rId48" ref="D23"/>
    <hyperlink r:id="rId49" ref="A24"/>
    <hyperlink r:id="rId50" ref="D24"/>
    <hyperlink r:id="rId51" ref="A25"/>
    <hyperlink r:id="rId52" ref="D25"/>
    <hyperlink r:id="rId53" ref="A26"/>
    <hyperlink r:id="rId54" ref="B26"/>
    <hyperlink r:id="rId55" ref="F26"/>
    <hyperlink r:id="rId56" ref="A27"/>
    <hyperlink r:id="rId57" ref="B27"/>
    <hyperlink r:id="rId58" ref="A28"/>
    <hyperlink r:id="rId59" ref="B28"/>
    <hyperlink r:id="rId60" ref="F28"/>
    <hyperlink r:id="rId61" ref="A29"/>
    <hyperlink r:id="rId62" ref="F29"/>
    <hyperlink r:id="rId63" ref="A30"/>
    <hyperlink r:id="rId64" ref="B30"/>
    <hyperlink r:id="rId65" ref="A31"/>
    <hyperlink r:id="rId66" ref="B31"/>
    <hyperlink r:id="rId67" ref="A32"/>
    <hyperlink r:id="rId68" ref="B32"/>
    <hyperlink r:id="rId69" ref="A33"/>
    <hyperlink r:id="rId70" ref="B33"/>
    <hyperlink r:id="rId71" ref="A34"/>
    <hyperlink r:id="rId72" ref="B34"/>
    <hyperlink r:id="rId73" ref="F34"/>
    <hyperlink r:id="rId74" ref="A35"/>
    <hyperlink r:id="rId75" ref="B35"/>
    <hyperlink r:id="rId76" ref="A36"/>
    <hyperlink r:id="rId77" ref="A37"/>
    <hyperlink r:id="rId78" ref="A38"/>
    <hyperlink r:id="rId79" ref="A39"/>
    <hyperlink r:id="rId80" ref="B39"/>
    <hyperlink r:id="rId81" ref="A40"/>
    <hyperlink r:id="rId82" ref="B40"/>
    <hyperlink r:id="rId83" ref="A41"/>
    <hyperlink r:id="rId84" ref="B41"/>
    <hyperlink r:id="rId85" ref="F41"/>
    <hyperlink r:id="rId86" ref="A42"/>
    <hyperlink r:id="rId87" ref="B42"/>
    <hyperlink r:id="rId88" ref="F42"/>
    <hyperlink r:id="rId89" ref="A43"/>
    <hyperlink r:id="rId90" ref="B43"/>
    <hyperlink r:id="rId91" ref="F43"/>
    <hyperlink r:id="rId92" ref="A44"/>
    <hyperlink r:id="rId93" ref="B44"/>
    <hyperlink r:id="rId94" ref="F44"/>
    <hyperlink r:id="rId95" ref="A45"/>
    <hyperlink r:id="rId96" ref="A46"/>
    <hyperlink r:id="rId97" ref="B46"/>
    <hyperlink r:id="rId98" ref="A47"/>
    <hyperlink r:id="rId99" ref="A48"/>
    <hyperlink r:id="rId100" ref="A49"/>
    <hyperlink r:id="rId101" ref="A50"/>
    <hyperlink r:id="rId102" ref="A51"/>
    <hyperlink r:id="rId103" ref="A52"/>
    <hyperlink r:id="rId104" ref="A53"/>
    <hyperlink r:id="rId105" ref="B53"/>
    <hyperlink r:id="rId106" ref="A54"/>
    <hyperlink r:id="rId107" ref="A55"/>
    <hyperlink r:id="rId108" ref="A56"/>
    <hyperlink r:id="rId109" ref="A57"/>
    <hyperlink r:id="rId110" ref="A58"/>
    <hyperlink r:id="rId111" ref="A59"/>
    <hyperlink r:id="rId112" ref="A60"/>
    <hyperlink r:id="rId113" ref="A61"/>
    <hyperlink r:id="rId114" ref="A62"/>
    <hyperlink r:id="rId115" ref="A63"/>
    <hyperlink r:id="rId116" ref="A64"/>
    <hyperlink r:id="rId117" ref="A65"/>
    <hyperlink r:id="rId118" ref="A66"/>
    <hyperlink r:id="rId119" ref="F66"/>
    <hyperlink r:id="rId120" ref="A67"/>
    <hyperlink r:id="rId121" ref="A68"/>
    <hyperlink r:id="rId122" ref="A69"/>
    <hyperlink r:id="rId123" ref="A70"/>
    <hyperlink r:id="rId124" ref="A71"/>
    <hyperlink r:id="rId125" ref="A72"/>
    <hyperlink r:id="rId126" ref="A73"/>
    <hyperlink r:id="rId127" ref="B73"/>
    <hyperlink r:id="rId128" ref="D73"/>
    <hyperlink r:id="rId129" ref="A74"/>
    <hyperlink r:id="rId130" ref="B74"/>
    <hyperlink r:id="rId131" ref="D74"/>
    <hyperlink r:id="rId132" ref="A75"/>
    <hyperlink r:id="rId133" ref="A76"/>
    <hyperlink r:id="rId134" ref="A77"/>
    <hyperlink r:id="rId135" ref="A78"/>
    <hyperlink r:id="rId136" ref="F78"/>
    <hyperlink r:id="rId137" ref="A79"/>
    <hyperlink r:id="rId138" ref="F79"/>
    <hyperlink r:id="rId139" ref="A80"/>
    <hyperlink r:id="rId140" ref="F80"/>
    <hyperlink r:id="rId141" ref="A81"/>
    <hyperlink r:id="rId142" ref="F81"/>
    <hyperlink r:id="rId143" ref="A82"/>
    <hyperlink r:id="rId144" ref="B82"/>
    <hyperlink r:id="rId145" ref="A83"/>
    <hyperlink r:id="rId146" ref="B83"/>
    <hyperlink r:id="rId147" ref="A84"/>
    <hyperlink r:id="rId148" ref="B84"/>
    <hyperlink r:id="rId149" ref="A85"/>
    <hyperlink r:id="rId150" ref="B85"/>
    <hyperlink r:id="rId151" ref="A86"/>
    <hyperlink r:id="rId152" ref="B86"/>
    <hyperlink r:id="rId153" ref="A87"/>
    <hyperlink r:id="rId154" ref="B87"/>
    <hyperlink r:id="rId155" ref="A88"/>
    <hyperlink r:id="rId156" ref="B88"/>
    <hyperlink r:id="rId157" ref="A89"/>
    <hyperlink r:id="rId158" ref="B89"/>
    <hyperlink r:id="rId159" ref="A90"/>
    <hyperlink r:id="rId160" ref="B90"/>
    <hyperlink r:id="rId161" ref="A91"/>
    <hyperlink r:id="rId162" ref="B91"/>
    <hyperlink r:id="rId163" ref="A92"/>
    <hyperlink r:id="rId164" ref="B92"/>
    <hyperlink r:id="rId165" ref="A93"/>
    <hyperlink r:id="rId166" ref="B93"/>
    <hyperlink r:id="rId167" ref="A94"/>
    <hyperlink r:id="rId168" ref="B94"/>
    <hyperlink r:id="rId169" ref="A95"/>
    <hyperlink r:id="rId170" ref="B95"/>
    <hyperlink r:id="rId171" ref="A96"/>
    <hyperlink r:id="rId172" ref="B96"/>
    <hyperlink r:id="rId173" ref="A97"/>
    <hyperlink r:id="rId174" ref="B97"/>
    <hyperlink r:id="rId175" ref="A98"/>
    <hyperlink r:id="rId176" ref="B98"/>
    <hyperlink r:id="rId177" ref="A99"/>
    <hyperlink r:id="rId178" ref="B99"/>
    <hyperlink r:id="rId179" ref="A101"/>
    <hyperlink r:id="rId180" ref="B101"/>
    <hyperlink r:id="rId181" ref="A102"/>
    <hyperlink r:id="rId182" ref="A103"/>
    <hyperlink r:id="rId183" ref="A104"/>
    <hyperlink r:id="rId184" ref="A105"/>
    <hyperlink r:id="rId185" ref="B105"/>
    <hyperlink r:id="rId186" ref="A106"/>
    <hyperlink r:id="rId187" ref="F106"/>
    <hyperlink r:id="rId188" ref="A107"/>
    <hyperlink r:id="rId189" ref="F107"/>
    <hyperlink r:id="rId190" ref="A108"/>
    <hyperlink r:id="rId191" ref="A109"/>
    <hyperlink r:id="rId192" ref="A110"/>
    <hyperlink r:id="rId193" ref="B110"/>
    <hyperlink r:id="rId194" ref="A111"/>
    <hyperlink r:id="rId195" ref="B111"/>
    <hyperlink r:id="rId196" ref="C113"/>
  </hyperlinks>
  <drawing r:id="rId197"/>
  <legacyDrawing r:id="rId19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4.0"/>
    <col customWidth="1" min="2" max="2" width="19.0"/>
    <col customWidth="1" min="4" max="4" width="21.75"/>
    <col customWidth="1" min="5" max="5" width="20.25"/>
    <col customWidth="1" min="6" max="6" width="15.5"/>
    <col customWidth="1" min="7" max="7" width="15.0"/>
  </cols>
  <sheetData>
    <row r="1" hidden="1"/>
    <row r="2" hidden="1">
      <c r="H2" s="25"/>
      <c r="I2" s="24"/>
    </row>
    <row r="3" hidden="1">
      <c r="H3" s="25"/>
      <c r="I3" s="24"/>
    </row>
    <row r="4" hidden="1">
      <c r="H4" s="25"/>
      <c r="I4" s="24"/>
    </row>
    <row r="5" hidden="1">
      <c r="H5" s="25"/>
      <c r="I5" s="24"/>
    </row>
    <row r="6" hidden="1">
      <c r="H6" s="25"/>
      <c r="I6" s="24"/>
    </row>
    <row r="7" hidden="1">
      <c r="H7" s="25"/>
      <c r="I7" s="24"/>
    </row>
    <row r="8" hidden="1">
      <c r="H8" s="25"/>
      <c r="I8" s="24"/>
    </row>
    <row r="9" hidden="1">
      <c r="H9" s="25"/>
      <c r="I9" s="24"/>
    </row>
    <row r="10" hidden="1">
      <c r="H10" s="25"/>
      <c r="I10" s="24"/>
    </row>
    <row r="11" hidden="1">
      <c r="H11" s="25"/>
      <c r="I11" s="24"/>
    </row>
    <row r="12" hidden="1">
      <c r="H12" s="25"/>
      <c r="I12" s="24"/>
    </row>
    <row r="13" hidden="1">
      <c r="H13" s="25"/>
      <c r="I13" s="24"/>
    </row>
    <row r="14" hidden="1">
      <c r="H14" s="25"/>
      <c r="I14" s="24"/>
    </row>
    <row r="15" hidden="1">
      <c r="H15" s="25"/>
      <c r="I15" s="24"/>
    </row>
    <row r="16" hidden="1">
      <c r="H16" s="25"/>
      <c r="I16" s="24"/>
    </row>
    <row r="17" hidden="1">
      <c r="H17" s="25"/>
      <c r="I17" s="24"/>
    </row>
    <row r="18" hidden="1"/>
    <row r="19" hidden="1"/>
    <row r="20" hidden="1"/>
    <row r="21" hidden="1"/>
    <row r="22" hidden="1"/>
    <row r="23" hidden="1"/>
    <row r="24"/>
    <row r="25"/>
    <row r="26"/>
    <row r="27"/>
    <row r="28"/>
    <row r="29"/>
    <row r="30"/>
    <row r="31"/>
    <row r="32"/>
    <row r="33"/>
    <row r="34"/>
    <row r="35"/>
    <row r="36"/>
    <row r="37"/>
    <row r="38"/>
    <row r="39"/>
    <row r="40"/>
    <row r="41"/>
    <row r="42"/>
    <row r="43"/>
    <row r="44"/>
    <row r="45"/>
    <row r="46"/>
    <row r="47"/>
    <row r="48"/>
    <row r="49"/>
    <row r="50"/>
    <row r="51"/>
    <row r="52"/>
    <row r="53"/>
    <row r="54">
      <c r="B54" s="45"/>
      <c r="C54" s="45"/>
      <c r="D54" s="45"/>
      <c r="E54" s="45"/>
      <c r="F54" s="45"/>
      <c r="G54" s="45"/>
      <c r="H54" s="45"/>
    </row>
    <row r="55">
      <c r="B55" s="45"/>
      <c r="C55" s="45"/>
      <c r="D55" s="45"/>
      <c r="E55" s="45"/>
      <c r="F55" s="45"/>
      <c r="G55" s="45"/>
      <c r="H55" s="45"/>
    </row>
    <row r="56">
      <c r="B56" s="45"/>
      <c r="C56" s="45"/>
      <c r="D56" s="45"/>
      <c r="E56" s="45"/>
      <c r="F56" s="45"/>
      <c r="G56" s="45"/>
      <c r="H56" s="45"/>
    </row>
    <row r="57">
      <c r="B57" s="45"/>
      <c r="C57" s="45"/>
      <c r="D57" s="45"/>
      <c r="E57" s="45"/>
      <c r="F57" s="45"/>
      <c r="G57" s="45"/>
      <c r="H57" s="45"/>
    </row>
  </sheetData>
  <hyperlinks>
    <hyperlink r:id="rId3" ref="A3"/>
    <hyperlink r:id="rId4" ref="A4"/>
    <hyperlink r:id="rId5" ref="A6"/>
    <hyperlink r:id="rId6" ref="A7"/>
    <hyperlink r:id="rId7" ref="A8"/>
    <hyperlink r:id="rId8" ref="A9"/>
    <hyperlink r:id="rId9" ref="A10"/>
    <hyperlink r:id="rId10" ref="A11"/>
    <hyperlink r:id="rId11" ref="A12"/>
    <hyperlink r:id="rId12" ref="A13"/>
    <hyperlink r:id="rId13" ref="A14"/>
    <hyperlink r:id="rId14" ref="A15"/>
    <hyperlink r:id="rId15" ref="A26"/>
    <hyperlink r:id="rId16" ref="A27"/>
    <hyperlink r:id="rId17" ref="A28"/>
    <hyperlink r:id="rId18" ref="A29"/>
    <hyperlink r:id="rId19" ref="A30"/>
    <hyperlink r:id="rId20" ref="A31"/>
    <hyperlink r:id="rId21" ref="A32"/>
    <hyperlink r:id="rId22" ref="A33"/>
    <hyperlink r:id="rId23" ref="A34"/>
    <hyperlink r:id="rId24" ref="A36"/>
    <hyperlink r:id="rId25" ref="A37"/>
    <hyperlink r:id="rId26" ref="A38"/>
    <hyperlink r:id="rId27" ref="A39"/>
    <hyperlink r:id="rId28" ref="A40"/>
    <hyperlink r:id="rId29" ref="A41"/>
    <hyperlink r:id="rId30" ref="A42"/>
    <hyperlink r:id="rId31" ref="A43"/>
    <hyperlink r:id="rId32" ref="A44"/>
    <hyperlink r:id="rId33" ref="A45"/>
    <hyperlink r:id="rId34" ref="A46"/>
    <hyperlink r:id="rId35" ref="A47"/>
    <hyperlink r:id="rId36" ref="A48"/>
    <hyperlink r:id="rId37" ref="A49"/>
    <hyperlink r:id="rId38" ref="A50"/>
    <hyperlink r:id="rId39" ref="A51"/>
  </hyperlinks>
  <drawing r:id="rId4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55.75"/>
    <col customWidth="1" min="3" max="6" width="20.0"/>
    <col customWidth="1" min="7" max="10" width="15.38"/>
    <col customWidth="1" min="11" max="11" width="18.75"/>
    <col customWidth="1" min="12" max="12" width="20.0"/>
    <col customWidth="1" min="13" max="13" width="14.5"/>
    <col customWidth="1" min="17" max="17" width="10.13"/>
    <col customWidth="1" min="18" max="18" width="20.88"/>
  </cols>
  <sheetData>
    <row r="1" ht="187.5" customHeight="1">
      <c r="A1" s="1" t="s">
        <v>2</v>
      </c>
      <c r="B1" s="2" t="s">
        <v>3</v>
      </c>
      <c r="C1" s="3" t="s">
        <v>4</v>
      </c>
      <c r="D1" s="3" t="s">
        <v>5</v>
      </c>
      <c r="E1" s="4" t="s">
        <v>6</v>
      </c>
      <c r="F1" s="4" t="s">
        <v>7</v>
      </c>
      <c r="G1" s="9" t="s">
        <v>25</v>
      </c>
      <c r="H1" s="9" t="s">
        <v>26</v>
      </c>
      <c r="I1" s="9" t="s">
        <v>27</v>
      </c>
      <c r="J1" s="9" t="s">
        <v>28</v>
      </c>
      <c r="K1" s="11" t="s">
        <v>30</v>
      </c>
      <c r="L1" s="13" t="s">
        <v>33</v>
      </c>
      <c r="M1" s="15" t="s">
        <v>36</v>
      </c>
      <c r="N1" s="13" t="s">
        <v>38</v>
      </c>
      <c r="O1" s="18" t="s">
        <v>40</v>
      </c>
      <c r="P1" s="13" t="s">
        <v>41</v>
      </c>
      <c r="Q1" s="13" t="s">
        <v>42</v>
      </c>
      <c r="R1" s="13" t="s">
        <v>43</v>
      </c>
      <c r="S1" s="18" t="s">
        <v>44</v>
      </c>
      <c r="T1" s="13" t="s">
        <v>45</v>
      </c>
      <c r="U1" s="18" t="s">
        <v>46</v>
      </c>
      <c r="V1" s="13" t="s">
        <v>47</v>
      </c>
      <c r="W1" s="18" t="s">
        <v>49</v>
      </c>
      <c r="X1" s="13" t="s">
        <v>50</v>
      </c>
      <c r="Y1" s="13" t="s">
        <v>51</v>
      </c>
      <c r="Z1" s="13" t="s">
        <v>52</v>
      </c>
      <c r="AA1" s="18" t="s">
        <v>53</v>
      </c>
      <c r="AB1" s="13" t="s">
        <v>54</v>
      </c>
      <c r="AC1" s="18" t="s">
        <v>55</v>
      </c>
      <c r="AD1" s="19" t="s">
        <v>56</v>
      </c>
      <c r="AE1" s="21" t="s">
        <v>57</v>
      </c>
      <c r="AF1" s="13" t="s">
        <v>60</v>
      </c>
      <c r="AG1" s="18" t="s">
        <v>61</v>
      </c>
      <c r="AH1" s="13" t="s">
        <v>62</v>
      </c>
      <c r="AI1" s="13" t="s">
        <v>63</v>
      </c>
      <c r="AJ1" s="13" t="s">
        <v>64</v>
      </c>
      <c r="AK1" s="18" t="s">
        <v>65</v>
      </c>
      <c r="AL1" s="13" t="s">
        <v>66</v>
      </c>
      <c r="AM1" s="18" t="s">
        <v>68</v>
      </c>
      <c r="AN1" s="13" t="s">
        <v>69</v>
      </c>
      <c r="AO1" s="18" t="s">
        <v>70</v>
      </c>
      <c r="AP1" s="13" t="s">
        <v>71</v>
      </c>
      <c r="AQ1" s="13" t="s">
        <v>72</v>
      </c>
      <c r="AR1" s="13" t="s">
        <v>74</v>
      </c>
      <c r="AS1" s="18" t="s">
        <v>75</v>
      </c>
      <c r="AT1" s="13" t="s">
        <v>78</v>
      </c>
      <c r="AU1" s="18" t="s">
        <v>82</v>
      </c>
      <c r="AV1" s="13" t="s">
        <v>85</v>
      </c>
      <c r="AW1" s="13" t="s">
        <v>86</v>
      </c>
      <c r="AX1" s="13" t="s">
        <v>88</v>
      </c>
      <c r="AY1" s="18" t="s">
        <v>89</v>
      </c>
      <c r="AZ1" s="13" t="s">
        <v>90</v>
      </c>
      <c r="BA1" s="18" t="s">
        <v>91</v>
      </c>
      <c r="BB1" s="13" t="s">
        <v>92</v>
      </c>
      <c r="BC1" s="13" t="s">
        <v>94</v>
      </c>
      <c r="BD1" s="13" t="s">
        <v>96</v>
      </c>
      <c r="BE1" s="18" t="s">
        <v>97</v>
      </c>
      <c r="BF1" s="13" t="s">
        <v>98</v>
      </c>
      <c r="BG1" s="18" t="s">
        <v>99</v>
      </c>
      <c r="BH1" s="13" t="s">
        <v>100</v>
      </c>
      <c r="BI1" s="18" t="s">
        <v>101</v>
      </c>
      <c r="BJ1" s="13" t="s">
        <v>102</v>
      </c>
      <c r="BK1" s="18" t="s">
        <v>104</v>
      </c>
      <c r="BL1" s="13" t="s">
        <v>105</v>
      </c>
      <c r="BM1" s="13" t="s">
        <v>106</v>
      </c>
      <c r="BN1" s="13" t="s">
        <v>107</v>
      </c>
      <c r="BO1" s="18" t="s">
        <v>109</v>
      </c>
      <c r="BP1" s="13" t="s">
        <v>110</v>
      </c>
      <c r="BQ1" s="18" t="s">
        <v>111</v>
      </c>
    </row>
    <row r="2">
      <c r="A2" s="7" t="s">
        <v>20</v>
      </c>
      <c r="B2" s="10" t="s">
        <v>21</v>
      </c>
      <c r="C2" s="20" t="s">
        <v>32</v>
      </c>
      <c r="D2" s="20" t="s">
        <v>58</v>
      </c>
      <c r="E2" s="36" t="s">
        <v>81</v>
      </c>
      <c r="F2" s="36" t="s">
        <v>93</v>
      </c>
      <c r="G2" s="41">
        <v>1.0</v>
      </c>
      <c r="H2" s="41" t="s">
        <v>103</v>
      </c>
      <c r="I2" s="41">
        <v>10.0</v>
      </c>
      <c r="J2" s="41">
        <f t="shared" ref="J2:J4" si="1">SUM(COUNTIF(L2:BQ2,"TBD"), COUNTIF(L2:BQ2,"replace this with a pod name*"))</f>
        <v>0</v>
      </c>
      <c r="K2" s="50">
        <f t="shared" ref="K2:K4" si="2">sum(M2:BQ2)</f>
        <v>304</v>
      </c>
      <c r="L2" s="51" t="s">
        <v>160</v>
      </c>
      <c r="M2" s="52" t="s">
        <v>163</v>
      </c>
      <c r="N2" s="54" t="s">
        <v>160</v>
      </c>
      <c r="O2" s="52" t="s">
        <v>163</v>
      </c>
      <c r="P2" s="51" t="s">
        <v>160</v>
      </c>
      <c r="Q2" s="52">
        <v>14.0</v>
      </c>
      <c r="R2" s="51" t="s">
        <v>160</v>
      </c>
      <c r="S2" s="52">
        <v>1.0</v>
      </c>
      <c r="T2" s="51" t="s">
        <v>160</v>
      </c>
      <c r="U2" s="52" t="s">
        <v>163</v>
      </c>
      <c r="V2" s="51" t="s">
        <v>160</v>
      </c>
      <c r="W2" s="52" t="s">
        <v>163</v>
      </c>
      <c r="X2" s="51" t="s">
        <v>160</v>
      </c>
      <c r="Y2" s="52" t="s">
        <v>163</v>
      </c>
      <c r="Z2" s="51" t="s">
        <v>160</v>
      </c>
      <c r="AA2" s="52">
        <v>8.0</v>
      </c>
      <c r="AB2" s="51" t="s">
        <v>160</v>
      </c>
      <c r="AC2" s="52" t="s">
        <v>163</v>
      </c>
      <c r="AD2" s="51" t="s">
        <v>160</v>
      </c>
      <c r="AE2" s="52" t="s">
        <v>163</v>
      </c>
      <c r="AF2" s="51" t="s">
        <v>160</v>
      </c>
      <c r="AG2" s="52">
        <v>4.0</v>
      </c>
      <c r="AH2" s="51" t="s">
        <v>173</v>
      </c>
      <c r="AI2" s="52">
        <v>8.0</v>
      </c>
      <c r="AJ2" s="51" t="s">
        <v>160</v>
      </c>
      <c r="AK2" s="52" t="s">
        <v>163</v>
      </c>
      <c r="AL2" s="51" t="s">
        <v>160</v>
      </c>
      <c r="AM2" s="52" t="s">
        <v>163</v>
      </c>
      <c r="AN2" s="51" t="s">
        <v>160</v>
      </c>
      <c r="AO2" s="52" t="s">
        <v>163</v>
      </c>
      <c r="AP2" s="57" t="s">
        <v>177</v>
      </c>
      <c r="AQ2" s="52">
        <v>60.0</v>
      </c>
      <c r="AR2" s="51" t="s">
        <v>180</v>
      </c>
      <c r="AS2" s="52">
        <v>8.0</v>
      </c>
      <c r="AT2" s="51" t="s">
        <v>53</v>
      </c>
      <c r="AU2" s="52">
        <v>20.0</v>
      </c>
      <c r="AV2" s="51" t="s">
        <v>53</v>
      </c>
      <c r="AW2" s="52">
        <v>33.0</v>
      </c>
      <c r="AX2" s="51" t="s">
        <v>160</v>
      </c>
      <c r="AY2" s="52" t="s">
        <v>163</v>
      </c>
      <c r="AZ2" s="51" t="s">
        <v>160</v>
      </c>
      <c r="BA2" s="52">
        <v>5.0</v>
      </c>
      <c r="BB2" s="51" t="s">
        <v>160</v>
      </c>
      <c r="BC2" s="52">
        <v>21.0</v>
      </c>
      <c r="BD2" s="51" t="s">
        <v>160</v>
      </c>
      <c r="BE2" s="52">
        <v>4.0</v>
      </c>
      <c r="BF2" s="51" t="s">
        <v>193</v>
      </c>
      <c r="BG2" s="52">
        <v>8.0</v>
      </c>
      <c r="BH2" s="58" t="s">
        <v>104</v>
      </c>
      <c r="BI2" s="59">
        <v>36.0</v>
      </c>
      <c r="BJ2" s="51" t="s">
        <v>196</v>
      </c>
      <c r="BK2" s="52">
        <v>32.0</v>
      </c>
      <c r="BL2" s="51" t="s">
        <v>160</v>
      </c>
      <c r="BM2" s="52" t="s">
        <v>163</v>
      </c>
      <c r="BN2" s="51" t="s">
        <v>173</v>
      </c>
      <c r="BO2" s="52">
        <v>30.0</v>
      </c>
      <c r="BP2" s="51" t="s">
        <v>193</v>
      </c>
      <c r="BQ2" s="52">
        <v>12.0</v>
      </c>
    </row>
    <row r="3">
      <c r="A3" s="7" t="s">
        <v>20</v>
      </c>
      <c r="B3" s="10" t="s">
        <v>202</v>
      </c>
      <c r="C3" s="20" t="s">
        <v>87</v>
      </c>
      <c r="D3" s="20" t="s">
        <v>120</v>
      </c>
      <c r="E3" s="36" t="s">
        <v>119</v>
      </c>
      <c r="F3" s="36" t="s">
        <v>123</v>
      </c>
      <c r="G3" s="41">
        <v>2.0</v>
      </c>
      <c r="H3" s="41" t="s">
        <v>103</v>
      </c>
      <c r="I3" s="41">
        <v>10.0</v>
      </c>
      <c r="J3" s="41">
        <f t="shared" si="1"/>
        <v>0</v>
      </c>
      <c r="K3" s="50">
        <f t="shared" si="2"/>
        <v>100</v>
      </c>
      <c r="L3" s="51" t="s">
        <v>160</v>
      </c>
      <c r="M3" s="52" t="s">
        <v>163</v>
      </c>
      <c r="N3" s="51" t="s">
        <v>160</v>
      </c>
      <c r="O3" s="52" t="s">
        <v>163</v>
      </c>
      <c r="P3" s="51" t="s">
        <v>160</v>
      </c>
      <c r="Q3" s="52" t="s">
        <v>163</v>
      </c>
      <c r="R3" s="54" t="s">
        <v>217</v>
      </c>
      <c r="S3" s="52">
        <v>74.0</v>
      </c>
      <c r="T3" s="51" t="s">
        <v>160</v>
      </c>
      <c r="U3" s="52" t="s">
        <v>163</v>
      </c>
      <c r="V3" s="51" t="s">
        <v>44</v>
      </c>
      <c r="W3" s="52">
        <v>4.0</v>
      </c>
      <c r="X3" s="51" t="s">
        <v>160</v>
      </c>
      <c r="Y3" s="52" t="s">
        <v>163</v>
      </c>
      <c r="Z3" s="51" t="s">
        <v>160</v>
      </c>
      <c r="AA3" s="52" t="s">
        <v>163</v>
      </c>
      <c r="AB3" s="51" t="s">
        <v>160</v>
      </c>
      <c r="AC3" s="52" t="s">
        <v>163</v>
      </c>
      <c r="AD3" s="51" t="s">
        <v>160</v>
      </c>
      <c r="AE3" s="52" t="s">
        <v>163</v>
      </c>
      <c r="AF3" s="51" t="s">
        <v>160</v>
      </c>
      <c r="AG3" s="52" t="s">
        <v>163</v>
      </c>
      <c r="AH3" s="51" t="s">
        <v>173</v>
      </c>
      <c r="AI3" s="52" t="s">
        <v>163</v>
      </c>
      <c r="AJ3" s="51" t="s">
        <v>160</v>
      </c>
      <c r="AK3" s="52" t="s">
        <v>163</v>
      </c>
      <c r="AL3" s="51" t="s">
        <v>160</v>
      </c>
      <c r="AM3" s="52" t="s">
        <v>163</v>
      </c>
      <c r="AN3" s="51" t="s">
        <v>160</v>
      </c>
      <c r="AO3" s="52" t="s">
        <v>163</v>
      </c>
      <c r="AP3" s="51" t="s">
        <v>160</v>
      </c>
      <c r="AQ3" s="52" t="s">
        <v>163</v>
      </c>
      <c r="AR3" s="61" t="s">
        <v>160</v>
      </c>
      <c r="AS3" s="52">
        <v>8.0</v>
      </c>
      <c r="AT3" s="51" t="s">
        <v>160</v>
      </c>
      <c r="AU3" s="52" t="s">
        <v>163</v>
      </c>
      <c r="AV3" s="51" t="s">
        <v>160</v>
      </c>
      <c r="AW3" s="52" t="s">
        <v>163</v>
      </c>
      <c r="AX3" s="51" t="s">
        <v>160</v>
      </c>
      <c r="AY3" s="52" t="s">
        <v>163</v>
      </c>
      <c r="AZ3" s="51" t="s">
        <v>91</v>
      </c>
      <c r="BA3" s="52">
        <v>14.0</v>
      </c>
      <c r="BB3" s="51" t="s">
        <v>160</v>
      </c>
      <c r="BC3" s="52" t="s">
        <v>163</v>
      </c>
      <c r="BD3" s="51" t="s">
        <v>160</v>
      </c>
      <c r="BE3" s="52" t="s">
        <v>163</v>
      </c>
      <c r="BF3" s="51" t="s">
        <v>160</v>
      </c>
      <c r="BG3" s="52" t="s">
        <v>163</v>
      </c>
      <c r="BH3" s="51" t="s">
        <v>160</v>
      </c>
      <c r="BI3" s="59" t="s">
        <v>163</v>
      </c>
      <c r="BJ3" s="51" t="s">
        <v>160</v>
      </c>
      <c r="BK3" s="52" t="s">
        <v>163</v>
      </c>
      <c r="BL3" s="51" t="s">
        <v>160</v>
      </c>
      <c r="BM3" s="52" t="s">
        <v>163</v>
      </c>
      <c r="BN3" s="51" t="s">
        <v>173</v>
      </c>
      <c r="BO3" s="52" t="s">
        <v>163</v>
      </c>
      <c r="BP3" s="51" t="s">
        <v>160</v>
      </c>
      <c r="BQ3" s="52" t="s">
        <v>163</v>
      </c>
    </row>
    <row r="4">
      <c r="A4" s="7" t="s">
        <v>20</v>
      </c>
      <c r="B4" s="40" t="s">
        <v>224</v>
      </c>
      <c r="C4" s="20" t="s">
        <v>134</v>
      </c>
      <c r="D4" s="20" t="s">
        <v>136</v>
      </c>
      <c r="E4" s="36" t="s">
        <v>138</v>
      </c>
      <c r="F4" s="50" t="s">
        <v>220</v>
      </c>
      <c r="G4" s="41">
        <v>3.0</v>
      </c>
      <c r="H4" s="41" t="s">
        <v>103</v>
      </c>
      <c r="I4" s="41">
        <v>10.0</v>
      </c>
      <c r="J4" s="41">
        <f t="shared" si="1"/>
        <v>1</v>
      </c>
      <c r="K4" s="50">
        <f t="shared" si="2"/>
        <v>230</v>
      </c>
      <c r="L4" s="51" t="s">
        <v>160</v>
      </c>
      <c r="M4" s="52" t="s">
        <v>163</v>
      </c>
      <c r="N4" s="51" t="s">
        <v>160</v>
      </c>
      <c r="O4" s="52" t="s">
        <v>163</v>
      </c>
      <c r="P4" s="51" t="s">
        <v>82</v>
      </c>
      <c r="Q4" s="52" t="s">
        <v>149</v>
      </c>
      <c r="R4" s="51" t="s">
        <v>160</v>
      </c>
      <c r="S4" s="52" t="s">
        <v>163</v>
      </c>
      <c r="T4" s="52" t="s">
        <v>82</v>
      </c>
      <c r="U4" s="52">
        <v>12.0</v>
      </c>
      <c r="V4" s="51" t="s">
        <v>160</v>
      </c>
      <c r="W4" s="52" t="s">
        <v>163</v>
      </c>
      <c r="X4" s="51" t="s">
        <v>160</v>
      </c>
      <c r="Y4" s="52" t="s">
        <v>163</v>
      </c>
      <c r="Z4" s="51" t="s">
        <v>160</v>
      </c>
      <c r="AA4" s="52" t="s">
        <v>163</v>
      </c>
      <c r="AB4" s="51" t="s">
        <v>160</v>
      </c>
      <c r="AC4" s="52" t="s">
        <v>163</v>
      </c>
      <c r="AD4" s="51" t="s">
        <v>160</v>
      </c>
      <c r="AE4" s="52" t="s">
        <v>163</v>
      </c>
      <c r="AF4" s="51" t="s">
        <v>82</v>
      </c>
      <c r="AG4" s="52">
        <v>6.0</v>
      </c>
      <c r="AH4" s="51" t="s">
        <v>173</v>
      </c>
      <c r="AI4" s="52" t="s">
        <v>163</v>
      </c>
      <c r="AJ4" s="51" t="s">
        <v>160</v>
      </c>
      <c r="AK4" s="52" t="s">
        <v>163</v>
      </c>
      <c r="AL4" s="51" t="s">
        <v>160</v>
      </c>
      <c r="AM4" s="52" t="s">
        <v>163</v>
      </c>
      <c r="AN4" s="51" t="s">
        <v>160</v>
      </c>
      <c r="AO4" s="52" t="s">
        <v>163</v>
      </c>
      <c r="AP4" s="51" t="s">
        <v>160</v>
      </c>
      <c r="AQ4" s="52" t="s">
        <v>163</v>
      </c>
      <c r="AR4" s="51" t="s">
        <v>160</v>
      </c>
      <c r="AS4" s="52" t="s">
        <v>163</v>
      </c>
      <c r="AT4" s="57" t="s">
        <v>61</v>
      </c>
      <c r="AU4" s="52">
        <v>200.0</v>
      </c>
      <c r="AV4" s="51" t="s">
        <v>160</v>
      </c>
      <c r="AW4" s="52" t="s">
        <v>163</v>
      </c>
      <c r="AX4" s="51" t="s">
        <v>160</v>
      </c>
      <c r="AY4" s="52" t="s">
        <v>163</v>
      </c>
      <c r="AZ4" s="51" t="s">
        <v>160</v>
      </c>
      <c r="BA4" s="52" t="s">
        <v>163</v>
      </c>
      <c r="BB4" s="51" t="s">
        <v>82</v>
      </c>
      <c r="BC4" s="52">
        <v>6.0</v>
      </c>
      <c r="BD4" s="51" t="s">
        <v>160</v>
      </c>
      <c r="BE4" s="52" t="s">
        <v>163</v>
      </c>
      <c r="BF4" s="51" t="s">
        <v>160</v>
      </c>
      <c r="BG4" s="52" t="s">
        <v>163</v>
      </c>
      <c r="BH4" s="58" t="s">
        <v>82</v>
      </c>
      <c r="BI4" s="59">
        <v>6.0</v>
      </c>
      <c r="BJ4" s="51" t="s">
        <v>160</v>
      </c>
      <c r="BK4" s="52" t="s">
        <v>163</v>
      </c>
      <c r="BL4" s="51" t="s">
        <v>160</v>
      </c>
      <c r="BM4" s="52" t="s">
        <v>163</v>
      </c>
      <c r="BN4" s="51" t="s">
        <v>173</v>
      </c>
      <c r="BO4" s="52" t="s">
        <v>163</v>
      </c>
      <c r="BP4" s="51" t="s">
        <v>160</v>
      </c>
      <c r="BQ4" s="52" t="s">
        <v>163</v>
      </c>
    </row>
    <row r="5">
      <c r="A5" s="7" t="s">
        <v>155</v>
      </c>
      <c r="B5" s="69" t="s">
        <v>254</v>
      </c>
      <c r="C5" s="20" t="s">
        <v>146</v>
      </c>
      <c r="D5" s="20" t="s">
        <v>147</v>
      </c>
      <c r="E5" s="52"/>
      <c r="F5" s="50" t="s">
        <v>149</v>
      </c>
      <c r="G5" s="41">
        <v>4.0</v>
      </c>
      <c r="H5" s="41" t="s">
        <v>103</v>
      </c>
      <c r="I5" s="41">
        <v>10.0</v>
      </c>
      <c r="J5" s="50"/>
      <c r="K5" s="50"/>
      <c r="L5" s="51"/>
      <c r="M5" s="52"/>
      <c r="N5" s="51"/>
      <c r="O5" s="52"/>
      <c r="P5" s="51"/>
      <c r="Q5" s="52"/>
      <c r="R5" s="51"/>
      <c r="S5" s="52"/>
      <c r="T5" s="51"/>
      <c r="U5" s="52"/>
      <c r="V5" s="54"/>
      <c r="W5" s="52"/>
      <c r="X5" s="51"/>
      <c r="Y5" s="52"/>
      <c r="Z5" s="74"/>
      <c r="AA5" s="52"/>
      <c r="AB5" s="74"/>
      <c r="AC5" s="52"/>
      <c r="AD5" s="54"/>
      <c r="AE5" s="52"/>
      <c r="AF5" s="74"/>
      <c r="AG5" s="52"/>
      <c r="AH5" s="51"/>
      <c r="AI5" s="52"/>
      <c r="AJ5" s="74"/>
      <c r="AK5" s="52"/>
      <c r="AL5" s="52"/>
      <c r="AM5" s="52"/>
      <c r="AN5" s="52"/>
      <c r="AO5" s="52"/>
      <c r="AP5" s="51"/>
      <c r="AQ5" s="52"/>
      <c r="AR5" s="51"/>
      <c r="AS5" s="52"/>
      <c r="AT5" s="51"/>
      <c r="AU5" s="52"/>
      <c r="AV5" s="51"/>
      <c r="AW5" s="52"/>
      <c r="AX5" s="51"/>
      <c r="AY5" s="52"/>
      <c r="AZ5" s="51"/>
      <c r="BA5" s="52"/>
      <c r="BB5" s="51"/>
      <c r="BC5" s="52"/>
      <c r="BD5" s="51"/>
      <c r="BE5" s="52"/>
      <c r="BF5" s="51"/>
      <c r="BG5" s="52"/>
      <c r="BH5" s="51"/>
      <c r="BI5" s="52"/>
      <c r="BJ5" s="51"/>
      <c r="BK5" s="52"/>
      <c r="BL5" s="51"/>
      <c r="BM5" s="52"/>
      <c r="BN5" s="51"/>
      <c r="BO5" s="52"/>
      <c r="BP5" s="51"/>
      <c r="BQ5" s="52"/>
    </row>
    <row r="6">
      <c r="A6" s="7" t="s">
        <v>20</v>
      </c>
      <c r="B6" s="10" t="s">
        <v>273</v>
      </c>
      <c r="C6" s="20" t="s">
        <v>32</v>
      </c>
      <c r="D6" s="20" t="s">
        <v>58</v>
      </c>
      <c r="E6" s="36" t="s">
        <v>138</v>
      </c>
      <c r="F6" s="36" t="s">
        <v>93</v>
      </c>
      <c r="G6" s="41">
        <v>6.0</v>
      </c>
      <c r="H6" s="41" t="s">
        <v>103</v>
      </c>
      <c r="I6" s="41">
        <v>10.0</v>
      </c>
      <c r="J6" s="41">
        <f t="shared" ref="J6:J30" si="3">SUM(COUNTIF(L6:BQ6,"TBD"), COUNTIF(L6:BQ6,"replace this with a pod name*"))</f>
        <v>0</v>
      </c>
      <c r="K6" s="50">
        <f t="shared" ref="K6:K9" si="4">sum(M6:BQ6)</f>
        <v>151</v>
      </c>
      <c r="L6" s="51" t="s">
        <v>160</v>
      </c>
      <c r="M6" s="52">
        <v>12.0</v>
      </c>
      <c r="N6" s="51" t="s">
        <v>160</v>
      </c>
      <c r="O6" s="52" t="s">
        <v>163</v>
      </c>
      <c r="P6" s="51" t="s">
        <v>160</v>
      </c>
      <c r="Q6" s="52">
        <v>16.0</v>
      </c>
      <c r="R6" s="51" t="s">
        <v>160</v>
      </c>
      <c r="S6" s="52" t="s">
        <v>163</v>
      </c>
      <c r="T6" s="51" t="s">
        <v>160</v>
      </c>
      <c r="U6" s="52">
        <v>18.0</v>
      </c>
      <c r="V6" s="51" t="s">
        <v>160</v>
      </c>
      <c r="W6" s="52">
        <v>6.0</v>
      </c>
      <c r="X6" s="51" t="s">
        <v>160</v>
      </c>
      <c r="Y6" s="52" t="s">
        <v>163</v>
      </c>
      <c r="Z6" s="51" t="s">
        <v>160</v>
      </c>
      <c r="AA6" s="52" t="s">
        <v>163</v>
      </c>
      <c r="AB6" s="51" t="s">
        <v>160</v>
      </c>
      <c r="AC6" s="52" t="s">
        <v>163</v>
      </c>
      <c r="AD6" s="51" t="s">
        <v>160</v>
      </c>
      <c r="AE6" s="52" t="s">
        <v>163</v>
      </c>
      <c r="AF6" s="51" t="s">
        <v>160</v>
      </c>
      <c r="AG6" s="52" t="s">
        <v>163</v>
      </c>
      <c r="AH6" s="51" t="s">
        <v>106</v>
      </c>
      <c r="AI6" s="52" t="s">
        <v>163</v>
      </c>
      <c r="AJ6" s="51" t="s">
        <v>160</v>
      </c>
      <c r="AK6" s="52" t="s">
        <v>163</v>
      </c>
      <c r="AL6" s="51" t="s">
        <v>160</v>
      </c>
      <c r="AM6" s="52" t="s">
        <v>163</v>
      </c>
      <c r="AN6" s="51" t="s">
        <v>288</v>
      </c>
      <c r="AO6" s="52">
        <v>66.0</v>
      </c>
      <c r="AP6" s="57" t="s">
        <v>293</v>
      </c>
      <c r="AQ6" s="52">
        <v>6.0</v>
      </c>
      <c r="AR6" s="51" t="s">
        <v>160</v>
      </c>
      <c r="AS6" s="52" t="s">
        <v>163</v>
      </c>
      <c r="AT6" s="51" t="s">
        <v>160</v>
      </c>
      <c r="AU6" s="52" t="s">
        <v>163</v>
      </c>
      <c r="AV6" s="51" t="s">
        <v>160</v>
      </c>
      <c r="AW6" s="52" t="s">
        <v>163</v>
      </c>
      <c r="AX6" s="51" t="s">
        <v>160</v>
      </c>
      <c r="AY6" s="52" t="s">
        <v>163</v>
      </c>
      <c r="AZ6" s="51" t="s">
        <v>160</v>
      </c>
      <c r="BA6" s="52" t="s">
        <v>163</v>
      </c>
      <c r="BB6" s="51" t="s">
        <v>160</v>
      </c>
      <c r="BC6" s="52" t="s">
        <v>163</v>
      </c>
      <c r="BD6" s="51" t="s">
        <v>160</v>
      </c>
      <c r="BE6" s="52">
        <v>4.0</v>
      </c>
      <c r="BF6" s="51" t="s">
        <v>160</v>
      </c>
      <c r="BG6" s="52" t="s">
        <v>163</v>
      </c>
      <c r="BH6" s="58" t="s">
        <v>160</v>
      </c>
      <c r="BI6" s="59" t="s">
        <v>163</v>
      </c>
      <c r="BJ6" s="51" t="s">
        <v>160</v>
      </c>
      <c r="BK6" s="52" t="s">
        <v>163</v>
      </c>
      <c r="BL6" s="51" t="s">
        <v>70</v>
      </c>
      <c r="BM6" s="52">
        <v>23.0</v>
      </c>
      <c r="BN6" s="51" t="s">
        <v>173</v>
      </c>
      <c r="BO6" s="52" t="s">
        <v>163</v>
      </c>
      <c r="BP6" s="51" t="s">
        <v>160</v>
      </c>
      <c r="BQ6" s="52" t="s">
        <v>163</v>
      </c>
    </row>
    <row r="7">
      <c r="A7" s="7" t="s">
        <v>20</v>
      </c>
      <c r="B7" s="26" t="s">
        <v>182</v>
      </c>
      <c r="C7" s="52" t="s">
        <v>160</v>
      </c>
      <c r="D7" s="20" t="s">
        <v>186</v>
      </c>
      <c r="E7" s="50" t="s">
        <v>160</v>
      </c>
      <c r="F7" s="36" t="s">
        <v>187</v>
      </c>
      <c r="G7" s="41">
        <v>7.0</v>
      </c>
      <c r="H7" s="41"/>
      <c r="I7" s="41">
        <v>2.0</v>
      </c>
      <c r="J7" s="41">
        <f t="shared" si="3"/>
        <v>0</v>
      </c>
      <c r="K7" s="50">
        <f t="shared" si="4"/>
        <v>58</v>
      </c>
      <c r="L7" s="51" t="s">
        <v>160</v>
      </c>
      <c r="M7" s="52" t="s">
        <v>163</v>
      </c>
      <c r="N7" s="51" t="s">
        <v>160</v>
      </c>
      <c r="O7" s="52" t="s">
        <v>163</v>
      </c>
      <c r="P7" s="51" t="s">
        <v>160</v>
      </c>
      <c r="Q7" s="52">
        <v>2.0</v>
      </c>
      <c r="R7" s="51" t="s">
        <v>160</v>
      </c>
      <c r="S7" s="52" t="s">
        <v>163</v>
      </c>
      <c r="T7" s="51" t="s">
        <v>160</v>
      </c>
      <c r="U7" s="52" t="s">
        <v>163</v>
      </c>
      <c r="V7" s="51" t="s">
        <v>160</v>
      </c>
      <c r="W7" s="52">
        <v>2.0</v>
      </c>
      <c r="X7" s="51" t="s">
        <v>160</v>
      </c>
      <c r="Y7" s="52" t="s">
        <v>163</v>
      </c>
      <c r="Z7" s="51" t="s">
        <v>160</v>
      </c>
      <c r="AA7" s="52" t="s">
        <v>163</v>
      </c>
      <c r="AB7" s="51" t="s">
        <v>160</v>
      </c>
      <c r="AC7" s="52" t="s">
        <v>163</v>
      </c>
      <c r="AD7" s="51" t="s">
        <v>307</v>
      </c>
      <c r="AE7" s="52">
        <v>6.0</v>
      </c>
      <c r="AF7" s="51" t="s">
        <v>160</v>
      </c>
      <c r="AG7" s="52">
        <v>17.0</v>
      </c>
      <c r="AH7" s="51" t="s">
        <v>173</v>
      </c>
      <c r="AI7" s="52" t="s">
        <v>163</v>
      </c>
      <c r="AJ7" s="51" t="s">
        <v>160</v>
      </c>
      <c r="AK7" s="52" t="s">
        <v>163</v>
      </c>
      <c r="AL7" s="51" t="s">
        <v>160</v>
      </c>
      <c r="AM7" s="52" t="s">
        <v>163</v>
      </c>
      <c r="AN7" s="51" t="s">
        <v>89</v>
      </c>
      <c r="AO7" s="52">
        <v>2.0</v>
      </c>
      <c r="AP7" s="51" t="s">
        <v>160</v>
      </c>
      <c r="AQ7" s="52" t="s">
        <v>163</v>
      </c>
      <c r="AR7" s="51" t="s">
        <v>160</v>
      </c>
      <c r="AS7" s="52" t="s">
        <v>163</v>
      </c>
      <c r="AT7" s="51" t="s">
        <v>160</v>
      </c>
      <c r="AU7" s="52" t="s">
        <v>163</v>
      </c>
      <c r="AV7" s="51" t="s">
        <v>160</v>
      </c>
      <c r="AW7" s="52" t="s">
        <v>163</v>
      </c>
      <c r="AX7" s="51" t="s">
        <v>70</v>
      </c>
      <c r="AY7" s="52">
        <v>6.0</v>
      </c>
      <c r="AZ7" s="51" t="s">
        <v>160</v>
      </c>
      <c r="BA7" s="52" t="s">
        <v>163</v>
      </c>
      <c r="BB7" s="51" t="s">
        <v>160</v>
      </c>
      <c r="BC7" s="52" t="s">
        <v>163</v>
      </c>
      <c r="BD7" s="51" t="s">
        <v>160</v>
      </c>
      <c r="BE7" s="52" t="s">
        <v>163</v>
      </c>
      <c r="BF7" s="51" t="s">
        <v>160</v>
      </c>
      <c r="BG7" s="52" t="s">
        <v>163</v>
      </c>
      <c r="BH7" s="51" t="s">
        <v>160</v>
      </c>
      <c r="BI7" s="59" t="s">
        <v>163</v>
      </c>
      <c r="BJ7" s="51" t="s">
        <v>160</v>
      </c>
      <c r="BK7" s="52" t="s">
        <v>163</v>
      </c>
      <c r="BL7" s="51" t="s">
        <v>160</v>
      </c>
      <c r="BM7" s="52" t="s">
        <v>163</v>
      </c>
      <c r="BN7" s="51" t="s">
        <v>160</v>
      </c>
      <c r="BO7" s="52">
        <v>15.0</v>
      </c>
      <c r="BP7" s="51" t="s">
        <v>160</v>
      </c>
      <c r="BQ7" s="52">
        <v>8.0</v>
      </c>
    </row>
    <row r="8">
      <c r="A8" s="7" t="s">
        <v>20</v>
      </c>
      <c r="B8" s="10" t="s">
        <v>190</v>
      </c>
      <c r="C8" s="20" t="s">
        <v>126</v>
      </c>
      <c r="D8" s="20" t="s">
        <v>136</v>
      </c>
      <c r="E8" s="36" t="s">
        <v>203</v>
      </c>
      <c r="F8" s="36" t="s">
        <v>169</v>
      </c>
      <c r="G8" s="41">
        <v>8.0</v>
      </c>
      <c r="H8" s="41"/>
      <c r="I8" s="41">
        <v>1.0</v>
      </c>
      <c r="J8" s="41">
        <f t="shared" si="3"/>
        <v>1</v>
      </c>
      <c r="K8" s="50">
        <f t="shared" si="4"/>
        <v>144</v>
      </c>
      <c r="L8" s="51" t="s">
        <v>160</v>
      </c>
      <c r="M8" s="52" t="s">
        <v>163</v>
      </c>
      <c r="N8" s="51" t="s">
        <v>72</v>
      </c>
      <c r="O8" s="52">
        <v>10.0</v>
      </c>
      <c r="P8" s="51" t="s">
        <v>160</v>
      </c>
      <c r="Q8" s="52" t="s">
        <v>163</v>
      </c>
      <c r="R8" s="54" t="s">
        <v>326</v>
      </c>
      <c r="S8" s="52" t="s">
        <v>163</v>
      </c>
      <c r="T8" s="51" t="s">
        <v>160</v>
      </c>
      <c r="U8" s="52" t="s">
        <v>163</v>
      </c>
      <c r="V8" s="51" t="s">
        <v>72</v>
      </c>
      <c r="W8" s="52">
        <v>8.0</v>
      </c>
      <c r="X8" s="51" t="s">
        <v>72</v>
      </c>
      <c r="Y8" s="52">
        <v>4.0</v>
      </c>
      <c r="Z8" s="51" t="s">
        <v>160</v>
      </c>
      <c r="AA8" s="52" t="s">
        <v>163</v>
      </c>
      <c r="AB8" s="51" t="s">
        <v>160</v>
      </c>
      <c r="AC8" s="52" t="s">
        <v>163</v>
      </c>
      <c r="AD8" s="51" t="s">
        <v>160</v>
      </c>
      <c r="AE8" s="52" t="s">
        <v>163</v>
      </c>
      <c r="AF8" s="51" t="s">
        <v>160</v>
      </c>
      <c r="AG8" s="52">
        <v>2.0</v>
      </c>
      <c r="AH8" s="51" t="s">
        <v>160</v>
      </c>
      <c r="AI8" s="52" t="s">
        <v>163</v>
      </c>
      <c r="AJ8" s="51" t="s">
        <v>160</v>
      </c>
      <c r="AK8" s="52" t="s">
        <v>163</v>
      </c>
      <c r="AL8" s="51" t="s">
        <v>160</v>
      </c>
      <c r="AM8" s="52" t="s">
        <v>163</v>
      </c>
      <c r="AN8" s="51" t="s">
        <v>160</v>
      </c>
      <c r="AO8" s="52">
        <v>2.0</v>
      </c>
      <c r="AP8" s="57" t="s">
        <v>331</v>
      </c>
      <c r="AQ8" s="52">
        <v>20.0</v>
      </c>
      <c r="AR8" s="76" t="s">
        <v>51</v>
      </c>
      <c r="AS8" s="52">
        <v>6.0</v>
      </c>
      <c r="AT8" s="57" t="s">
        <v>335</v>
      </c>
      <c r="AU8" s="52">
        <v>20.0</v>
      </c>
      <c r="AV8" s="51" t="s">
        <v>160</v>
      </c>
      <c r="AW8" s="52">
        <v>9.0</v>
      </c>
      <c r="AX8" s="51" t="s">
        <v>160</v>
      </c>
      <c r="AY8" s="52" t="s">
        <v>163</v>
      </c>
      <c r="AZ8" s="51" t="s">
        <v>160</v>
      </c>
      <c r="BA8" s="52" t="s">
        <v>163</v>
      </c>
      <c r="BB8" s="51" t="s">
        <v>160</v>
      </c>
      <c r="BC8" s="52">
        <v>9.0</v>
      </c>
      <c r="BD8" s="51" t="s">
        <v>160</v>
      </c>
      <c r="BE8" s="52" t="s">
        <v>163</v>
      </c>
      <c r="BF8" s="51" t="s">
        <v>72</v>
      </c>
      <c r="BG8" s="52">
        <v>16.0</v>
      </c>
      <c r="BH8" s="51" t="s">
        <v>160</v>
      </c>
      <c r="BI8" s="59" t="s">
        <v>163</v>
      </c>
      <c r="BJ8" s="51" t="s">
        <v>160</v>
      </c>
      <c r="BK8" s="52" t="s">
        <v>163</v>
      </c>
      <c r="BL8" s="51" t="s">
        <v>160</v>
      </c>
      <c r="BM8" s="52" t="s">
        <v>163</v>
      </c>
      <c r="BN8" s="51" t="s">
        <v>160</v>
      </c>
      <c r="BO8" s="52">
        <v>6.0</v>
      </c>
      <c r="BP8" s="51" t="s">
        <v>335</v>
      </c>
      <c r="BQ8" s="52">
        <v>32.0</v>
      </c>
    </row>
    <row r="9">
      <c r="A9" s="7" t="s">
        <v>20</v>
      </c>
      <c r="B9" s="10" t="s">
        <v>206</v>
      </c>
      <c r="C9" s="20" t="s">
        <v>167</v>
      </c>
      <c r="D9" s="20" t="s">
        <v>201</v>
      </c>
      <c r="E9" s="36" t="s">
        <v>81</v>
      </c>
      <c r="F9" s="36" t="s">
        <v>212</v>
      </c>
      <c r="G9" s="41">
        <v>9.0</v>
      </c>
      <c r="H9" s="41"/>
      <c r="I9" s="41">
        <v>1.0</v>
      </c>
      <c r="J9" s="41">
        <f t="shared" si="3"/>
        <v>0</v>
      </c>
      <c r="K9" s="50">
        <f t="shared" si="4"/>
        <v>68</v>
      </c>
      <c r="L9" s="51" t="s">
        <v>160</v>
      </c>
      <c r="M9" s="52" t="s">
        <v>163</v>
      </c>
      <c r="N9" s="51" t="s">
        <v>160</v>
      </c>
      <c r="O9" s="52" t="s">
        <v>163</v>
      </c>
      <c r="P9" s="51" t="s">
        <v>160</v>
      </c>
      <c r="Q9" s="52" t="s">
        <v>163</v>
      </c>
      <c r="R9" s="51" t="s">
        <v>160</v>
      </c>
      <c r="S9" s="52" t="s">
        <v>163</v>
      </c>
      <c r="T9" s="51" t="s">
        <v>160</v>
      </c>
      <c r="U9" s="52" t="s">
        <v>163</v>
      </c>
      <c r="V9" s="51" t="s">
        <v>160</v>
      </c>
      <c r="W9" s="52" t="s">
        <v>163</v>
      </c>
      <c r="X9" s="51" t="s">
        <v>160</v>
      </c>
      <c r="Y9" s="52">
        <v>16.0</v>
      </c>
      <c r="Z9" s="51" t="s">
        <v>160</v>
      </c>
      <c r="AA9" s="52" t="s">
        <v>163</v>
      </c>
      <c r="AB9" s="51" t="s">
        <v>160</v>
      </c>
      <c r="AC9" s="52" t="s">
        <v>163</v>
      </c>
      <c r="AD9" s="51" t="s">
        <v>160</v>
      </c>
      <c r="AE9" s="52" t="s">
        <v>163</v>
      </c>
      <c r="AF9" s="51" t="s">
        <v>160</v>
      </c>
      <c r="AG9" s="52" t="s">
        <v>163</v>
      </c>
      <c r="AH9" s="51" t="s">
        <v>173</v>
      </c>
      <c r="AI9" s="52" t="s">
        <v>163</v>
      </c>
      <c r="AJ9" s="51" t="s">
        <v>160</v>
      </c>
      <c r="AK9" s="52" t="s">
        <v>163</v>
      </c>
      <c r="AL9" s="51" t="s">
        <v>160</v>
      </c>
      <c r="AM9" s="52" t="s">
        <v>163</v>
      </c>
      <c r="AN9" s="51" t="s">
        <v>160</v>
      </c>
      <c r="AO9" s="52" t="s">
        <v>163</v>
      </c>
      <c r="AP9" s="51" t="s">
        <v>51</v>
      </c>
      <c r="AQ9" s="52">
        <v>6.0</v>
      </c>
      <c r="AR9" s="51" t="s">
        <v>160</v>
      </c>
      <c r="AS9" s="52" t="s">
        <v>163</v>
      </c>
      <c r="AT9" s="51" t="s">
        <v>160</v>
      </c>
      <c r="AU9" s="52">
        <v>20.0</v>
      </c>
      <c r="AV9" s="51" t="s">
        <v>160</v>
      </c>
      <c r="AW9" s="52" t="s">
        <v>163</v>
      </c>
      <c r="AX9" s="51" t="s">
        <v>160</v>
      </c>
      <c r="AY9" s="52" t="s">
        <v>163</v>
      </c>
      <c r="AZ9" s="51" t="s">
        <v>160</v>
      </c>
      <c r="BA9" s="52" t="s">
        <v>163</v>
      </c>
      <c r="BB9" s="51" t="s">
        <v>160</v>
      </c>
      <c r="BC9" s="52" t="s">
        <v>163</v>
      </c>
      <c r="BD9" s="51" t="s">
        <v>160</v>
      </c>
      <c r="BE9" s="52" t="s">
        <v>163</v>
      </c>
      <c r="BF9" s="51" t="s">
        <v>160</v>
      </c>
      <c r="BG9" s="52" t="s">
        <v>163</v>
      </c>
      <c r="BH9" s="58" t="s">
        <v>109</v>
      </c>
      <c r="BI9" s="59">
        <v>3.0</v>
      </c>
      <c r="BJ9" s="51" t="s">
        <v>160</v>
      </c>
      <c r="BK9" s="52" t="s">
        <v>163</v>
      </c>
      <c r="BL9" s="51" t="s">
        <v>51</v>
      </c>
      <c r="BM9" s="52">
        <v>8.0</v>
      </c>
      <c r="BN9" s="51" t="s">
        <v>352</v>
      </c>
      <c r="BO9" s="52">
        <v>15.0</v>
      </c>
      <c r="BP9" s="51" t="s">
        <v>160</v>
      </c>
      <c r="BQ9" s="52" t="s">
        <v>163</v>
      </c>
    </row>
    <row r="10">
      <c r="A10" s="7" t="s">
        <v>20</v>
      </c>
      <c r="B10" s="55" t="s">
        <v>353</v>
      </c>
      <c r="C10" s="20" t="s">
        <v>359</v>
      </c>
      <c r="D10" s="20" t="s">
        <v>363</v>
      </c>
      <c r="E10" s="36" t="s">
        <v>231</v>
      </c>
      <c r="F10" s="36" t="s">
        <v>123</v>
      </c>
      <c r="G10" s="41">
        <v>11.0</v>
      </c>
      <c r="H10" s="41" t="s">
        <v>103</v>
      </c>
      <c r="I10" s="41">
        <v>10.0</v>
      </c>
      <c r="J10" s="41">
        <f t="shared" si="3"/>
        <v>0</v>
      </c>
      <c r="K10" s="50">
        <f>sum(M10:BQ10)+sum(M18:BQ18)</f>
        <v>102</v>
      </c>
      <c r="L10" s="51" t="s">
        <v>97</v>
      </c>
      <c r="M10" s="52">
        <v>6.0</v>
      </c>
      <c r="N10" s="51" t="s">
        <v>160</v>
      </c>
      <c r="O10" s="52" t="s">
        <v>163</v>
      </c>
      <c r="P10" s="51" t="s">
        <v>160</v>
      </c>
      <c r="Q10" s="52" t="s">
        <v>163</v>
      </c>
      <c r="R10" s="51" t="s">
        <v>160</v>
      </c>
      <c r="S10" s="52" t="s">
        <v>163</v>
      </c>
      <c r="T10" s="51" t="s">
        <v>160</v>
      </c>
      <c r="U10" s="52" t="s">
        <v>163</v>
      </c>
      <c r="V10" s="51" t="s">
        <v>160</v>
      </c>
      <c r="W10" s="52" t="s">
        <v>163</v>
      </c>
      <c r="X10" s="51" t="s">
        <v>160</v>
      </c>
      <c r="Y10" s="52" t="s">
        <v>163</v>
      </c>
      <c r="Z10" s="54"/>
      <c r="AA10" s="52">
        <v>4.0</v>
      </c>
      <c r="AB10" s="51" t="s">
        <v>160</v>
      </c>
      <c r="AC10" s="52" t="s">
        <v>163</v>
      </c>
      <c r="AD10" s="51" t="s">
        <v>160</v>
      </c>
      <c r="AE10" s="52" t="s">
        <v>163</v>
      </c>
      <c r="AF10" s="51" t="s">
        <v>160</v>
      </c>
      <c r="AG10" s="52" t="s">
        <v>163</v>
      </c>
      <c r="AH10" s="51" t="s">
        <v>160</v>
      </c>
      <c r="AI10" s="52" t="s">
        <v>163</v>
      </c>
      <c r="AJ10" s="51" t="s">
        <v>160</v>
      </c>
      <c r="AK10" s="52" t="s">
        <v>163</v>
      </c>
      <c r="AL10" s="51" t="s">
        <v>160</v>
      </c>
      <c r="AM10" s="52" t="s">
        <v>163</v>
      </c>
      <c r="AN10" s="51" t="s">
        <v>160</v>
      </c>
      <c r="AO10" s="52" t="s">
        <v>163</v>
      </c>
      <c r="AP10" s="51" t="s">
        <v>160</v>
      </c>
      <c r="AQ10" s="52">
        <v>2.0</v>
      </c>
      <c r="AR10" s="51" t="s">
        <v>160</v>
      </c>
      <c r="AS10" s="52" t="s">
        <v>163</v>
      </c>
      <c r="AT10" s="51" t="s">
        <v>160</v>
      </c>
      <c r="AU10" s="52" t="s">
        <v>163</v>
      </c>
      <c r="AV10" s="51" t="s">
        <v>160</v>
      </c>
      <c r="AW10" s="52" t="s">
        <v>163</v>
      </c>
      <c r="AX10" s="51" t="s">
        <v>160</v>
      </c>
      <c r="AY10" s="52" t="s">
        <v>163</v>
      </c>
      <c r="AZ10" s="51" t="s">
        <v>160</v>
      </c>
      <c r="BA10" s="52" t="s">
        <v>163</v>
      </c>
      <c r="BB10" s="51" t="s">
        <v>160</v>
      </c>
      <c r="BC10" s="52" t="s">
        <v>163</v>
      </c>
      <c r="BD10" s="54" t="s">
        <v>106</v>
      </c>
      <c r="BE10" s="52">
        <v>20.0</v>
      </c>
      <c r="BF10" s="51" t="s">
        <v>160</v>
      </c>
      <c r="BG10" s="52" t="s">
        <v>163</v>
      </c>
      <c r="BH10" s="51" t="s">
        <v>160</v>
      </c>
      <c r="BI10" s="59" t="s">
        <v>163</v>
      </c>
      <c r="BJ10" s="51" t="s">
        <v>160</v>
      </c>
      <c r="BK10" s="52" t="s">
        <v>163</v>
      </c>
      <c r="BL10" s="51" t="s">
        <v>97</v>
      </c>
      <c r="BM10" s="52">
        <v>8.0</v>
      </c>
      <c r="BN10" s="51" t="s">
        <v>173</v>
      </c>
      <c r="BO10" s="52" t="s">
        <v>163</v>
      </c>
      <c r="BP10" s="51" t="s">
        <v>160</v>
      </c>
      <c r="BQ10" s="52" t="s">
        <v>163</v>
      </c>
    </row>
    <row r="11">
      <c r="A11" s="7" t="s">
        <v>20</v>
      </c>
      <c r="B11" s="26" t="s">
        <v>235</v>
      </c>
      <c r="C11" s="20" t="s">
        <v>32</v>
      </c>
      <c r="D11" s="20" t="s">
        <v>58</v>
      </c>
      <c r="E11" s="50"/>
      <c r="F11" s="36" t="s">
        <v>93</v>
      </c>
      <c r="G11" s="41">
        <v>12.0</v>
      </c>
      <c r="H11" s="41"/>
      <c r="I11" s="41">
        <v>2.0</v>
      </c>
      <c r="J11" s="41">
        <f t="shared" si="3"/>
        <v>0</v>
      </c>
      <c r="K11" s="50">
        <f t="shared" ref="K11:K12" si="5">sum(M11:BQ11)</f>
        <v>83</v>
      </c>
      <c r="L11" s="51" t="s">
        <v>160</v>
      </c>
      <c r="M11" s="52" t="s">
        <v>163</v>
      </c>
      <c r="N11" s="51" t="s">
        <v>160</v>
      </c>
      <c r="O11" s="52" t="s">
        <v>163</v>
      </c>
      <c r="P11" s="51" t="s">
        <v>70</v>
      </c>
      <c r="Q11" s="52">
        <v>1.0</v>
      </c>
      <c r="R11" s="51" t="s">
        <v>160</v>
      </c>
      <c r="S11" s="52" t="s">
        <v>163</v>
      </c>
      <c r="T11" s="51" t="s">
        <v>160</v>
      </c>
      <c r="U11" s="52" t="s">
        <v>163</v>
      </c>
      <c r="V11" s="51" t="s">
        <v>160</v>
      </c>
      <c r="W11" s="52">
        <v>5.0</v>
      </c>
      <c r="X11" s="51" t="s">
        <v>160</v>
      </c>
      <c r="Y11" s="52" t="s">
        <v>163</v>
      </c>
      <c r="Z11" s="51" t="s">
        <v>160</v>
      </c>
      <c r="AA11" s="52" t="s">
        <v>163</v>
      </c>
      <c r="AB11" s="51" t="s">
        <v>160</v>
      </c>
      <c r="AC11" s="52" t="s">
        <v>163</v>
      </c>
      <c r="AD11" s="51" t="s">
        <v>160</v>
      </c>
      <c r="AE11" s="52" t="s">
        <v>163</v>
      </c>
      <c r="AF11" s="51" t="s">
        <v>42</v>
      </c>
      <c r="AG11" s="52">
        <v>4.0</v>
      </c>
      <c r="AH11" s="51" t="s">
        <v>173</v>
      </c>
      <c r="AI11" s="52" t="s">
        <v>163</v>
      </c>
      <c r="AJ11" s="51" t="s">
        <v>160</v>
      </c>
      <c r="AK11" s="52" t="s">
        <v>163</v>
      </c>
      <c r="AL11" s="51" t="s">
        <v>160</v>
      </c>
      <c r="AM11" s="52" t="s">
        <v>163</v>
      </c>
      <c r="AN11" s="51" t="s">
        <v>160</v>
      </c>
      <c r="AO11" s="52">
        <v>16.0</v>
      </c>
      <c r="AP11" s="51" t="s">
        <v>160</v>
      </c>
      <c r="AQ11" s="52" t="s">
        <v>163</v>
      </c>
      <c r="AR11" s="51" t="s">
        <v>160</v>
      </c>
      <c r="AS11" s="52">
        <v>6.0</v>
      </c>
      <c r="AT11" s="51" t="s">
        <v>160</v>
      </c>
      <c r="AU11" s="52" t="s">
        <v>163</v>
      </c>
      <c r="AV11" s="51" t="s">
        <v>160</v>
      </c>
      <c r="AW11" s="52" t="s">
        <v>163</v>
      </c>
      <c r="AX11" s="51" t="s">
        <v>160</v>
      </c>
      <c r="AY11" s="52" t="s">
        <v>163</v>
      </c>
      <c r="AZ11" s="51" t="s">
        <v>160</v>
      </c>
      <c r="BA11" s="52" t="s">
        <v>163</v>
      </c>
      <c r="BB11" s="51" t="s">
        <v>160</v>
      </c>
      <c r="BC11" s="52" t="s">
        <v>163</v>
      </c>
      <c r="BD11" s="51" t="s">
        <v>160</v>
      </c>
      <c r="BE11" s="52" t="s">
        <v>163</v>
      </c>
      <c r="BF11" s="51" t="s">
        <v>160</v>
      </c>
      <c r="BG11" s="52">
        <v>4.0</v>
      </c>
      <c r="BH11" s="58" t="s">
        <v>160</v>
      </c>
      <c r="BI11" s="59" t="s">
        <v>163</v>
      </c>
      <c r="BJ11" s="51" t="s">
        <v>160</v>
      </c>
      <c r="BK11" s="52" t="s">
        <v>163</v>
      </c>
      <c r="BL11" s="51" t="s">
        <v>160</v>
      </c>
      <c r="BM11" s="52">
        <v>7.0</v>
      </c>
      <c r="BN11" s="51" t="s">
        <v>173</v>
      </c>
      <c r="BO11" s="52" t="s">
        <v>163</v>
      </c>
      <c r="BP11" s="51" t="s">
        <v>70</v>
      </c>
      <c r="BQ11" s="52">
        <v>40.0</v>
      </c>
    </row>
    <row r="12">
      <c r="A12" s="7" t="s">
        <v>20</v>
      </c>
      <c r="B12" s="10" t="s">
        <v>404</v>
      </c>
      <c r="C12" s="20" t="s">
        <v>116</v>
      </c>
      <c r="D12" s="20" t="s">
        <v>248</v>
      </c>
      <c r="E12" s="20" t="s">
        <v>119</v>
      </c>
      <c r="F12" s="50" t="s">
        <v>149</v>
      </c>
      <c r="G12" s="41">
        <v>13.0</v>
      </c>
      <c r="H12" s="41"/>
      <c r="I12" s="41">
        <v>2.0</v>
      </c>
      <c r="J12" s="41">
        <f t="shared" si="3"/>
        <v>0</v>
      </c>
      <c r="K12" s="50">
        <f t="shared" si="5"/>
        <v>101</v>
      </c>
      <c r="L12" s="51" t="s">
        <v>160</v>
      </c>
      <c r="M12" s="52" t="s">
        <v>163</v>
      </c>
      <c r="N12" s="51" t="s">
        <v>160</v>
      </c>
      <c r="O12" s="52">
        <v>2.0</v>
      </c>
      <c r="P12" s="51" t="s">
        <v>160</v>
      </c>
      <c r="Q12" s="52">
        <v>2.0</v>
      </c>
      <c r="R12" s="51" t="s">
        <v>160</v>
      </c>
      <c r="S12" s="52">
        <v>2.0</v>
      </c>
      <c r="T12" s="51" t="s">
        <v>160</v>
      </c>
      <c r="U12" s="52" t="s">
        <v>163</v>
      </c>
      <c r="V12" s="51" t="s">
        <v>109</v>
      </c>
      <c r="W12" s="52">
        <v>15.0</v>
      </c>
      <c r="X12" s="51" t="s">
        <v>160</v>
      </c>
      <c r="Y12" s="52">
        <v>4.0</v>
      </c>
      <c r="Z12" s="51" t="s">
        <v>160</v>
      </c>
      <c r="AA12" s="52">
        <v>2.0</v>
      </c>
      <c r="AB12" s="51" t="s">
        <v>160</v>
      </c>
      <c r="AC12" s="52" t="s">
        <v>163</v>
      </c>
      <c r="AD12" s="51" t="s">
        <v>160</v>
      </c>
      <c r="AE12" s="52" t="s">
        <v>163</v>
      </c>
      <c r="AF12" s="51" t="s">
        <v>160</v>
      </c>
      <c r="AG12" s="52">
        <v>4.0</v>
      </c>
      <c r="AH12" s="51" t="s">
        <v>173</v>
      </c>
      <c r="AI12" s="52" t="s">
        <v>163</v>
      </c>
      <c r="AJ12" s="51" t="s">
        <v>160</v>
      </c>
      <c r="AK12" s="52">
        <v>2.0</v>
      </c>
      <c r="AL12" s="51" t="s">
        <v>160</v>
      </c>
      <c r="AM12" s="52" t="s">
        <v>163</v>
      </c>
      <c r="AN12" s="51" t="s">
        <v>160</v>
      </c>
      <c r="AO12" s="52">
        <v>2.0</v>
      </c>
      <c r="AP12" s="51" t="s">
        <v>160</v>
      </c>
      <c r="AQ12" s="52" t="s">
        <v>163</v>
      </c>
      <c r="AR12" s="51" t="s">
        <v>160</v>
      </c>
      <c r="AS12" s="52">
        <v>2.0</v>
      </c>
      <c r="AT12" s="51" t="s">
        <v>160</v>
      </c>
      <c r="AU12" s="52">
        <v>8.0</v>
      </c>
      <c r="AV12" s="51" t="s">
        <v>160</v>
      </c>
      <c r="AW12" s="52">
        <v>6.0</v>
      </c>
      <c r="AX12" s="51" t="s">
        <v>160</v>
      </c>
      <c r="AY12" s="52">
        <v>2.0</v>
      </c>
      <c r="AZ12" s="51" t="s">
        <v>160</v>
      </c>
      <c r="BA12" s="52">
        <v>4.0</v>
      </c>
      <c r="BB12" s="51" t="s">
        <v>160</v>
      </c>
      <c r="BC12" s="52">
        <v>12.0</v>
      </c>
      <c r="BD12" s="51" t="s">
        <v>160</v>
      </c>
      <c r="BE12" s="52">
        <v>2.0</v>
      </c>
      <c r="BF12" s="51" t="s">
        <v>160</v>
      </c>
      <c r="BG12" s="52">
        <v>6.0</v>
      </c>
      <c r="BH12" s="58" t="s">
        <v>160</v>
      </c>
      <c r="BI12" s="59">
        <v>6.0</v>
      </c>
      <c r="BJ12" s="51" t="s">
        <v>160</v>
      </c>
      <c r="BK12" s="52">
        <v>2.0</v>
      </c>
      <c r="BL12" s="51" t="s">
        <v>49</v>
      </c>
      <c r="BM12" s="52">
        <v>3.0</v>
      </c>
      <c r="BN12" s="51" t="s">
        <v>173</v>
      </c>
      <c r="BO12" s="52">
        <v>9.0</v>
      </c>
      <c r="BP12" s="51" t="s">
        <v>160</v>
      </c>
      <c r="BQ12" s="52">
        <v>4.0</v>
      </c>
    </row>
    <row r="13">
      <c r="A13" s="7" t="s">
        <v>20</v>
      </c>
      <c r="B13" s="68" t="s">
        <v>251</v>
      </c>
      <c r="C13" s="20" t="s">
        <v>87</v>
      </c>
      <c r="D13" s="20" t="s">
        <v>120</v>
      </c>
      <c r="E13" s="36" t="s">
        <v>119</v>
      </c>
      <c r="F13" s="36" t="s">
        <v>123</v>
      </c>
      <c r="G13" s="41">
        <v>14.0</v>
      </c>
      <c r="H13" s="41"/>
      <c r="I13" s="41">
        <v>3.0</v>
      </c>
      <c r="J13" s="41">
        <f t="shared" si="3"/>
        <v>0</v>
      </c>
      <c r="K13" s="50">
        <f>sum(M13:BQ13)+sum(M20:BQ20)</f>
        <v>68</v>
      </c>
      <c r="L13" s="51" t="s">
        <v>160</v>
      </c>
      <c r="M13" s="52" t="s">
        <v>163</v>
      </c>
      <c r="N13" s="54" t="s">
        <v>445</v>
      </c>
      <c r="O13" s="52">
        <v>32.0</v>
      </c>
      <c r="P13" s="51" t="s">
        <v>160</v>
      </c>
      <c r="Q13" s="52" t="s">
        <v>163</v>
      </c>
      <c r="R13" s="96" t="s">
        <v>160</v>
      </c>
      <c r="S13" s="52" t="s">
        <v>163</v>
      </c>
      <c r="T13" s="51" t="s">
        <v>160</v>
      </c>
      <c r="U13" s="52" t="s">
        <v>163</v>
      </c>
      <c r="V13" s="51" t="s">
        <v>160</v>
      </c>
      <c r="W13" s="52" t="s">
        <v>163</v>
      </c>
      <c r="X13" s="51" t="s">
        <v>160</v>
      </c>
      <c r="Y13" s="52" t="s">
        <v>163</v>
      </c>
      <c r="Z13" s="51" t="s">
        <v>160</v>
      </c>
      <c r="AA13" s="52" t="s">
        <v>163</v>
      </c>
      <c r="AB13" s="51" t="s">
        <v>160</v>
      </c>
      <c r="AC13" s="52" t="s">
        <v>163</v>
      </c>
      <c r="AD13" s="51" t="s">
        <v>160</v>
      </c>
      <c r="AE13" s="52" t="s">
        <v>163</v>
      </c>
      <c r="AF13" s="51" t="s">
        <v>160</v>
      </c>
      <c r="AG13" s="52" t="s">
        <v>163</v>
      </c>
      <c r="AH13" s="51" t="s">
        <v>173</v>
      </c>
      <c r="AI13" s="52" t="s">
        <v>163</v>
      </c>
      <c r="AJ13" s="51" t="s">
        <v>160</v>
      </c>
      <c r="AK13" s="52" t="s">
        <v>163</v>
      </c>
      <c r="AL13" s="51" t="s">
        <v>160</v>
      </c>
      <c r="AM13" s="52" t="s">
        <v>163</v>
      </c>
      <c r="AN13" s="51" t="s">
        <v>160</v>
      </c>
      <c r="AO13" s="52" t="s">
        <v>163</v>
      </c>
      <c r="AP13" s="51" t="s">
        <v>40</v>
      </c>
      <c r="AQ13" s="52">
        <v>6.0</v>
      </c>
      <c r="AR13" s="51" t="s">
        <v>160</v>
      </c>
      <c r="AS13" s="52" t="s">
        <v>163</v>
      </c>
      <c r="AT13" s="51" t="s">
        <v>160</v>
      </c>
      <c r="AU13" s="52" t="s">
        <v>163</v>
      </c>
      <c r="AV13" s="51" t="s">
        <v>160</v>
      </c>
      <c r="AW13" s="52" t="s">
        <v>163</v>
      </c>
      <c r="AX13" s="51" t="s">
        <v>160</v>
      </c>
      <c r="AY13" s="52" t="s">
        <v>163</v>
      </c>
      <c r="AZ13" s="51" t="s">
        <v>160</v>
      </c>
      <c r="BA13" s="52">
        <v>6.0</v>
      </c>
      <c r="BB13" s="51" t="s">
        <v>160</v>
      </c>
      <c r="BC13" s="52" t="s">
        <v>163</v>
      </c>
      <c r="BD13" s="51" t="s">
        <v>160</v>
      </c>
      <c r="BE13" s="52" t="s">
        <v>163</v>
      </c>
      <c r="BF13" s="51" t="s">
        <v>160</v>
      </c>
      <c r="BG13" s="52" t="s">
        <v>163</v>
      </c>
      <c r="BH13" s="51" t="s">
        <v>160</v>
      </c>
      <c r="BI13" s="59" t="s">
        <v>163</v>
      </c>
      <c r="BJ13" s="51" t="s">
        <v>160</v>
      </c>
      <c r="BK13" s="52" t="s">
        <v>163</v>
      </c>
      <c r="BL13" s="51" t="s">
        <v>160</v>
      </c>
      <c r="BM13" s="52" t="s">
        <v>163</v>
      </c>
      <c r="BN13" s="51" t="s">
        <v>173</v>
      </c>
      <c r="BO13" s="52" t="s">
        <v>163</v>
      </c>
      <c r="BP13" s="51" t="s">
        <v>160</v>
      </c>
      <c r="BQ13" s="52" t="s">
        <v>163</v>
      </c>
    </row>
    <row r="14">
      <c r="A14" s="7" t="s">
        <v>20</v>
      </c>
      <c r="B14" s="10" t="s">
        <v>450</v>
      </c>
      <c r="C14" s="20" t="s">
        <v>126</v>
      </c>
      <c r="D14" s="20" t="s">
        <v>136</v>
      </c>
      <c r="E14" s="36" t="s">
        <v>203</v>
      </c>
      <c r="F14" s="50" t="s">
        <v>220</v>
      </c>
      <c r="G14" s="41">
        <v>15.0</v>
      </c>
      <c r="H14" s="41"/>
      <c r="I14" s="41">
        <v>3.0</v>
      </c>
      <c r="J14" s="41">
        <f t="shared" si="3"/>
        <v>0</v>
      </c>
      <c r="K14" s="50">
        <f t="shared" ref="K14:K30" si="6">sum(M14:BQ14)</f>
        <v>80</v>
      </c>
      <c r="L14" s="51" t="s">
        <v>160</v>
      </c>
      <c r="M14" s="52" t="s">
        <v>163</v>
      </c>
      <c r="N14" s="51" t="s">
        <v>160</v>
      </c>
      <c r="O14" s="52" t="s">
        <v>163</v>
      </c>
      <c r="P14" s="51" t="s">
        <v>160</v>
      </c>
      <c r="Q14" s="52" t="s">
        <v>163</v>
      </c>
      <c r="R14" s="51" t="s">
        <v>458</v>
      </c>
      <c r="S14" s="52" t="s">
        <v>163</v>
      </c>
      <c r="T14" s="51" t="s">
        <v>160</v>
      </c>
      <c r="U14" s="52" t="s">
        <v>163</v>
      </c>
      <c r="V14" s="51" t="s">
        <v>160</v>
      </c>
      <c r="W14" s="52" t="s">
        <v>163</v>
      </c>
      <c r="X14" s="51" t="s">
        <v>160</v>
      </c>
      <c r="Y14" s="52" t="s">
        <v>163</v>
      </c>
      <c r="Z14" s="51" t="s">
        <v>160</v>
      </c>
      <c r="AA14" s="52" t="s">
        <v>163</v>
      </c>
      <c r="AB14" s="51" t="s">
        <v>160</v>
      </c>
      <c r="AC14" s="52" t="s">
        <v>163</v>
      </c>
      <c r="AD14" s="51" t="s">
        <v>160</v>
      </c>
      <c r="AE14" s="52" t="s">
        <v>163</v>
      </c>
      <c r="AF14" s="51" t="s">
        <v>160</v>
      </c>
      <c r="AG14" s="52" t="s">
        <v>163</v>
      </c>
      <c r="AH14" s="51" t="s">
        <v>173</v>
      </c>
      <c r="AI14" s="52" t="s">
        <v>163</v>
      </c>
      <c r="AJ14" s="51" t="s">
        <v>160</v>
      </c>
      <c r="AK14" s="52" t="s">
        <v>163</v>
      </c>
      <c r="AL14" s="51" t="s">
        <v>160</v>
      </c>
      <c r="AM14" s="52" t="s">
        <v>163</v>
      </c>
      <c r="AN14" s="51" t="s">
        <v>160</v>
      </c>
      <c r="AO14" s="52" t="s">
        <v>163</v>
      </c>
      <c r="AP14" s="51" t="s">
        <v>70</v>
      </c>
      <c r="AQ14" s="52">
        <v>80.0</v>
      </c>
      <c r="AR14" s="32" t="s">
        <v>160</v>
      </c>
      <c r="AS14" s="52" t="s">
        <v>163</v>
      </c>
      <c r="AT14" s="51" t="s">
        <v>335</v>
      </c>
      <c r="AU14" s="52" t="s">
        <v>163</v>
      </c>
      <c r="AV14" s="51" t="s">
        <v>160</v>
      </c>
      <c r="AW14" s="52" t="s">
        <v>163</v>
      </c>
      <c r="AX14" s="51" t="s">
        <v>160</v>
      </c>
      <c r="AY14" s="52" t="s">
        <v>163</v>
      </c>
      <c r="AZ14" s="51" t="s">
        <v>160</v>
      </c>
      <c r="BA14" s="52" t="s">
        <v>163</v>
      </c>
      <c r="BB14" s="51" t="s">
        <v>160</v>
      </c>
      <c r="BC14" s="52" t="s">
        <v>163</v>
      </c>
      <c r="BD14" s="51" t="s">
        <v>160</v>
      </c>
      <c r="BE14" s="52" t="s">
        <v>163</v>
      </c>
      <c r="BF14" s="51" t="s">
        <v>160</v>
      </c>
      <c r="BG14" s="52" t="s">
        <v>163</v>
      </c>
      <c r="BH14" s="58" t="s">
        <v>160</v>
      </c>
      <c r="BI14" s="59" t="s">
        <v>163</v>
      </c>
      <c r="BJ14" s="51" t="s">
        <v>160</v>
      </c>
      <c r="BK14" s="52" t="s">
        <v>163</v>
      </c>
      <c r="BL14" s="51" t="s">
        <v>160</v>
      </c>
      <c r="BM14" s="52" t="s">
        <v>163</v>
      </c>
      <c r="BN14" s="51" t="s">
        <v>173</v>
      </c>
      <c r="BO14" s="52" t="s">
        <v>163</v>
      </c>
      <c r="BP14" s="51" t="s">
        <v>160</v>
      </c>
      <c r="BQ14" s="52" t="s">
        <v>163</v>
      </c>
    </row>
    <row r="15">
      <c r="A15" s="7" t="s">
        <v>20</v>
      </c>
      <c r="B15" s="10" t="s">
        <v>266</v>
      </c>
      <c r="C15" s="20" t="s">
        <v>167</v>
      </c>
      <c r="D15" s="20" t="s">
        <v>201</v>
      </c>
      <c r="E15" s="36" t="s">
        <v>81</v>
      </c>
      <c r="F15" s="36" t="s">
        <v>212</v>
      </c>
      <c r="G15" s="41">
        <v>16.0</v>
      </c>
      <c r="H15" s="41"/>
      <c r="I15" s="41">
        <v>4.0</v>
      </c>
      <c r="J15" s="41">
        <f t="shared" si="3"/>
        <v>0</v>
      </c>
      <c r="K15" s="50">
        <f t="shared" si="6"/>
        <v>23</v>
      </c>
      <c r="L15" s="51" t="s">
        <v>160</v>
      </c>
      <c r="M15" s="52" t="s">
        <v>163</v>
      </c>
      <c r="N15" s="51" t="s">
        <v>91</v>
      </c>
      <c r="O15" s="52">
        <v>2.0</v>
      </c>
      <c r="P15" s="51" t="s">
        <v>160</v>
      </c>
      <c r="Q15" s="52" t="s">
        <v>163</v>
      </c>
      <c r="R15" s="103" t="s">
        <v>160</v>
      </c>
      <c r="S15" s="52">
        <v>4.0</v>
      </c>
      <c r="T15" s="51" t="s">
        <v>160</v>
      </c>
      <c r="U15" s="52" t="s">
        <v>163</v>
      </c>
      <c r="V15" s="51" t="s">
        <v>160</v>
      </c>
      <c r="W15" s="52" t="s">
        <v>163</v>
      </c>
      <c r="X15" s="51" t="s">
        <v>160</v>
      </c>
      <c r="Y15" s="52">
        <v>1.0</v>
      </c>
      <c r="Z15" s="51" t="s">
        <v>160</v>
      </c>
      <c r="AA15" s="52">
        <v>4.0</v>
      </c>
      <c r="AB15" s="51" t="s">
        <v>160</v>
      </c>
      <c r="AC15" s="52" t="s">
        <v>163</v>
      </c>
      <c r="AD15" s="51" t="s">
        <v>160</v>
      </c>
      <c r="AE15" s="52" t="s">
        <v>163</v>
      </c>
      <c r="AF15" s="51" t="s">
        <v>160</v>
      </c>
      <c r="AG15" s="52" t="s">
        <v>163</v>
      </c>
      <c r="AH15" s="51" t="s">
        <v>173</v>
      </c>
      <c r="AI15" s="52" t="s">
        <v>163</v>
      </c>
      <c r="AJ15" s="51" t="s">
        <v>160</v>
      </c>
      <c r="AK15" s="52" t="s">
        <v>163</v>
      </c>
      <c r="AL15" s="51" t="s">
        <v>160</v>
      </c>
      <c r="AM15" s="52" t="s">
        <v>163</v>
      </c>
      <c r="AN15" s="51" t="s">
        <v>160</v>
      </c>
      <c r="AO15" s="52" t="s">
        <v>163</v>
      </c>
      <c r="AP15" s="51" t="s">
        <v>160</v>
      </c>
      <c r="AQ15" s="52" t="s">
        <v>163</v>
      </c>
      <c r="AR15" s="103" t="s">
        <v>160</v>
      </c>
      <c r="AS15" s="52">
        <v>2.0</v>
      </c>
      <c r="AT15" s="51" t="s">
        <v>160</v>
      </c>
      <c r="AU15" s="52" t="s">
        <v>163</v>
      </c>
      <c r="AV15" s="51" t="s">
        <v>160</v>
      </c>
      <c r="AW15" s="52" t="s">
        <v>163</v>
      </c>
      <c r="AX15" s="51" t="s">
        <v>160</v>
      </c>
      <c r="AY15" s="52" t="s">
        <v>163</v>
      </c>
      <c r="AZ15" s="51" t="s">
        <v>471</v>
      </c>
      <c r="BA15" s="52">
        <v>10.0</v>
      </c>
      <c r="BB15" s="51" t="s">
        <v>160</v>
      </c>
      <c r="BC15" s="52" t="s">
        <v>163</v>
      </c>
      <c r="BD15" s="51" t="s">
        <v>160</v>
      </c>
      <c r="BE15" s="52" t="s">
        <v>163</v>
      </c>
      <c r="BF15" s="51" t="s">
        <v>160</v>
      </c>
      <c r="BG15" s="52" t="s">
        <v>163</v>
      </c>
      <c r="BH15" s="51" t="s">
        <v>160</v>
      </c>
      <c r="BI15" s="59" t="s">
        <v>163</v>
      </c>
      <c r="BJ15" s="51" t="s">
        <v>160</v>
      </c>
      <c r="BK15" s="52" t="s">
        <v>163</v>
      </c>
      <c r="BL15" s="51" t="s">
        <v>160</v>
      </c>
      <c r="BM15" s="52" t="s">
        <v>163</v>
      </c>
      <c r="BN15" s="51" t="s">
        <v>173</v>
      </c>
      <c r="BO15" s="52" t="s">
        <v>163</v>
      </c>
      <c r="BP15" s="51" t="s">
        <v>160</v>
      </c>
      <c r="BQ15" s="52" t="s">
        <v>163</v>
      </c>
    </row>
    <row r="16">
      <c r="A16" s="7" t="s">
        <v>20</v>
      </c>
      <c r="B16" s="10" t="s">
        <v>472</v>
      </c>
      <c r="C16" s="52"/>
      <c r="D16" s="20" t="s">
        <v>201</v>
      </c>
      <c r="E16" s="36" t="s">
        <v>203</v>
      </c>
      <c r="F16" s="50" t="s">
        <v>149</v>
      </c>
      <c r="G16" s="41">
        <v>17.0</v>
      </c>
      <c r="H16" s="41"/>
      <c r="I16" s="41">
        <v>2.0</v>
      </c>
      <c r="J16" s="41">
        <f t="shared" si="3"/>
        <v>1</v>
      </c>
      <c r="K16" s="50">
        <f t="shared" si="6"/>
        <v>61</v>
      </c>
      <c r="L16" s="51" t="s">
        <v>160</v>
      </c>
      <c r="M16" s="52" t="s">
        <v>163</v>
      </c>
      <c r="N16" s="51" t="s">
        <v>160</v>
      </c>
      <c r="O16" s="52" t="s">
        <v>163</v>
      </c>
      <c r="P16" s="51" t="s">
        <v>160</v>
      </c>
      <c r="Q16" s="52" t="s">
        <v>163</v>
      </c>
      <c r="R16" s="51" t="s">
        <v>160</v>
      </c>
      <c r="S16" s="52" t="s">
        <v>163</v>
      </c>
      <c r="T16" s="51" t="s">
        <v>160</v>
      </c>
      <c r="U16" s="52" t="s">
        <v>163</v>
      </c>
      <c r="V16" s="51" t="s">
        <v>160</v>
      </c>
      <c r="W16" s="52">
        <v>10.0</v>
      </c>
      <c r="X16" s="51" t="s">
        <v>160</v>
      </c>
      <c r="Y16" s="52">
        <v>4.0</v>
      </c>
      <c r="Z16" s="51" t="s">
        <v>160</v>
      </c>
      <c r="AA16" s="52" t="s">
        <v>163</v>
      </c>
      <c r="AB16" s="51" t="s">
        <v>160</v>
      </c>
      <c r="AC16" s="52">
        <v>2.0</v>
      </c>
      <c r="AD16" s="51" t="s">
        <v>160</v>
      </c>
      <c r="AE16" s="52" t="s">
        <v>163</v>
      </c>
      <c r="AF16" s="51" t="s">
        <v>160</v>
      </c>
      <c r="AG16" s="52">
        <v>6.0</v>
      </c>
      <c r="AH16" s="51" t="s">
        <v>173</v>
      </c>
      <c r="AI16" s="52" t="s">
        <v>163</v>
      </c>
      <c r="AJ16" s="51" t="s">
        <v>160</v>
      </c>
      <c r="AK16" s="52" t="s">
        <v>163</v>
      </c>
      <c r="AL16" s="51" t="s">
        <v>160</v>
      </c>
      <c r="AM16" s="52" t="s">
        <v>163</v>
      </c>
      <c r="AN16" s="51" t="s">
        <v>160</v>
      </c>
      <c r="AO16" s="52">
        <v>2.0</v>
      </c>
      <c r="AP16" s="51" t="s">
        <v>160</v>
      </c>
      <c r="AQ16" s="52"/>
      <c r="AR16" s="51" t="s">
        <v>160</v>
      </c>
      <c r="AS16" s="52" t="s">
        <v>163</v>
      </c>
      <c r="AT16" s="51" t="s">
        <v>160</v>
      </c>
      <c r="AU16" s="52">
        <v>12.0</v>
      </c>
      <c r="AV16" s="51" t="s">
        <v>160</v>
      </c>
      <c r="AW16" s="52">
        <v>6.0</v>
      </c>
      <c r="AX16" s="54" t="s">
        <v>483</v>
      </c>
      <c r="AY16" s="52" t="s">
        <v>163</v>
      </c>
      <c r="AZ16" s="51" t="s">
        <v>160</v>
      </c>
      <c r="BA16" s="52" t="s">
        <v>163</v>
      </c>
      <c r="BB16" s="51" t="s">
        <v>160</v>
      </c>
      <c r="BC16" s="52">
        <v>6.0</v>
      </c>
      <c r="BD16" s="51" t="s">
        <v>160</v>
      </c>
      <c r="BE16" s="52">
        <v>4.0</v>
      </c>
      <c r="BF16" s="51" t="s">
        <v>160</v>
      </c>
      <c r="BG16" s="52" t="s">
        <v>163</v>
      </c>
      <c r="BH16" s="51" t="s">
        <v>160</v>
      </c>
      <c r="BI16" s="59" t="s">
        <v>163</v>
      </c>
      <c r="BJ16" s="51" t="s">
        <v>160</v>
      </c>
      <c r="BK16" s="52" t="s">
        <v>163</v>
      </c>
      <c r="BL16" s="51" t="s">
        <v>160</v>
      </c>
      <c r="BM16" s="52" t="s">
        <v>163</v>
      </c>
      <c r="BN16" s="51" t="s">
        <v>173</v>
      </c>
      <c r="BO16" s="52">
        <v>9.0</v>
      </c>
      <c r="BP16" s="51" t="s">
        <v>160</v>
      </c>
      <c r="BQ16" s="52" t="s">
        <v>163</v>
      </c>
    </row>
    <row r="17">
      <c r="A17" s="7" t="s">
        <v>20</v>
      </c>
      <c r="B17" s="10" t="s">
        <v>275</v>
      </c>
      <c r="C17" s="20" t="s">
        <v>167</v>
      </c>
      <c r="D17" s="20" t="s">
        <v>201</v>
      </c>
      <c r="E17" s="50"/>
      <c r="F17" s="36" t="s">
        <v>212</v>
      </c>
      <c r="G17" s="41">
        <v>18.0</v>
      </c>
      <c r="H17" s="41"/>
      <c r="I17" s="41">
        <v>2.0</v>
      </c>
      <c r="J17" s="41">
        <f t="shared" si="3"/>
        <v>6</v>
      </c>
      <c r="K17" s="50">
        <f t="shared" si="6"/>
        <v>73</v>
      </c>
      <c r="L17" s="51" t="s">
        <v>160</v>
      </c>
      <c r="M17" s="52" t="s">
        <v>163</v>
      </c>
      <c r="N17" s="54" t="s">
        <v>487</v>
      </c>
      <c r="O17" s="52" t="s">
        <v>163</v>
      </c>
      <c r="P17" s="51" t="s">
        <v>160</v>
      </c>
      <c r="Q17" s="52" t="s">
        <v>163</v>
      </c>
      <c r="R17" s="54" t="s">
        <v>488</v>
      </c>
      <c r="S17" s="52" t="s">
        <v>163</v>
      </c>
      <c r="T17" s="51" t="s">
        <v>160</v>
      </c>
      <c r="U17" s="52" t="s">
        <v>163</v>
      </c>
      <c r="V17" s="54" t="s">
        <v>489</v>
      </c>
      <c r="W17" s="52" t="s">
        <v>163</v>
      </c>
      <c r="X17" s="51" t="s">
        <v>91</v>
      </c>
      <c r="Y17" s="52">
        <v>40.0</v>
      </c>
      <c r="Z17" s="51" t="s">
        <v>160</v>
      </c>
      <c r="AA17" s="52" t="s">
        <v>163</v>
      </c>
      <c r="AB17" s="51" t="s">
        <v>160</v>
      </c>
      <c r="AC17" s="52" t="s">
        <v>163</v>
      </c>
      <c r="AD17" s="51" t="s">
        <v>160</v>
      </c>
      <c r="AE17" s="52" t="s">
        <v>163</v>
      </c>
      <c r="AF17" s="54" t="s">
        <v>491</v>
      </c>
      <c r="AG17" s="52" t="s">
        <v>149</v>
      </c>
      <c r="AH17" s="51" t="s">
        <v>173</v>
      </c>
      <c r="AI17" s="52" t="s">
        <v>163</v>
      </c>
      <c r="AJ17" s="51" t="s">
        <v>160</v>
      </c>
      <c r="AK17" s="52" t="s">
        <v>163</v>
      </c>
      <c r="AL17" s="51" t="s">
        <v>160</v>
      </c>
      <c r="AM17" s="52" t="s">
        <v>163</v>
      </c>
      <c r="AN17" s="51" t="s">
        <v>160</v>
      </c>
      <c r="AO17" s="52" t="s">
        <v>163</v>
      </c>
      <c r="AP17" s="51" t="s">
        <v>51</v>
      </c>
      <c r="AQ17" s="104">
        <v>2.0</v>
      </c>
      <c r="AR17" s="96" t="s">
        <v>51</v>
      </c>
      <c r="AS17" s="52">
        <v>6.0</v>
      </c>
      <c r="AT17" s="51" t="s">
        <v>160</v>
      </c>
      <c r="AU17" s="52" t="s">
        <v>163</v>
      </c>
      <c r="AV17" s="51" t="s">
        <v>160</v>
      </c>
      <c r="AW17" s="52" t="s">
        <v>163</v>
      </c>
      <c r="AX17" s="54" t="s">
        <v>493</v>
      </c>
      <c r="AY17" s="52" t="s">
        <v>163</v>
      </c>
      <c r="AZ17" s="51" t="s">
        <v>160</v>
      </c>
      <c r="BA17" s="52">
        <v>4.0</v>
      </c>
      <c r="BB17" s="51" t="s">
        <v>160</v>
      </c>
      <c r="BC17" s="52" t="s">
        <v>163</v>
      </c>
      <c r="BD17" s="51" t="s">
        <v>40</v>
      </c>
      <c r="BE17" s="52">
        <v>2.0</v>
      </c>
      <c r="BF17" s="51" t="s">
        <v>160</v>
      </c>
      <c r="BG17" s="52" t="s">
        <v>163</v>
      </c>
      <c r="BH17" s="58" t="s">
        <v>51</v>
      </c>
      <c r="BI17" s="59">
        <v>15.0</v>
      </c>
      <c r="BJ17" s="51" t="s">
        <v>160</v>
      </c>
      <c r="BK17" s="52">
        <v>1.0</v>
      </c>
      <c r="BL17" s="51" t="s">
        <v>160</v>
      </c>
      <c r="BM17" s="52" t="s">
        <v>163</v>
      </c>
      <c r="BN17" s="51" t="s">
        <v>173</v>
      </c>
      <c r="BO17" s="52">
        <v>3.0</v>
      </c>
      <c r="BP17" s="51" t="s">
        <v>160</v>
      </c>
      <c r="BQ17" s="52" t="s">
        <v>163</v>
      </c>
    </row>
    <row r="18">
      <c r="A18" s="7" t="s">
        <v>20</v>
      </c>
      <c r="B18" s="10" t="s">
        <v>511</v>
      </c>
      <c r="C18" s="20" t="s">
        <v>131</v>
      </c>
      <c r="D18" s="20" t="s">
        <v>284</v>
      </c>
      <c r="E18" s="36" t="s">
        <v>138</v>
      </c>
      <c r="F18" s="36" t="s">
        <v>212</v>
      </c>
      <c r="G18" s="41">
        <v>19.0</v>
      </c>
      <c r="H18" s="41"/>
      <c r="I18" s="41">
        <v>2.0</v>
      </c>
      <c r="J18" s="41">
        <f t="shared" si="3"/>
        <v>1</v>
      </c>
      <c r="K18" s="50">
        <f t="shared" si="6"/>
        <v>62</v>
      </c>
      <c r="L18" s="51" t="s">
        <v>160</v>
      </c>
      <c r="M18" s="52" t="s">
        <v>163</v>
      </c>
      <c r="N18" s="51" t="s">
        <v>160</v>
      </c>
      <c r="O18" s="52" t="s">
        <v>163</v>
      </c>
      <c r="P18" s="51" t="s">
        <v>160</v>
      </c>
      <c r="Q18" s="52">
        <v>2.0</v>
      </c>
      <c r="R18" s="51" t="s">
        <v>160</v>
      </c>
      <c r="S18" s="52" t="s">
        <v>163</v>
      </c>
      <c r="T18" s="51" t="s">
        <v>160</v>
      </c>
      <c r="U18" s="52" t="s">
        <v>163</v>
      </c>
      <c r="V18" s="51" t="s">
        <v>160</v>
      </c>
      <c r="W18" s="52" t="s">
        <v>163</v>
      </c>
      <c r="X18" s="51" t="s">
        <v>160</v>
      </c>
      <c r="Y18" s="52" t="s">
        <v>163</v>
      </c>
      <c r="Z18" s="51" t="s">
        <v>160</v>
      </c>
      <c r="AA18" s="52" t="s">
        <v>163</v>
      </c>
      <c r="AB18" s="51" t="s">
        <v>160</v>
      </c>
      <c r="AC18" s="52" t="s">
        <v>163</v>
      </c>
      <c r="AD18" s="51" t="s">
        <v>160</v>
      </c>
      <c r="AE18" s="52" t="s">
        <v>163</v>
      </c>
      <c r="AF18" s="51" t="s">
        <v>160</v>
      </c>
      <c r="AG18" s="52" t="s">
        <v>163</v>
      </c>
      <c r="AH18" s="51" t="s">
        <v>173</v>
      </c>
      <c r="AI18" s="52" t="s">
        <v>163</v>
      </c>
      <c r="AJ18" s="51" t="s">
        <v>160</v>
      </c>
      <c r="AK18" s="52" t="s">
        <v>163</v>
      </c>
      <c r="AL18" s="51" t="s">
        <v>160</v>
      </c>
      <c r="AM18" s="52" t="s">
        <v>163</v>
      </c>
      <c r="AN18" s="51" t="s">
        <v>160</v>
      </c>
      <c r="AO18" s="52" t="s">
        <v>163</v>
      </c>
      <c r="AP18" s="51" t="s">
        <v>160</v>
      </c>
      <c r="AQ18" s="52" t="s">
        <v>163</v>
      </c>
      <c r="AR18" s="51" t="s">
        <v>160</v>
      </c>
      <c r="AS18" s="52" t="s">
        <v>163</v>
      </c>
      <c r="AT18" s="51" t="s">
        <v>160</v>
      </c>
      <c r="AU18" s="52" t="s">
        <v>163</v>
      </c>
      <c r="AV18" s="51" t="s">
        <v>160</v>
      </c>
      <c r="AW18" s="52" t="s">
        <v>163</v>
      </c>
      <c r="AX18" s="54" t="s">
        <v>523</v>
      </c>
      <c r="AY18" s="52" t="s">
        <v>163</v>
      </c>
      <c r="AZ18" s="51" t="s">
        <v>160</v>
      </c>
      <c r="BA18" s="52" t="s">
        <v>163</v>
      </c>
      <c r="BB18" s="51" t="s">
        <v>42</v>
      </c>
      <c r="BC18" s="52">
        <v>60.0</v>
      </c>
      <c r="BD18" s="51" t="s">
        <v>160</v>
      </c>
      <c r="BE18" s="52" t="s">
        <v>163</v>
      </c>
      <c r="BF18" s="51" t="s">
        <v>160</v>
      </c>
      <c r="BG18" s="52" t="s">
        <v>163</v>
      </c>
      <c r="BH18" s="51" t="s">
        <v>160</v>
      </c>
      <c r="BI18" s="59" t="s">
        <v>163</v>
      </c>
      <c r="BJ18" s="51" t="s">
        <v>160</v>
      </c>
      <c r="BK18" s="52" t="s">
        <v>163</v>
      </c>
      <c r="BL18" s="51" t="s">
        <v>160</v>
      </c>
      <c r="BM18" s="52" t="s">
        <v>163</v>
      </c>
      <c r="BN18" s="51" t="s">
        <v>173</v>
      </c>
      <c r="BO18" s="52" t="s">
        <v>163</v>
      </c>
      <c r="BP18" s="51" t="s">
        <v>160</v>
      </c>
      <c r="BQ18" s="52" t="s">
        <v>163</v>
      </c>
    </row>
    <row r="19">
      <c r="A19" s="7" t="s">
        <v>20</v>
      </c>
      <c r="B19" s="26" t="s">
        <v>287</v>
      </c>
      <c r="C19" s="20" t="s">
        <v>32</v>
      </c>
      <c r="D19" s="20" t="s">
        <v>58</v>
      </c>
      <c r="E19" s="36" t="s">
        <v>81</v>
      </c>
      <c r="F19" s="36" t="s">
        <v>169</v>
      </c>
      <c r="G19" s="41">
        <v>20.0</v>
      </c>
      <c r="H19" s="41"/>
      <c r="I19" s="41">
        <v>1.0</v>
      </c>
      <c r="J19" s="41">
        <f t="shared" si="3"/>
        <v>15</v>
      </c>
      <c r="K19" s="50">
        <f t="shared" si="6"/>
        <v>73</v>
      </c>
      <c r="L19" s="51" t="s">
        <v>160</v>
      </c>
      <c r="M19" s="52" t="s">
        <v>163</v>
      </c>
      <c r="N19" s="54" t="s">
        <v>530</v>
      </c>
      <c r="O19" s="52" t="s">
        <v>149</v>
      </c>
      <c r="P19" s="51" t="s">
        <v>160</v>
      </c>
      <c r="Q19" s="52" t="s">
        <v>163</v>
      </c>
      <c r="R19" s="54" t="s">
        <v>531</v>
      </c>
      <c r="S19" s="52" t="s">
        <v>149</v>
      </c>
      <c r="T19" s="51" t="s">
        <v>160</v>
      </c>
      <c r="U19" s="52" t="s">
        <v>163</v>
      </c>
      <c r="V19" s="54" t="s">
        <v>534</v>
      </c>
      <c r="W19" s="52" t="s">
        <v>149</v>
      </c>
      <c r="X19" s="51" t="s">
        <v>160</v>
      </c>
      <c r="Y19" s="52" t="s">
        <v>163</v>
      </c>
      <c r="Z19" s="51" t="s">
        <v>160</v>
      </c>
      <c r="AA19" s="52" t="s">
        <v>163</v>
      </c>
      <c r="AB19" s="51" t="s">
        <v>160</v>
      </c>
      <c r="AC19" s="52" t="s">
        <v>163</v>
      </c>
      <c r="AD19" s="54" t="s">
        <v>535</v>
      </c>
      <c r="AE19" s="52" t="s">
        <v>149</v>
      </c>
      <c r="AF19" s="54" t="s">
        <v>538</v>
      </c>
      <c r="AG19" s="52" t="s">
        <v>149</v>
      </c>
      <c r="AH19" s="51" t="s">
        <v>173</v>
      </c>
      <c r="AI19" s="52" t="s">
        <v>163</v>
      </c>
      <c r="AJ19" s="51" t="s">
        <v>160</v>
      </c>
      <c r="AK19" s="52" t="s">
        <v>163</v>
      </c>
      <c r="AL19" s="51" t="s">
        <v>160</v>
      </c>
      <c r="AM19" s="52" t="s">
        <v>163</v>
      </c>
      <c r="AN19" s="54" t="s">
        <v>539</v>
      </c>
      <c r="AO19" s="52" t="s">
        <v>149</v>
      </c>
      <c r="AP19" s="51" t="s">
        <v>160</v>
      </c>
      <c r="AQ19" s="52" t="s">
        <v>163</v>
      </c>
      <c r="AR19" s="51" t="s">
        <v>160</v>
      </c>
      <c r="AS19" s="52" t="s">
        <v>163</v>
      </c>
      <c r="AT19" s="51" t="s">
        <v>160</v>
      </c>
      <c r="AU19" s="52" t="s">
        <v>163</v>
      </c>
      <c r="AV19" s="51" t="s">
        <v>160</v>
      </c>
      <c r="AW19" s="52" t="s">
        <v>163</v>
      </c>
      <c r="AX19" s="54" t="s">
        <v>542</v>
      </c>
      <c r="AY19" s="52" t="s">
        <v>163</v>
      </c>
      <c r="AZ19" s="51" t="s">
        <v>160</v>
      </c>
      <c r="BA19" s="52">
        <v>50.0</v>
      </c>
      <c r="BB19" s="51" t="s">
        <v>160</v>
      </c>
      <c r="BC19" s="52" t="s">
        <v>163</v>
      </c>
      <c r="BD19" s="51" t="s">
        <v>160</v>
      </c>
      <c r="BE19" s="52" t="s">
        <v>163</v>
      </c>
      <c r="BF19" s="51" t="s">
        <v>160</v>
      </c>
      <c r="BG19" s="52">
        <v>6.0</v>
      </c>
      <c r="BH19" s="58" t="s">
        <v>109</v>
      </c>
      <c r="BI19" s="59">
        <v>3.0</v>
      </c>
      <c r="BJ19" s="54" t="s">
        <v>547</v>
      </c>
      <c r="BK19" s="52" t="s">
        <v>149</v>
      </c>
      <c r="BL19" s="51" t="s">
        <v>160</v>
      </c>
      <c r="BM19" s="52">
        <v>2.0</v>
      </c>
      <c r="BN19" s="51" t="s">
        <v>173</v>
      </c>
      <c r="BO19" s="52">
        <v>6.0</v>
      </c>
      <c r="BP19" s="51" t="s">
        <v>160</v>
      </c>
      <c r="BQ19" s="52">
        <v>6.0</v>
      </c>
    </row>
    <row r="20">
      <c r="A20" s="7" t="s">
        <v>20</v>
      </c>
      <c r="B20" s="75" t="s">
        <v>550</v>
      </c>
      <c r="C20" s="20" t="s">
        <v>124</v>
      </c>
      <c r="D20" s="20" t="s">
        <v>248</v>
      </c>
      <c r="E20" s="50"/>
      <c r="F20" s="50" t="s">
        <v>297</v>
      </c>
      <c r="G20" s="41">
        <v>21.0</v>
      </c>
      <c r="H20" s="41" t="s">
        <v>103</v>
      </c>
      <c r="I20" s="41">
        <v>10.0</v>
      </c>
      <c r="J20" s="41">
        <f t="shared" si="3"/>
        <v>4</v>
      </c>
      <c r="K20" s="50">
        <f t="shared" si="6"/>
        <v>24</v>
      </c>
      <c r="L20" s="51" t="s">
        <v>160</v>
      </c>
      <c r="M20" s="52">
        <v>6.0</v>
      </c>
      <c r="N20" s="54" t="s">
        <v>562</v>
      </c>
      <c r="O20" s="52" t="s">
        <v>163</v>
      </c>
      <c r="P20" s="51" t="s">
        <v>160</v>
      </c>
      <c r="Q20" s="52" t="s">
        <v>163</v>
      </c>
      <c r="R20" s="51" t="s">
        <v>160</v>
      </c>
      <c r="S20" s="52" t="s">
        <v>163</v>
      </c>
      <c r="T20" s="51" t="s">
        <v>160</v>
      </c>
      <c r="U20" s="52" t="s">
        <v>163</v>
      </c>
      <c r="V20" s="51" t="s">
        <v>160</v>
      </c>
      <c r="W20" s="52">
        <v>1.0</v>
      </c>
      <c r="X20" s="51" t="s">
        <v>160</v>
      </c>
      <c r="Y20" s="52" t="s">
        <v>163</v>
      </c>
      <c r="Z20" s="51" t="s">
        <v>160</v>
      </c>
      <c r="AA20" s="52" t="s">
        <v>163</v>
      </c>
      <c r="AB20" s="51" t="s">
        <v>160</v>
      </c>
      <c r="AC20" s="52">
        <v>2.0</v>
      </c>
      <c r="AD20" s="54" t="s">
        <v>564</v>
      </c>
      <c r="AE20" s="52" t="s">
        <v>149</v>
      </c>
      <c r="AF20" s="51" t="s">
        <v>42</v>
      </c>
      <c r="AG20" s="52">
        <v>4.0</v>
      </c>
      <c r="AH20" s="51" t="s">
        <v>173</v>
      </c>
      <c r="AI20" s="52">
        <v>2.0</v>
      </c>
      <c r="AJ20" s="51" t="s">
        <v>160</v>
      </c>
      <c r="AK20" s="52" t="s">
        <v>163</v>
      </c>
      <c r="AL20" s="51" t="s">
        <v>160</v>
      </c>
      <c r="AM20" s="52" t="s">
        <v>163</v>
      </c>
      <c r="AN20" s="51" t="s">
        <v>160</v>
      </c>
      <c r="AO20" s="52" t="s">
        <v>163</v>
      </c>
      <c r="AP20" s="51" t="s">
        <v>160</v>
      </c>
      <c r="AQ20" s="52" t="s">
        <v>163</v>
      </c>
      <c r="AR20" s="51" t="s">
        <v>160</v>
      </c>
      <c r="AS20" s="52" t="s">
        <v>163</v>
      </c>
      <c r="AT20" s="51" t="s">
        <v>160</v>
      </c>
      <c r="AU20" s="52" t="s">
        <v>163</v>
      </c>
      <c r="AV20" s="51" t="s">
        <v>160</v>
      </c>
      <c r="AW20" s="52" t="s">
        <v>163</v>
      </c>
      <c r="AX20" s="54" t="s">
        <v>566</v>
      </c>
      <c r="AY20" s="52" t="s">
        <v>163</v>
      </c>
      <c r="AZ20" s="51" t="s">
        <v>160</v>
      </c>
      <c r="BA20" s="52" t="s">
        <v>163</v>
      </c>
      <c r="BB20" s="51" t="s">
        <v>160</v>
      </c>
      <c r="BC20" s="52" t="s">
        <v>163</v>
      </c>
      <c r="BD20" s="51" t="s">
        <v>160</v>
      </c>
      <c r="BE20" s="52" t="s">
        <v>163</v>
      </c>
      <c r="BF20" s="51" t="s">
        <v>160</v>
      </c>
      <c r="BG20" s="52" t="s">
        <v>163</v>
      </c>
      <c r="BH20" s="58" t="s">
        <v>61</v>
      </c>
      <c r="BI20" s="59">
        <v>9.0</v>
      </c>
      <c r="BJ20" s="51" t="s">
        <v>160</v>
      </c>
      <c r="BK20" s="52" t="s">
        <v>163</v>
      </c>
      <c r="BL20" s="51" t="s">
        <v>160</v>
      </c>
      <c r="BM20" s="52" t="s">
        <v>163</v>
      </c>
      <c r="BN20" s="51" t="s">
        <v>173</v>
      </c>
      <c r="BO20" s="52" t="s">
        <v>163</v>
      </c>
      <c r="BP20" s="51" t="s">
        <v>160</v>
      </c>
      <c r="BQ20" s="52" t="s">
        <v>163</v>
      </c>
    </row>
    <row r="21">
      <c r="A21" s="7" t="s">
        <v>20</v>
      </c>
      <c r="B21" s="10" t="s">
        <v>569</v>
      </c>
      <c r="C21" s="20" t="s">
        <v>116</v>
      </c>
      <c r="D21" s="20" t="s">
        <v>248</v>
      </c>
      <c r="E21" s="36" t="s">
        <v>119</v>
      </c>
      <c r="F21" s="36" t="s">
        <v>212</v>
      </c>
      <c r="G21" s="41">
        <v>22.0</v>
      </c>
      <c r="H21" s="41" t="s">
        <v>103</v>
      </c>
      <c r="I21" s="41">
        <v>10.0</v>
      </c>
      <c r="J21" s="41">
        <f t="shared" si="3"/>
        <v>3</v>
      </c>
      <c r="K21" s="50">
        <f t="shared" si="6"/>
        <v>70</v>
      </c>
      <c r="L21" s="51" t="s">
        <v>160</v>
      </c>
      <c r="M21" s="52" t="s">
        <v>163</v>
      </c>
      <c r="N21" s="54" t="s">
        <v>573</v>
      </c>
      <c r="O21" s="52" t="s">
        <v>163</v>
      </c>
      <c r="P21" s="51" t="s">
        <v>160</v>
      </c>
      <c r="Q21" s="52">
        <v>2.0</v>
      </c>
      <c r="R21" s="54" t="s">
        <v>574</v>
      </c>
      <c r="S21" s="52" t="s">
        <v>163</v>
      </c>
      <c r="T21" s="51" t="s">
        <v>160</v>
      </c>
      <c r="U21" s="52" t="s">
        <v>163</v>
      </c>
      <c r="V21" s="51" t="s">
        <v>160</v>
      </c>
      <c r="W21" s="52">
        <v>6.0</v>
      </c>
      <c r="X21" s="51" t="s">
        <v>160</v>
      </c>
      <c r="Y21" s="52">
        <v>1.0</v>
      </c>
      <c r="Z21" s="51" t="s">
        <v>160</v>
      </c>
      <c r="AA21" s="52">
        <v>2.0</v>
      </c>
      <c r="AB21" s="51" t="s">
        <v>160</v>
      </c>
      <c r="AC21" s="52" t="s">
        <v>163</v>
      </c>
      <c r="AD21" s="51" t="s">
        <v>160</v>
      </c>
      <c r="AE21" s="52" t="s">
        <v>163</v>
      </c>
      <c r="AF21" s="51" t="s">
        <v>160</v>
      </c>
      <c r="AG21" s="52">
        <v>7.0</v>
      </c>
      <c r="AH21" s="51" t="s">
        <v>173</v>
      </c>
      <c r="AI21" s="52">
        <v>2.0</v>
      </c>
      <c r="AJ21" s="51" t="s">
        <v>160</v>
      </c>
      <c r="AK21" s="52" t="s">
        <v>163</v>
      </c>
      <c r="AL21" s="51" t="s">
        <v>160</v>
      </c>
      <c r="AM21" s="52" t="s">
        <v>163</v>
      </c>
      <c r="AN21" s="51" t="s">
        <v>160</v>
      </c>
      <c r="AO21" s="52">
        <v>1.0</v>
      </c>
      <c r="AP21" s="51" t="s">
        <v>160</v>
      </c>
      <c r="AQ21" s="52">
        <v>2.0</v>
      </c>
      <c r="AR21" s="51" t="s">
        <v>160</v>
      </c>
      <c r="AS21" s="52">
        <v>2.0</v>
      </c>
      <c r="AT21" s="51" t="s">
        <v>160</v>
      </c>
      <c r="AU21" s="52">
        <v>12.0</v>
      </c>
      <c r="AV21" s="51" t="s">
        <v>160</v>
      </c>
      <c r="AW21" s="52">
        <v>6.0</v>
      </c>
      <c r="AX21" s="54" t="s">
        <v>575</v>
      </c>
      <c r="AY21" s="52" t="s">
        <v>163</v>
      </c>
      <c r="AZ21" s="51" t="s">
        <v>160</v>
      </c>
      <c r="BA21" s="52">
        <v>2.0</v>
      </c>
      <c r="BB21" s="51" t="s">
        <v>160</v>
      </c>
      <c r="BC21" s="52">
        <v>6.0</v>
      </c>
      <c r="BD21" s="51" t="s">
        <v>160</v>
      </c>
      <c r="BE21" s="52">
        <v>2.0</v>
      </c>
      <c r="BF21" s="51" t="s">
        <v>160</v>
      </c>
      <c r="BG21" s="52">
        <v>4.0</v>
      </c>
      <c r="BH21" s="51" t="s">
        <v>160</v>
      </c>
      <c r="BI21" s="59">
        <v>3.0</v>
      </c>
      <c r="BJ21" s="54" t="s">
        <v>160</v>
      </c>
      <c r="BK21" s="52" t="s">
        <v>163</v>
      </c>
      <c r="BL21" s="51" t="s">
        <v>160</v>
      </c>
      <c r="BM21" s="52">
        <v>3.0</v>
      </c>
      <c r="BN21" s="51" t="s">
        <v>173</v>
      </c>
      <c r="BO21" s="52">
        <v>3.0</v>
      </c>
      <c r="BP21" s="51" t="s">
        <v>160</v>
      </c>
      <c r="BQ21" s="52">
        <v>4.0</v>
      </c>
    </row>
    <row r="22">
      <c r="A22" s="7" t="s">
        <v>20</v>
      </c>
      <c r="B22" s="68" t="s">
        <v>577</v>
      </c>
      <c r="C22" s="20" t="s">
        <v>119</v>
      </c>
      <c r="D22" s="20" t="s">
        <v>284</v>
      </c>
      <c r="E22" s="20" t="s">
        <v>119</v>
      </c>
      <c r="F22" s="36" t="s">
        <v>169</v>
      </c>
      <c r="G22" s="41">
        <v>23.0</v>
      </c>
      <c r="H22" s="50"/>
      <c r="I22" s="41">
        <v>1.0</v>
      </c>
      <c r="J22" s="50">
        <f t="shared" si="3"/>
        <v>3</v>
      </c>
      <c r="K22" s="50">
        <f t="shared" si="6"/>
        <v>164</v>
      </c>
      <c r="L22" s="51" t="s">
        <v>160</v>
      </c>
      <c r="M22" s="52">
        <v>50.0</v>
      </c>
      <c r="N22" s="51" t="s">
        <v>160</v>
      </c>
      <c r="O22" s="52" t="s">
        <v>163</v>
      </c>
      <c r="P22" s="51" t="s">
        <v>160</v>
      </c>
      <c r="Q22" s="52">
        <v>6.0</v>
      </c>
      <c r="R22" s="51" t="s">
        <v>160</v>
      </c>
      <c r="S22" s="52" t="s">
        <v>163</v>
      </c>
      <c r="T22" s="51" t="s">
        <v>160</v>
      </c>
      <c r="U22" s="52" t="s">
        <v>149</v>
      </c>
      <c r="V22" s="54" t="s">
        <v>160</v>
      </c>
      <c r="W22" s="52" t="s">
        <v>149</v>
      </c>
      <c r="X22" s="51" t="s">
        <v>160</v>
      </c>
      <c r="Y22" s="52" t="s">
        <v>163</v>
      </c>
      <c r="Z22" s="74" t="s">
        <v>160</v>
      </c>
      <c r="AA22" s="52" t="s">
        <v>163</v>
      </c>
      <c r="AB22" s="74" t="s">
        <v>160</v>
      </c>
      <c r="AC22" s="52" t="s">
        <v>163</v>
      </c>
      <c r="AD22" s="54" t="s">
        <v>589</v>
      </c>
      <c r="AE22" s="52" t="s">
        <v>149</v>
      </c>
      <c r="AF22" s="74" t="s">
        <v>160</v>
      </c>
      <c r="AG22" s="52" t="s">
        <v>163</v>
      </c>
      <c r="AH22" s="51" t="s">
        <v>173</v>
      </c>
      <c r="AI22" s="52" t="s">
        <v>163</v>
      </c>
      <c r="AJ22" s="74" t="s">
        <v>160</v>
      </c>
      <c r="AK22" s="52">
        <v>50.0</v>
      </c>
      <c r="AL22" s="52" t="s">
        <v>160</v>
      </c>
      <c r="AM22" s="52" t="s">
        <v>163</v>
      </c>
      <c r="AN22" s="52" t="s">
        <v>65</v>
      </c>
      <c r="AO22" s="52">
        <v>12.0</v>
      </c>
      <c r="AP22" s="51" t="s">
        <v>160</v>
      </c>
      <c r="AQ22" s="52" t="s">
        <v>163</v>
      </c>
      <c r="AR22" s="51" t="s">
        <v>160</v>
      </c>
      <c r="AS22" s="52" t="s">
        <v>163</v>
      </c>
      <c r="AT22" s="51" t="s">
        <v>160</v>
      </c>
      <c r="AU22" s="52">
        <v>4.0</v>
      </c>
      <c r="AV22" s="51" t="s">
        <v>160</v>
      </c>
      <c r="AW22" s="52" t="s">
        <v>163</v>
      </c>
      <c r="AX22" s="51" t="s">
        <v>160</v>
      </c>
      <c r="AY22" s="52" t="s">
        <v>163</v>
      </c>
      <c r="AZ22" s="51" t="s">
        <v>160</v>
      </c>
      <c r="BA22" s="52" t="s">
        <v>163</v>
      </c>
      <c r="BB22" s="51" t="s">
        <v>160</v>
      </c>
      <c r="BC22" s="52">
        <v>3.0</v>
      </c>
      <c r="BD22" s="51" t="s">
        <v>160</v>
      </c>
      <c r="BE22" s="52">
        <v>1.0</v>
      </c>
      <c r="BF22" s="51" t="s">
        <v>160</v>
      </c>
      <c r="BG22" s="52" t="s">
        <v>163</v>
      </c>
      <c r="BH22" s="51" t="s">
        <v>590</v>
      </c>
      <c r="BI22" s="52">
        <v>6.0</v>
      </c>
      <c r="BJ22" s="51" t="s">
        <v>160</v>
      </c>
      <c r="BK22" s="52">
        <v>12.0</v>
      </c>
      <c r="BL22" s="51" t="s">
        <v>160</v>
      </c>
      <c r="BM22" s="52">
        <v>20.0</v>
      </c>
      <c r="BN22" s="51" t="s">
        <v>173</v>
      </c>
      <c r="BO22" s="52" t="s">
        <v>163</v>
      </c>
      <c r="BP22" s="51" t="s">
        <v>160</v>
      </c>
      <c r="BQ22" s="52" t="s">
        <v>163</v>
      </c>
    </row>
    <row r="23">
      <c r="A23" s="7" t="s">
        <v>20</v>
      </c>
      <c r="B23" s="10" t="s">
        <v>591</v>
      </c>
      <c r="C23" s="52"/>
      <c r="D23" s="52"/>
      <c r="E23" s="36" t="s">
        <v>119</v>
      </c>
      <c r="F23" s="36" t="s">
        <v>169</v>
      </c>
      <c r="G23" s="41">
        <v>24.0</v>
      </c>
      <c r="H23" s="41"/>
      <c r="I23" s="41">
        <v>2.0</v>
      </c>
      <c r="J23" s="41">
        <f t="shared" si="3"/>
        <v>2</v>
      </c>
      <c r="K23" s="50">
        <f t="shared" si="6"/>
        <v>14</v>
      </c>
      <c r="L23" s="51" t="s">
        <v>160</v>
      </c>
      <c r="M23" s="52" t="s">
        <v>163</v>
      </c>
      <c r="N23" s="51" t="s">
        <v>160</v>
      </c>
      <c r="O23" s="52" t="s">
        <v>163</v>
      </c>
      <c r="P23" s="51" t="s">
        <v>160</v>
      </c>
      <c r="Q23" s="52" t="s">
        <v>163</v>
      </c>
      <c r="R23" s="54" t="s">
        <v>160</v>
      </c>
      <c r="S23" s="52" t="s">
        <v>163</v>
      </c>
      <c r="T23" s="51" t="s">
        <v>160</v>
      </c>
      <c r="U23" s="52" t="s">
        <v>163</v>
      </c>
      <c r="V23" s="54" t="s">
        <v>160</v>
      </c>
      <c r="W23" s="52" t="s">
        <v>163</v>
      </c>
      <c r="X23" s="51" t="s">
        <v>160</v>
      </c>
      <c r="Y23" s="52">
        <v>6.0</v>
      </c>
      <c r="Z23" s="51" t="s">
        <v>160</v>
      </c>
      <c r="AA23" s="52" t="s">
        <v>163</v>
      </c>
      <c r="AB23" s="52" t="s">
        <v>160</v>
      </c>
      <c r="AC23" s="52" t="s">
        <v>163</v>
      </c>
      <c r="AD23" s="52" t="s">
        <v>160</v>
      </c>
      <c r="AE23" s="52" t="s">
        <v>163</v>
      </c>
      <c r="AF23" s="52" t="s">
        <v>160</v>
      </c>
      <c r="AG23" s="52">
        <v>8.0</v>
      </c>
      <c r="AH23" s="51" t="s">
        <v>173</v>
      </c>
      <c r="AI23" s="52" t="s">
        <v>163</v>
      </c>
      <c r="AJ23" s="51" t="s">
        <v>160</v>
      </c>
      <c r="AK23" s="52" t="s">
        <v>163</v>
      </c>
      <c r="AL23" s="51" t="s">
        <v>160</v>
      </c>
      <c r="AM23" s="52" t="s">
        <v>163</v>
      </c>
      <c r="AN23" s="52" t="s">
        <v>160</v>
      </c>
      <c r="AO23" s="52" t="s">
        <v>163</v>
      </c>
      <c r="AP23" s="51" t="s">
        <v>160</v>
      </c>
      <c r="AQ23" s="52" t="s">
        <v>163</v>
      </c>
      <c r="AR23" s="52" t="s">
        <v>160</v>
      </c>
      <c r="AS23" s="52" t="s">
        <v>149</v>
      </c>
      <c r="AT23" s="51" t="s">
        <v>160</v>
      </c>
      <c r="AU23" s="52" t="s">
        <v>163</v>
      </c>
      <c r="AV23" s="51" t="s">
        <v>160</v>
      </c>
      <c r="AW23" s="52" t="s">
        <v>163</v>
      </c>
      <c r="AX23" s="52" t="s">
        <v>160</v>
      </c>
      <c r="AY23" s="52" t="s">
        <v>163</v>
      </c>
      <c r="AZ23" s="52" t="s">
        <v>160</v>
      </c>
      <c r="BA23" s="52" t="s">
        <v>149</v>
      </c>
      <c r="BB23" s="51" t="s">
        <v>160</v>
      </c>
      <c r="BC23" s="52" t="s">
        <v>163</v>
      </c>
      <c r="BD23" s="51" t="s">
        <v>160</v>
      </c>
      <c r="BE23" s="52" t="s">
        <v>163</v>
      </c>
      <c r="BF23" s="51" t="s">
        <v>160</v>
      </c>
      <c r="BG23" s="52" t="s">
        <v>163</v>
      </c>
      <c r="BH23" s="58" t="s">
        <v>160</v>
      </c>
      <c r="BI23" s="59" t="s">
        <v>163</v>
      </c>
      <c r="BJ23" s="52" t="s">
        <v>160</v>
      </c>
      <c r="BK23" s="52" t="s">
        <v>163</v>
      </c>
      <c r="BL23" s="51" t="s">
        <v>160</v>
      </c>
      <c r="BM23" s="52" t="s">
        <v>163</v>
      </c>
      <c r="BN23" s="51" t="s">
        <v>173</v>
      </c>
      <c r="BO23" s="52" t="s">
        <v>163</v>
      </c>
      <c r="BP23" s="51" t="s">
        <v>160</v>
      </c>
      <c r="BQ23" s="52" t="s">
        <v>163</v>
      </c>
    </row>
    <row r="24">
      <c r="A24" s="7" t="s">
        <v>20</v>
      </c>
      <c r="B24" s="10" t="s">
        <v>316</v>
      </c>
      <c r="C24" s="20" t="s">
        <v>32</v>
      </c>
      <c r="D24" s="20" t="s">
        <v>320</v>
      </c>
      <c r="E24" s="36" t="s">
        <v>119</v>
      </c>
      <c r="F24" s="50" t="s">
        <v>321</v>
      </c>
      <c r="G24" s="41">
        <v>25.0</v>
      </c>
      <c r="H24" s="41"/>
      <c r="I24" s="41">
        <v>1.0</v>
      </c>
      <c r="J24" s="41">
        <f t="shared" si="3"/>
        <v>9</v>
      </c>
      <c r="K24" s="50">
        <f t="shared" si="6"/>
        <v>46</v>
      </c>
      <c r="L24" s="51" t="s">
        <v>160</v>
      </c>
      <c r="M24" s="52" t="s">
        <v>163</v>
      </c>
      <c r="N24" s="54" t="s">
        <v>592</v>
      </c>
      <c r="O24" s="52" t="s">
        <v>163</v>
      </c>
      <c r="P24" s="51" t="s">
        <v>160</v>
      </c>
      <c r="Q24" s="52">
        <v>4.0</v>
      </c>
      <c r="R24" s="54" t="s">
        <v>593</v>
      </c>
      <c r="S24" s="52" t="s">
        <v>163</v>
      </c>
      <c r="T24" s="51" t="s">
        <v>160</v>
      </c>
      <c r="U24" s="52" t="s">
        <v>163</v>
      </c>
      <c r="V24" s="51" t="s">
        <v>160</v>
      </c>
      <c r="W24" s="52">
        <v>2.0</v>
      </c>
      <c r="X24" s="51" t="s">
        <v>160</v>
      </c>
      <c r="Y24" s="52" t="s">
        <v>163</v>
      </c>
      <c r="Z24" s="54" t="s">
        <v>594</v>
      </c>
      <c r="AA24" s="52" t="s">
        <v>149</v>
      </c>
      <c r="AB24" s="51" t="s">
        <v>160</v>
      </c>
      <c r="AC24" s="52">
        <v>2.0</v>
      </c>
      <c r="AD24" s="54" t="s">
        <v>595</v>
      </c>
      <c r="AE24" s="52" t="s">
        <v>149</v>
      </c>
      <c r="AF24" s="51" t="s">
        <v>160</v>
      </c>
      <c r="AG24" s="52">
        <v>2.0</v>
      </c>
      <c r="AH24" s="51" t="s">
        <v>173</v>
      </c>
      <c r="AI24" s="52" t="s">
        <v>163</v>
      </c>
      <c r="AJ24" s="51" t="s">
        <v>160</v>
      </c>
      <c r="AK24" s="52" t="s">
        <v>163</v>
      </c>
      <c r="AL24" s="51" t="s">
        <v>160</v>
      </c>
      <c r="AM24" s="52" t="s">
        <v>163</v>
      </c>
      <c r="AN24" s="54" t="s">
        <v>596</v>
      </c>
      <c r="AO24" s="52" t="s">
        <v>149</v>
      </c>
      <c r="AP24" s="51" t="s">
        <v>160</v>
      </c>
      <c r="AQ24" s="52">
        <v>4.0</v>
      </c>
      <c r="AR24" s="51" t="s">
        <v>160</v>
      </c>
      <c r="AS24" s="52" t="s">
        <v>163</v>
      </c>
      <c r="AT24" s="51" t="s">
        <v>160</v>
      </c>
      <c r="AU24" s="52" t="s">
        <v>163</v>
      </c>
      <c r="AV24" s="51" t="s">
        <v>160</v>
      </c>
      <c r="AW24" s="52" t="s">
        <v>163</v>
      </c>
      <c r="AX24" s="54" t="s">
        <v>597</v>
      </c>
      <c r="AY24" s="52" t="s">
        <v>163</v>
      </c>
      <c r="AZ24" s="51" t="s">
        <v>160</v>
      </c>
      <c r="BA24" s="52">
        <v>3.0</v>
      </c>
      <c r="BB24" s="51" t="s">
        <v>160</v>
      </c>
      <c r="BC24" s="52">
        <v>6.0</v>
      </c>
      <c r="BD24" s="51" t="s">
        <v>160</v>
      </c>
      <c r="BE24" s="52">
        <v>8.0</v>
      </c>
      <c r="BF24" s="51" t="s">
        <v>160</v>
      </c>
      <c r="BG24" s="52" t="s">
        <v>163</v>
      </c>
      <c r="BH24" s="51" t="s">
        <v>160</v>
      </c>
      <c r="BI24" s="59">
        <v>6.0</v>
      </c>
      <c r="BJ24" s="54" t="s">
        <v>160</v>
      </c>
      <c r="BK24" s="52" t="s">
        <v>163</v>
      </c>
      <c r="BL24" s="51" t="s">
        <v>598</v>
      </c>
      <c r="BM24" s="52" t="s">
        <v>163</v>
      </c>
      <c r="BN24" s="51" t="s">
        <v>173</v>
      </c>
      <c r="BO24" s="52">
        <v>9.0</v>
      </c>
      <c r="BP24" s="51" t="s">
        <v>160</v>
      </c>
      <c r="BQ24" s="52" t="s">
        <v>163</v>
      </c>
    </row>
    <row r="25">
      <c r="A25" s="7" t="s">
        <v>20</v>
      </c>
      <c r="B25" s="79" t="s">
        <v>599</v>
      </c>
      <c r="C25" s="20" t="s">
        <v>131</v>
      </c>
      <c r="D25" s="20" t="s">
        <v>284</v>
      </c>
      <c r="E25" s="36" t="s">
        <v>138</v>
      </c>
      <c r="F25" s="36" t="s">
        <v>212</v>
      </c>
      <c r="G25" s="41">
        <v>26.0</v>
      </c>
      <c r="H25" s="41"/>
      <c r="I25" s="41">
        <v>1.0</v>
      </c>
      <c r="J25" s="41">
        <f t="shared" si="3"/>
        <v>1</v>
      </c>
      <c r="K25" s="50">
        <f t="shared" si="6"/>
        <v>31</v>
      </c>
      <c r="L25" s="51" t="s">
        <v>160</v>
      </c>
      <c r="M25" s="52" t="s">
        <v>163</v>
      </c>
      <c r="N25" s="51" t="s">
        <v>160</v>
      </c>
      <c r="O25" s="52" t="s">
        <v>163</v>
      </c>
      <c r="P25" s="51" t="s">
        <v>160</v>
      </c>
      <c r="Q25" s="52">
        <v>10.0</v>
      </c>
      <c r="R25" s="51" t="s">
        <v>160</v>
      </c>
      <c r="S25" s="52" t="s">
        <v>163</v>
      </c>
      <c r="T25" s="51" t="s">
        <v>160</v>
      </c>
      <c r="U25" s="52" t="s">
        <v>163</v>
      </c>
      <c r="V25" s="51" t="s">
        <v>160</v>
      </c>
      <c r="W25" s="52" t="s">
        <v>163</v>
      </c>
      <c r="X25" s="51" t="s">
        <v>160</v>
      </c>
      <c r="Y25" s="52" t="s">
        <v>163</v>
      </c>
      <c r="Z25" s="51" t="s">
        <v>160</v>
      </c>
      <c r="AA25" s="52" t="s">
        <v>163</v>
      </c>
      <c r="AB25" s="51" t="s">
        <v>160</v>
      </c>
      <c r="AC25" s="52" t="s">
        <v>163</v>
      </c>
      <c r="AD25" s="51" t="s">
        <v>160</v>
      </c>
      <c r="AE25" s="52" t="s">
        <v>163</v>
      </c>
      <c r="AF25" s="51" t="s">
        <v>160</v>
      </c>
      <c r="AG25" s="52" t="s">
        <v>163</v>
      </c>
      <c r="AH25" s="51" t="s">
        <v>173</v>
      </c>
      <c r="AI25" s="52" t="s">
        <v>163</v>
      </c>
      <c r="AJ25" s="51" t="s">
        <v>160</v>
      </c>
      <c r="AK25" s="52" t="s">
        <v>163</v>
      </c>
      <c r="AL25" s="51" t="s">
        <v>160</v>
      </c>
      <c r="AM25" s="52" t="s">
        <v>163</v>
      </c>
      <c r="AN25" s="51" t="s">
        <v>160</v>
      </c>
      <c r="AO25" s="52" t="s">
        <v>163</v>
      </c>
      <c r="AP25" s="51" t="s">
        <v>160</v>
      </c>
      <c r="AQ25" s="52" t="s">
        <v>163</v>
      </c>
      <c r="AR25" s="51" t="s">
        <v>160</v>
      </c>
      <c r="AS25" s="52" t="s">
        <v>163</v>
      </c>
      <c r="AT25" s="51" t="s">
        <v>160</v>
      </c>
      <c r="AU25" s="52" t="s">
        <v>163</v>
      </c>
      <c r="AV25" s="51" t="s">
        <v>42</v>
      </c>
      <c r="AW25" s="52">
        <v>18.0</v>
      </c>
      <c r="AX25" s="54" t="s">
        <v>600</v>
      </c>
      <c r="AY25" s="52" t="s">
        <v>163</v>
      </c>
      <c r="AZ25" s="51" t="s">
        <v>160</v>
      </c>
      <c r="BA25" s="52" t="s">
        <v>163</v>
      </c>
      <c r="BB25" s="51" t="s">
        <v>160</v>
      </c>
      <c r="BC25" s="52" t="s">
        <v>163</v>
      </c>
      <c r="BD25" s="51" t="s">
        <v>160</v>
      </c>
      <c r="BE25" s="52" t="s">
        <v>163</v>
      </c>
      <c r="BF25" s="51" t="s">
        <v>160</v>
      </c>
      <c r="BG25" s="52" t="s">
        <v>163</v>
      </c>
      <c r="BH25" s="51" t="s">
        <v>160</v>
      </c>
      <c r="BI25" s="59" t="s">
        <v>163</v>
      </c>
      <c r="BJ25" s="51" t="s">
        <v>160</v>
      </c>
      <c r="BK25" s="52" t="s">
        <v>163</v>
      </c>
      <c r="BL25" s="51" t="s">
        <v>42</v>
      </c>
      <c r="BM25" s="52">
        <v>3.0</v>
      </c>
      <c r="BN25" s="51" t="s">
        <v>173</v>
      </c>
      <c r="BO25" s="52" t="s">
        <v>163</v>
      </c>
      <c r="BP25" s="51" t="s">
        <v>160</v>
      </c>
      <c r="BQ25" s="52" t="s">
        <v>163</v>
      </c>
    </row>
    <row r="26">
      <c r="A26" s="108" t="s">
        <v>20</v>
      </c>
      <c r="B26" s="109" t="s">
        <v>601</v>
      </c>
      <c r="C26" s="110" t="s">
        <v>131</v>
      </c>
      <c r="D26" s="110" t="s">
        <v>284</v>
      </c>
      <c r="E26" s="111" t="s">
        <v>81</v>
      </c>
      <c r="F26" s="111" t="s">
        <v>212</v>
      </c>
      <c r="G26" s="41">
        <v>27.0</v>
      </c>
      <c r="H26" s="44"/>
      <c r="I26" s="44">
        <v>2.0</v>
      </c>
      <c r="J26" s="44">
        <f t="shared" si="3"/>
        <v>1</v>
      </c>
      <c r="K26" s="44">
        <f t="shared" si="6"/>
        <v>40</v>
      </c>
      <c r="L26" s="112" t="s">
        <v>160</v>
      </c>
      <c r="M26" s="48" t="s">
        <v>163</v>
      </c>
      <c r="N26" s="112" t="s">
        <v>160</v>
      </c>
      <c r="O26" s="48" t="s">
        <v>163</v>
      </c>
      <c r="P26" s="112" t="s">
        <v>160</v>
      </c>
      <c r="Q26" s="48" t="s">
        <v>163</v>
      </c>
      <c r="R26" s="112" t="s">
        <v>160</v>
      </c>
      <c r="S26" s="48" t="s">
        <v>163</v>
      </c>
      <c r="T26" s="112" t="s">
        <v>160</v>
      </c>
      <c r="U26" s="48" t="s">
        <v>163</v>
      </c>
      <c r="V26" s="112" t="s">
        <v>160</v>
      </c>
      <c r="W26" s="48" t="s">
        <v>163</v>
      </c>
      <c r="X26" s="112" t="s">
        <v>160</v>
      </c>
      <c r="Y26" s="48" t="s">
        <v>163</v>
      </c>
      <c r="Z26" s="112" t="s">
        <v>160</v>
      </c>
      <c r="AA26" s="48" t="s">
        <v>163</v>
      </c>
      <c r="AB26" s="112" t="s">
        <v>160</v>
      </c>
      <c r="AC26" s="48" t="s">
        <v>163</v>
      </c>
      <c r="AD26" s="112" t="s">
        <v>160</v>
      </c>
      <c r="AE26" s="48" t="s">
        <v>163</v>
      </c>
      <c r="AF26" s="112" t="s">
        <v>160</v>
      </c>
      <c r="AG26" s="48" t="s">
        <v>163</v>
      </c>
      <c r="AH26" s="112" t="s">
        <v>106</v>
      </c>
      <c r="AI26" s="48" t="s">
        <v>163</v>
      </c>
      <c r="AJ26" s="112" t="s">
        <v>160</v>
      </c>
      <c r="AK26" s="48" t="s">
        <v>163</v>
      </c>
      <c r="AL26" s="112" t="s">
        <v>160</v>
      </c>
      <c r="AM26" s="48" t="s">
        <v>163</v>
      </c>
      <c r="AN26" s="112" t="s">
        <v>160</v>
      </c>
      <c r="AO26" s="48" t="s">
        <v>163</v>
      </c>
      <c r="AP26" s="112" t="s">
        <v>160</v>
      </c>
      <c r="AQ26" s="48" t="s">
        <v>163</v>
      </c>
      <c r="AR26" s="112" t="s">
        <v>160</v>
      </c>
      <c r="AS26" s="48" t="s">
        <v>163</v>
      </c>
      <c r="AT26" s="112" t="s">
        <v>160</v>
      </c>
      <c r="AU26" s="48" t="s">
        <v>163</v>
      </c>
      <c r="AV26" s="112" t="s">
        <v>160</v>
      </c>
      <c r="AW26" s="48" t="s">
        <v>163</v>
      </c>
      <c r="AX26" s="113" t="s">
        <v>602</v>
      </c>
      <c r="AY26" s="48" t="s">
        <v>163</v>
      </c>
      <c r="AZ26" s="112" t="s">
        <v>160</v>
      </c>
      <c r="BA26" s="48" t="s">
        <v>163</v>
      </c>
      <c r="BB26" s="112" t="s">
        <v>160</v>
      </c>
      <c r="BC26" s="48" t="s">
        <v>163</v>
      </c>
      <c r="BD26" s="113" t="s">
        <v>106</v>
      </c>
      <c r="BE26" s="48">
        <v>6.0</v>
      </c>
      <c r="BF26" s="112" t="s">
        <v>160</v>
      </c>
      <c r="BG26" s="48" t="s">
        <v>163</v>
      </c>
      <c r="BH26" s="112" t="s">
        <v>160</v>
      </c>
      <c r="BI26" s="48" t="s">
        <v>163</v>
      </c>
      <c r="BJ26" s="112" t="s">
        <v>160</v>
      </c>
      <c r="BK26" s="48" t="s">
        <v>163</v>
      </c>
      <c r="BL26" s="112" t="s">
        <v>160</v>
      </c>
      <c r="BM26" s="48">
        <v>4.0</v>
      </c>
      <c r="BN26" s="112" t="s">
        <v>603</v>
      </c>
      <c r="BO26" s="48">
        <v>30.0</v>
      </c>
      <c r="BP26" s="112" t="s">
        <v>160</v>
      </c>
      <c r="BQ26" s="48" t="s">
        <v>163</v>
      </c>
    </row>
    <row r="27">
      <c r="A27" s="7" t="s">
        <v>20</v>
      </c>
      <c r="B27" s="10" t="s">
        <v>604</v>
      </c>
      <c r="C27" s="114" t="s">
        <v>87</v>
      </c>
      <c r="D27" s="20" t="s">
        <v>120</v>
      </c>
      <c r="E27" s="36" t="s">
        <v>119</v>
      </c>
      <c r="F27" s="36" t="s">
        <v>123</v>
      </c>
      <c r="G27" s="41">
        <v>28.0</v>
      </c>
      <c r="H27" s="41" t="s">
        <v>103</v>
      </c>
      <c r="I27" s="41">
        <v>10.0</v>
      </c>
      <c r="J27" s="41">
        <f t="shared" si="3"/>
        <v>0</v>
      </c>
      <c r="K27" s="50">
        <f t="shared" si="6"/>
        <v>52</v>
      </c>
      <c r="L27" s="51" t="s">
        <v>160</v>
      </c>
      <c r="M27" s="52" t="s">
        <v>163</v>
      </c>
      <c r="N27" s="54" t="s">
        <v>605</v>
      </c>
      <c r="O27" s="52">
        <v>30.0</v>
      </c>
      <c r="P27" s="51" t="s">
        <v>160</v>
      </c>
      <c r="Q27" s="52" t="s">
        <v>163</v>
      </c>
      <c r="R27" s="24"/>
      <c r="S27" s="52" t="s">
        <v>163</v>
      </c>
      <c r="T27" s="51" t="s">
        <v>160</v>
      </c>
      <c r="U27" s="52" t="s">
        <v>163</v>
      </c>
      <c r="V27" s="51" t="s">
        <v>160</v>
      </c>
      <c r="W27" s="52" t="s">
        <v>163</v>
      </c>
      <c r="X27" s="51" t="s">
        <v>160</v>
      </c>
      <c r="Y27" s="52" t="s">
        <v>163</v>
      </c>
      <c r="Z27" s="51" t="s">
        <v>160</v>
      </c>
      <c r="AA27" s="52" t="s">
        <v>163</v>
      </c>
      <c r="AB27" s="51" t="s">
        <v>160</v>
      </c>
      <c r="AC27" s="52" t="s">
        <v>163</v>
      </c>
      <c r="AD27" s="51" t="s">
        <v>160</v>
      </c>
      <c r="AE27" s="52" t="s">
        <v>163</v>
      </c>
      <c r="AF27" s="51" t="s">
        <v>160</v>
      </c>
      <c r="AG27" s="52" t="s">
        <v>163</v>
      </c>
      <c r="AH27" s="51" t="s">
        <v>173</v>
      </c>
      <c r="AI27" s="52" t="s">
        <v>163</v>
      </c>
      <c r="AJ27" s="51" t="s">
        <v>160</v>
      </c>
      <c r="AK27" s="52" t="s">
        <v>163</v>
      </c>
      <c r="AL27" s="51" t="s">
        <v>160</v>
      </c>
      <c r="AM27" s="52" t="s">
        <v>163</v>
      </c>
      <c r="AN27" s="51" t="s">
        <v>160</v>
      </c>
      <c r="AO27" s="52" t="s">
        <v>163</v>
      </c>
      <c r="AP27" s="51" t="s">
        <v>160</v>
      </c>
      <c r="AQ27" s="52" t="s">
        <v>163</v>
      </c>
      <c r="AR27" s="51" t="s">
        <v>160</v>
      </c>
      <c r="AS27" s="52" t="s">
        <v>163</v>
      </c>
      <c r="AT27" s="51" t="s">
        <v>160</v>
      </c>
      <c r="AU27" s="52" t="s">
        <v>163</v>
      </c>
      <c r="AV27" s="51" t="s">
        <v>160</v>
      </c>
      <c r="AW27" s="52" t="s">
        <v>163</v>
      </c>
      <c r="AX27" s="51" t="s">
        <v>160</v>
      </c>
      <c r="AY27" s="52" t="s">
        <v>163</v>
      </c>
      <c r="AZ27" s="51" t="s">
        <v>160</v>
      </c>
      <c r="BA27" s="52">
        <v>22.0</v>
      </c>
      <c r="BB27" s="51" t="s">
        <v>160</v>
      </c>
      <c r="BC27" s="52" t="s">
        <v>163</v>
      </c>
      <c r="BD27" s="51" t="s">
        <v>160</v>
      </c>
      <c r="BE27" s="52" t="s">
        <v>163</v>
      </c>
      <c r="BF27" s="51" t="s">
        <v>160</v>
      </c>
      <c r="BG27" s="52" t="s">
        <v>163</v>
      </c>
      <c r="BH27" s="51" t="s">
        <v>160</v>
      </c>
      <c r="BI27" s="59" t="s">
        <v>163</v>
      </c>
      <c r="BJ27" s="51" t="s">
        <v>160</v>
      </c>
      <c r="BK27" s="52" t="s">
        <v>163</v>
      </c>
      <c r="BL27" s="51" t="s">
        <v>160</v>
      </c>
      <c r="BM27" s="52" t="s">
        <v>163</v>
      </c>
      <c r="BN27" s="51" t="s">
        <v>173</v>
      </c>
      <c r="BO27" s="52" t="s">
        <v>163</v>
      </c>
      <c r="BP27" s="51" t="s">
        <v>160</v>
      </c>
      <c r="BQ27" s="52" t="s">
        <v>163</v>
      </c>
    </row>
    <row r="28">
      <c r="A28" s="7" t="s">
        <v>20</v>
      </c>
      <c r="B28" s="10" t="s">
        <v>222</v>
      </c>
      <c r="C28" s="20" t="s">
        <v>116</v>
      </c>
      <c r="D28" s="20" t="s">
        <v>248</v>
      </c>
      <c r="E28" s="36" t="s">
        <v>119</v>
      </c>
      <c r="F28" s="50" t="s">
        <v>297</v>
      </c>
      <c r="G28" s="41">
        <v>29.0</v>
      </c>
      <c r="H28" s="41"/>
      <c r="I28" s="41">
        <v>2.0</v>
      </c>
      <c r="J28" s="41">
        <f t="shared" si="3"/>
        <v>0</v>
      </c>
      <c r="K28" s="50">
        <f t="shared" si="6"/>
        <v>32</v>
      </c>
      <c r="L28" s="115" t="s">
        <v>160</v>
      </c>
      <c r="M28" s="52" t="s">
        <v>163</v>
      </c>
      <c r="N28" s="115" t="s">
        <v>160</v>
      </c>
      <c r="O28" s="52" t="s">
        <v>163</v>
      </c>
      <c r="P28" s="51" t="s">
        <v>160</v>
      </c>
      <c r="Q28" s="52" t="s">
        <v>163</v>
      </c>
      <c r="R28" s="115" t="s">
        <v>160</v>
      </c>
      <c r="S28" s="52" t="s">
        <v>163</v>
      </c>
      <c r="T28" s="51" t="s">
        <v>49</v>
      </c>
      <c r="U28" s="52">
        <v>12.0</v>
      </c>
      <c r="V28" s="51" t="s">
        <v>109</v>
      </c>
      <c r="W28" s="52">
        <v>12.0</v>
      </c>
      <c r="X28" s="51" t="s">
        <v>160</v>
      </c>
      <c r="Y28" s="52" t="s">
        <v>163</v>
      </c>
      <c r="Z28" s="51" t="s">
        <v>160</v>
      </c>
      <c r="AA28" s="52" t="s">
        <v>163</v>
      </c>
      <c r="AB28" s="115" t="s">
        <v>160</v>
      </c>
      <c r="AC28" s="52" t="s">
        <v>163</v>
      </c>
      <c r="AD28" s="115" t="s">
        <v>160</v>
      </c>
      <c r="AE28" s="52" t="s">
        <v>163</v>
      </c>
      <c r="AF28" s="51" t="s">
        <v>160</v>
      </c>
      <c r="AG28" s="52" t="s">
        <v>163</v>
      </c>
      <c r="AH28" s="51" t="s">
        <v>173</v>
      </c>
      <c r="AI28" s="52" t="s">
        <v>163</v>
      </c>
      <c r="AJ28" s="51" t="s">
        <v>160</v>
      </c>
      <c r="AK28" s="52" t="s">
        <v>163</v>
      </c>
      <c r="AL28" s="51" t="s">
        <v>160</v>
      </c>
      <c r="AM28" s="52" t="s">
        <v>163</v>
      </c>
      <c r="AN28" s="51" t="s">
        <v>160</v>
      </c>
      <c r="AO28" s="52" t="s">
        <v>163</v>
      </c>
      <c r="AP28" s="51" t="s">
        <v>160</v>
      </c>
      <c r="AQ28" s="52" t="s">
        <v>163</v>
      </c>
      <c r="AR28" s="51" t="s">
        <v>160</v>
      </c>
      <c r="AS28" s="52" t="s">
        <v>163</v>
      </c>
      <c r="AT28" s="51" t="s">
        <v>160</v>
      </c>
      <c r="AU28" s="52" t="s">
        <v>163</v>
      </c>
      <c r="AV28" s="51" t="s">
        <v>160</v>
      </c>
      <c r="AW28" s="52" t="s">
        <v>163</v>
      </c>
      <c r="AX28" s="51" t="s">
        <v>160</v>
      </c>
      <c r="AY28" s="52" t="s">
        <v>163</v>
      </c>
      <c r="AZ28" s="51" t="s">
        <v>160</v>
      </c>
      <c r="BA28" s="52" t="s">
        <v>163</v>
      </c>
      <c r="BB28" s="51" t="s">
        <v>160</v>
      </c>
      <c r="BC28" s="52" t="s">
        <v>163</v>
      </c>
      <c r="BD28" s="51" t="s">
        <v>160</v>
      </c>
      <c r="BE28" s="52" t="s">
        <v>163</v>
      </c>
      <c r="BF28" s="51" t="s">
        <v>160</v>
      </c>
      <c r="BG28" s="52" t="s">
        <v>163</v>
      </c>
      <c r="BH28" s="51" t="s">
        <v>160</v>
      </c>
      <c r="BI28" s="59" t="s">
        <v>163</v>
      </c>
      <c r="BJ28" s="51" t="s">
        <v>160</v>
      </c>
      <c r="BK28" s="52" t="s">
        <v>163</v>
      </c>
      <c r="BL28" s="51" t="s">
        <v>49</v>
      </c>
      <c r="BM28" s="52">
        <v>2.0</v>
      </c>
      <c r="BN28" s="51" t="s">
        <v>49</v>
      </c>
      <c r="BO28" s="52">
        <v>6.0</v>
      </c>
      <c r="BP28" s="51" t="s">
        <v>160</v>
      </c>
      <c r="BQ28" s="52" t="s">
        <v>163</v>
      </c>
    </row>
    <row r="29">
      <c r="A29" s="7" t="s">
        <v>20</v>
      </c>
      <c r="B29" s="10" t="s">
        <v>606</v>
      </c>
      <c r="C29" s="20" t="s">
        <v>122</v>
      </c>
      <c r="D29" s="20" t="s">
        <v>338</v>
      </c>
      <c r="E29" s="50"/>
      <c r="F29" s="50" t="s">
        <v>220</v>
      </c>
      <c r="G29" s="41">
        <v>30.0</v>
      </c>
      <c r="H29" s="41"/>
      <c r="I29" s="41">
        <v>3.0</v>
      </c>
      <c r="J29" s="41">
        <f t="shared" si="3"/>
        <v>0</v>
      </c>
      <c r="K29" s="50">
        <f t="shared" si="6"/>
        <v>68</v>
      </c>
      <c r="L29" s="51" t="s">
        <v>160</v>
      </c>
      <c r="M29" s="52" t="s">
        <v>163</v>
      </c>
      <c r="N29" s="51" t="s">
        <v>160</v>
      </c>
      <c r="O29" s="52" t="s">
        <v>163</v>
      </c>
      <c r="P29" s="51" t="s">
        <v>160</v>
      </c>
      <c r="Q29" s="52" t="s">
        <v>163</v>
      </c>
      <c r="R29" s="51" t="s">
        <v>160</v>
      </c>
      <c r="S29" s="52" t="s">
        <v>163</v>
      </c>
      <c r="T29" s="51" t="s">
        <v>160</v>
      </c>
      <c r="U29" s="52" t="s">
        <v>163</v>
      </c>
      <c r="V29" s="51" t="s">
        <v>160</v>
      </c>
      <c r="W29" s="52" t="s">
        <v>163</v>
      </c>
      <c r="X29" s="51" t="s">
        <v>160</v>
      </c>
      <c r="Y29" s="52" t="s">
        <v>163</v>
      </c>
      <c r="Z29" s="51" t="s">
        <v>160</v>
      </c>
      <c r="AA29" s="52" t="s">
        <v>163</v>
      </c>
      <c r="AB29" s="51" t="s">
        <v>160</v>
      </c>
      <c r="AC29" s="52" t="s">
        <v>163</v>
      </c>
      <c r="AD29" s="51" t="s">
        <v>160</v>
      </c>
      <c r="AE29" s="52" t="s">
        <v>163</v>
      </c>
      <c r="AF29" s="51" t="s">
        <v>160</v>
      </c>
      <c r="AG29" s="52" t="s">
        <v>163</v>
      </c>
      <c r="AH29" s="51" t="s">
        <v>173</v>
      </c>
      <c r="AI29" s="52" t="s">
        <v>163</v>
      </c>
      <c r="AJ29" s="51" t="s">
        <v>160</v>
      </c>
      <c r="AK29" s="52" t="s">
        <v>163</v>
      </c>
      <c r="AL29" s="51" t="s">
        <v>160</v>
      </c>
      <c r="AM29" s="52" t="s">
        <v>163</v>
      </c>
      <c r="AN29" s="51" t="s">
        <v>160</v>
      </c>
      <c r="AO29" s="52" t="s">
        <v>163</v>
      </c>
      <c r="AP29" s="51" t="s">
        <v>160</v>
      </c>
      <c r="AQ29" s="52" t="s">
        <v>163</v>
      </c>
      <c r="AR29" s="51" t="s">
        <v>160</v>
      </c>
      <c r="AS29" s="52" t="s">
        <v>163</v>
      </c>
      <c r="AT29" s="96" t="s">
        <v>160</v>
      </c>
      <c r="AU29" s="52" t="s">
        <v>163</v>
      </c>
      <c r="AV29" s="51" t="s">
        <v>160</v>
      </c>
      <c r="AW29" s="52" t="s">
        <v>163</v>
      </c>
      <c r="AX29" s="51" t="s">
        <v>160</v>
      </c>
      <c r="AY29" s="52" t="s">
        <v>163</v>
      </c>
      <c r="AZ29" s="51" t="s">
        <v>160</v>
      </c>
      <c r="BA29" s="52" t="s">
        <v>163</v>
      </c>
      <c r="BB29" s="51" t="s">
        <v>160</v>
      </c>
      <c r="BC29" s="52">
        <v>66.0</v>
      </c>
      <c r="BD29" s="51" t="s">
        <v>106</v>
      </c>
      <c r="BE29" s="52">
        <v>2.0</v>
      </c>
      <c r="BF29" s="51" t="s">
        <v>160</v>
      </c>
      <c r="BG29" s="52" t="s">
        <v>163</v>
      </c>
      <c r="BH29" s="51" t="s">
        <v>160</v>
      </c>
      <c r="BI29" s="59" t="s">
        <v>163</v>
      </c>
      <c r="BJ29" s="51" t="s">
        <v>160</v>
      </c>
      <c r="BK29" s="52" t="s">
        <v>163</v>
      </c>
      <c r="BL29" s="51" t="s">
        <v>160</v>
      </c>
      <c r="BM29" s="52" t="s">
        <v>163</v>
      </c>
      <c r="BN29" s="51" t="s">
        <v>173</v>
      </c>
      <c r="BO29" s="52" t="s">
        <v>163</v>
      </c>
      <c r="BP29" s="51" t="s">
        <v>160</v>
      </c>
      <c r="BQ29" s="52" t="s">
        <v>163</v>
      </c>
    </row>
    <row r="30">
      <c r="A30" s="7" t="s">
        <v>20</v>
      </c>
      <c r="B30" s="10" t="s">
        <v>170</v>
      </c>
      <c r="C30" s="20" t="s">
        <v>116</v>
      </c>
      <c r="D30" s="20" t="s">
        <v>248</v>
      </c>
      <c r="E30" s="20" t="s">
        <v>119</v>
      </c>
      <c r="F30" s="50" t="s">
        <v>297</v>
      </c>
      <c r="G30" s="41">
        <v>31.0</v>
      </c>
      <c r="H30" s="41"/>
      <c r="I30" s="41">
        <v>2.0</v>
      </c>
      <c r="J30" s="41">
        <f t="shared" si="3"/>
        <v>0</v>
      </c>
      <c r="K30" s="50">
        <f t="shared" si="6"/>
        <v>32</v>
      </c>
      <c r="L30" s="115" t="s">
        <v>160</v>
      </c>
      <c r="M30" s="52" t="s">
        <v>163</v>
      </c>
      <c r="N30" s="51" t="s">
        <v>160</v>
      </c>
      <c r="O30" s="52" t="s">
        <v>163</v>
      </c>
      <c r="P30" s="51" t="s">
        <v>160</v>
      </c>
      <c r="Q30" s="52" t="s">
        <v>163</v>
      </c>
      <c r="R30" s="51" t="s">
        <v>160</v>
      </c>
      <c r="S30" s="52" t="s">
        <v>163</v>
      </c>
      <c r="T30" s="51" t="s">
        <v>49</v>
      </c>
      <c r="U30" s="52">
        <v>12.0</v>
      </c>
      <c r="V30" s="51" t="s">
        <v>46</v>
      </c>
      <c r="W30" s="52">
        <v>12.0</v>
      </c>
      <c r="X30" s="51" t="s">
        <v>160</v>
      </c>
      <c r="Y30" s="52" t="s">
        <v>163</v>
      </c>
      <c r="Z30" s="51" t="s">
        <v>160</v>
      </c>
      <c r="AA30" s="52" t="s">
        <v>163</v>
      </c>
      <c r="AB30" s="115" t="s">
        <v>160</v>
      </c>
      <c r="AC30" s="52" t="s">
        <v>163</v>
      </c>
      <c r="AD30" s="115" t="s">
        <v>160</v>
      </c>
      <c r="AE30" s="52" t="s">
        <v>163</v>
      </c>
      <c r="AF30" s="51" t="s">
        <v>160</v>
      </c>
      <c r="AG30" s="52" t="s">
        <v>163</v>
      </c>
      <c r="AH30" s="51" t="s">
        <v>173</v>
      </c>
      <c r="AI30" s="52" t="s">
        <v>163</v>
      </c>
      <c r="AJ30" s="51" t="s">
        <v>160</v>
      </c>
      <c r="AK30" s="52" t="s">
        <v>163</v>
      </c>
      <c r="AL30" s="51" t="s">
        <v>160</v>
      </c>
      <c r="AM30" s="52" t="s">
        <v>163</v>
      </c>
      <c r="AN30" s="51" t="s">
        <v>160</v>
      </c>
      <c r="AO30" s="52" t="s">
        <v>163</v>
      </c>
      <c r="AP30" s="51" t="s">
        <v>160</v>
      </c>
      <c r="AQ30" s="52" t="s">
        <v>163</v>
      </c>
      <c r="AR30" s="51" t="s">
        <v>160</v>
      </c>
      <c r="AS30" s="52" t="s">
        <v>163</v>
      </c>
      <c r="AT30" s="51" t="s">
        <v>49</v>
      </c>
      <c r="AU30" s="52">
        <v>8.0</v>
      </c>
      <c r="AV30" s="51" t="s">
        <v>160</v>
      </c>
      <c r="AW30" s="52" t="s">
        <v>163</v>
      </c>
      <c r="AX30" s="51" t="s">
        <v>160</v>
      </c>
      <c r="AY30" s="52" t="s">
        <v>163</v>
      </c>
      <c r="AZ30" s="51" t="s">
        <v>160</v>
      </c>
      <c r="BA30" s="52" t="s">
        <v>163</v>
      </c>
      <c r="BB30" s="51" t="s">
        <v>160</v>
      </c>
      <c r="BC30" s="52" t="s">
        <v>163</v>
      </c>
      <c r="BD30" s="51" t="s">
        <v>160</v>
      </c>
      <c r="BE30" s="52" t="s">
        <v>163</v>
      </c>
      <c r="BF30" s="51" t="s">
        <v>160</v>
      </c>
      <c r="BG30" s="52" t="s">
        <v>163</v>
      </c>
      <c r="BH30" s="51" t="s">
        <v>160</v>
      </c>
      <c r="BI30" s="59" t="s">
        <v>163</v>
      </c>
      <c r="BJ30" s="51" t="s">
        <v>160</v>
      </c>
      <c r="BK30" s="59" t="s">
        <v>163</v>
      </c>
      <c r="BL30" s="51" t="s">
        <v>160</v>
      </c>
      <c r="BM30" s="59" t="s">
        <v>163</v>
      </c>
      <c r="BN30" s="51" t="s">
        <v>173</v>
      </c>
      <c r="BO30" s="52" t="s">
        <v>163</v>
      </c>
      <c r="BP30" s="51" t="s">
        <v>160</v>
      </c>
      <c r="BQ30" s="52" t="s">
        <v>163</v>
      </c>
    </row>
    <row r="31">
      <c r="A31" s="116"/>
      <c r="C31" s="117"/>
      <c r="D31" s="117"/>
      <c r="E31" s="117"/>
      <c r="F31" s="117"/>
      <c r="G31" s="117"/>
      <c r="H31" s="117"/>
      <c r="I31" s="117"/>
      <c r="J31" s="117"/>
      <c r="K31" s="117">
        <f>SUM(K2:K29)</f>
        <v>2322</v>
      </c>
      <c r="L31" s="117"/>
      <c r="M31" s="117">
        <f>sum(M2:M29)</f>
        <v>74</v>
      </c>
      <c r="N31" s="117"/>
      <c r="O31" s="117">
        <f>sum(O2:O29)</f>
        <v>76</v>
      </c>
      <c r="P31" s="117"/>
      <c r="Q31" s="117">
        <f>sum(Q2:Q29)</f>
        <v>59</v>
      </c>
      <c r="R31" s="117"/>
      <c r="S31" s="117">
        <f>sum(S2:S29)</f>
        <v>81</v>
      </c>
      <c r="T31" s="117"/>
      <c r="U31" s="117">
        <f>sum(U2:U29)</f>
        <v>42</v>
      </c>
      <c r="V31" s="117"/>
      <c r="W31" s="117">
        <f>sum(W2:W29)</f>
        <v>71</v>
      </c>
      <c r="X31" s="117"/>
      <c r="Y31" s="117">
        <f>sum(Y2:Y29)</f>
        <v>76</v>
      </c>
      <c r="Z31" s="117"/>
      <c r="AA31" s="117">
        <f>sum(AA2:AA29)</f>
        <v>20</v>
      </c>
      <c r="AB31" s="117"/>
      <c r="AC31" s="117">
        <f>sum(AC2:AC29)</f>
        <v>6</v>
      </c>
      <c r="AD31" s="117"/>
      <c r="AE31" s="117">
        <f>sum(AE2:AE29)</f>
        <v>6</v>
      </c>
      <c r="AF31" s="117"/>
      <c r="AG31" s="117">
        <f>sum(AG2:AG29)</f>
        <v>64</v>
      </c>
      <c r="AH31" s="117"/>
      <c r="AI31" s="117">
        <f>sum(AI2:AI29)</f>
        <v>12</v>
      </c>
      <c r="AJ31" s="117"/>
      <c r="AK31" s="117">
        <f>sum(AK2:AK29)</f>
        <v>52</v>
      </c>
      <c r="AL31" s="117"/>
      <c r="AM31" s="117">
        <f>sum(AM2:AM29)</f>
        <v>0</v>
      </c>
      <c r="AN31" s="117"/>
      <c r="AO31" s="117">
        <f>sum(AO2:AO29)</f>
        <v>103</v>
      </c>
      <c r="AP31" s="117"/>
      <c r="AQ31" s="117">
        <f>sum(AQ2:AQ29)</f>
        <v>188</v>
      </c>
      <c r="AR31" s="117"/>
      <c r="AS31" s="117">
        <f>sum(AS2:AS29)</f>
        <v>40</v>
      </c>
      <c r="AT31" s="117"/>
      <c r="AU31" s="117">
        <f>sum(AU2:AU29)</f>
        <v>296</v>
      </c>
      <c r="AV31" s="117"/>
      <c r="AW31" s="117">
        <f>sum(AW2:AW29)</f>
        <v>78</v>
      </c>
      <c r="AX31" s="117"/>
      <c r="AY31" s="117">
        <f>sum(AY2:AY29)</f>
        <v>8</v>
      </c>
      <c r="AZ31" s="117"/>
      <c r="BA31" s="117">
        <f>sum(BA2:BA29)</f>
        <v>120</v>
      </c>
      <c r="BB31" s="117"/>
      <c r="BC31" s="117">
        <f>sum(BC2:BC29)</f>
        <v>195</v>
      </c>
      <c r="BD31" s="117"/>
      <c r="BE31" s="117">
        <f>sum(BE2:BE29)</f>
        <v>55</v>
      </c>
      <c r="BF31" s="117"/>
      <c r="BG31" s="117">
        <f>sum(BG2:BG29)</f>
        <v>44</v>
      </c>
      <c r="BH31" s="118"/>
      <c r="BI31" s="118">
        <f>sum(BI2:BI29)</f>
        <v>93</v>
      </c>
      <c r="BJ31" s="118"/>
      <c r="BK31" s="118">
        <f>sum(BK2:BK29)</f>
        <v>47</v>
      </c>
      <c r="BL31" s="118"/>
      <c r="BM31" s="118">
        <f>sum(BM2:BM29)</f>
        <v>83</v>
      </c>
      <c r="BN31" s="118"/>
      <c r="BO31" s="118">
        <f>sum(BO2:BO29)</f>
        <v>141</v>
      </c>
      <c r="BP31" s="119"/>
      <c r="BQ31" s="117">
        <f>SUM(BQ1:BQ29)</f>
        <v>106</v>
      </c>
    </row>
    <row r="32">
      <c r="A32" s="116"/>
      <c r="C32" s="120"/>
      <c r="D32" s="120"/>
      <c r="E32" s="120"/>
      <c r="F32" s="120"/>
      <c r="G32" s="120"/>
      <c r="H32" s="120"/>
      <c r="I32" s="120"/>
      <c r="J32" s="120"/>
      <c r="K32" s="120"/>
      <c r="L32" s="120"/>
      <c r="M32" s="120"/>
      <c r="N32" s="120"/>
      <c r="O32" s="120"/>
      <c r="P32" s="120"/>
      <c r="Q32" s="120"/>
      <c r="R32" s="120"/>
      <c r="S32" s="120"/>
      <c r="T32" s="120"/>
      <c r="U32" s="121" t="s">
        <v>607</v>
      </c>
      <c r="V32" s="120"/>
      <c r="W32" s="120"/>
      <c r="X32" s="120"/>
      <c r="Y32" s="120"/>
      <c r="Z32" s="120"/>
      <c r="AA32" s="120"/>
      <c r="AB32" s="120"/>
      <c r="AC32" s="120"/>
      <c r="AD32" s="120"/>
      <c r="AE32" s="120"/>
      <c r="AF32" s="120"/>
      <c r="AG32" s="120"/>
      <c r="AH32" s="120"/>
      <c r="AI32" s="121" t="s">
        <v>608</v>
      </c>
      <c r="AJ32" s="120"/>
      <c r="AK32" s="120"/>
      <c r="AL32" s="120"/>
      <c r="AM32" s="120"/>
      <c r="AN32" s="120"/>
      <c r="AO32" s="120"/>
      <c r="AP32" s="120"/>
      <c r="AQ32" s="121" t="s">
        <v>609</v>
      </c>
      <c r="AR32" s="120"/>
      <c r="AS32" s="120"/>
      <c r="AT32" s="120"/>
      <c r="AU32" s="121" t="s">
        <v>609</v>
      </c>
      <c r="AV32" s="120"/>
      <c r="AW32" s="121" t="s">
        <v>607</v>
      </c>
      <c r="AX32" s="120"/>
      <c r="AY32" s="120"/>
      <c r="AZ32" s="120"/>
      <c r="BA32" s="120"/>
      <c r="BB32" s="120"/>
      <c r="BC32" s="121" t="s">
        <v>607</v>
      </c>
      <c r="BD32" s="120"/>
      <c r="BE32" s="120"/>
      <c r="BF32" s="120"/>
      <c r="BG32" s="121" t="s">
        <v>608</v>
      </c>
      <c r="BH32" s="122"/>
      <c r="BI32" s="121" t="s">
        <v>607</v>
      </c>
      <c r="BJ32" s="120"/>
      <c r="BK32" s="120"/>
      <c r="BL32" s="120"/>
      <c r="BM32" s="120"/>
      <c r="BN32" s="120"/>
      <c r="BO32" s="121" t="s">
        <v>607</v>
      </c>
      <c r="BP32" s="123"/>
      <c r="BQ32" s="121" t="s">
        <v>608</v>
      </c>
    </row>
    <row r="33">
      <c r="A33" s="116"/>
      <c r="C33" s="116"/>
      <c r="D33" s="116"/>
      <c r="E33" s="116"/>
      <c r="F33" s="116"/>
      <c r="G33" s="116"/>
      <c r="H33" s="116"/>
      <c r="I33" s="116"/>
      <c r="J33" s="116"/>
      <c r="K33" s="116"/>
      <c r="L33" s="116"/>
      <c r="M33" s="116"/>
      <c r="N33" s="116"/>
      <c r="O33" s="116"/>
      <c r="P33" s="116"/>
      <c r="Q33" s="116"/>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6"/>
      <c r="AX33" s="116"/>
      <c r="AY33" s="116"/>
      <c r="AZ33" s="116"/>
      <c r="BA33" s="116"/>
      <c r="BB33" s="116"/>
      <c r="BC33" s="116"/>
      <c r="BD33" s="116"/>
      <c r="BE33" s="116"/>
      <c r="BF33" s="116"/>
      <c r="BG33" s="116"/>
      <c r="BH33" s="124"/>
      <c r="BI33" s="124"/>
      <c r="BJ33" s="116"/>
      <c r="BK33" s="116"/>
      <c r="BL33" s="116"/>
      <c r="BM33" s="116"/>
      <c r="BN33" s="116"/>
      <c r="BO33" s="116"/>
      <c r="BP33" s="125"/>
      <c r="BQ33" s="116"/>
    </row>
    <row r="34">
      <c r="A34" s="116"/>
      <c r="C34" s="116"/>
      <c r="D34" s="116"/>
      <c r="E34" s="116"/>
      <c r="F34" s="116"/>
      <c r="G34" s="116"/>
      <c r="H34" s="116"/>
      <c r="I34" s="116"/>
      <c r="J34" s="116"/>
      <c r="K34" s="116"/>
      <c r="L34" s="116"/>
      <c r="M34" s="116"/>
      <c r="N34" s="116"/>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c r="AT34" s="116"/>
      <c r="AU34" s="116"/>
      <c r="AV34" s="116"/>
      <c r="AW34" s="116"/>
      <c r="AX34" s="116"/>
      <c r="AY34" s="116"/>
      <c r="AZ34" s="116"/>
      <c r="BA34" s="116"/>
      <c r="BB34" s="116"/>
      <c r="BC34" s="116"/>
      <c r="BD34" s="116"/>
      <c r="BE34" s="116"/>
      <c r="BF34" s="116"/>
      <c r="BG34" s="116"/>
      <c r="BH34" s="124"/>
      <c r="BI34" s="124"/>
      <c r="BJ34" s="116"/>
      <c r="BK34" s="116"/>
      <c r="BL34" s="116"/>
      <c r="BM34" s="116"/>
      <c r="BN34" s="116"/>
      <c r="BO34" s="116"/>
      <c r="BP34" s="125"/>
      <c r="BQ34" s="116"/>
    </row>
    <row r="35">
      <c r="A35" s="116"/>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24"/>
      <c r="BI35" s="124"/>
      <c r="BJ35" s="116"/>
      <c r="BK35" s="116"/>
      <c r="BL35" s="116"/>
      <c r="BM35" s="116"/>
      <c r="BN35" s="116"/>
      <c r="BO35" s="116"/>
      <c r="BP35" s="125"/>
      <c r="BQ35" s="116"/>
    </row>
    <row r="36">
      <c r="A36" s="116"/>
      <c r="B36" s="116"/>
      <c r="C36" s="116"/>
      <c r="D36" s="116"/>
      <c r="E36" s="116"/>
      <c r="F36" s="116"/>
      <c r="G36" s="116"/>
      <c r="H36" s="116"/>
      <c r="I36" s="116"/>
      <c r="J36" s="116"/>
      <c r="K36" s="116"/>
      <c r="L36" s="116"/>
      <c r="M36" s="116"/>
      <c r="N36" s="116"/>
      <c r="O36" s="116"/>
      <c r="P36" s="116"/>
      <c r="Q36" s="12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24"/>
      <c r="BI36" s="124"/>
      <c r="BJ36" s="116"/>
      <c r="BK36" s="116"/>
      <c r="BL36" s="116"/>
      <c r="BM36" s="116"/>
      <c r="BN36" s="116"/>
      <c r="BO36" s="116"/>
      <c r="BP36" s="125"/>
      <c r="BQ36" s="116"/>
    </row>
    <row r="37">
      <c r="A37" s="116"/>
      <c r="B37" s="116"/>
      <c r="C37" s="116"/>
      <c r="D37" s="116"/>
      <c r="E37" s="116"/>
      <c r="F37" s="116"/>
      <c r="G37" s="116"/>
      <c r="H37" s="116"/>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24"/>
      <c r="BI37" s="124"/>
      <c r="BJ37" s="116"/>
      <c r="BK37" s="116"/>
      <c r="BL37" s="116"/>
      <c r="BM37" s="116"/>
      <c r="BN37" s="116"/>
      <c r="BO37" s="116"/>
      <c r="BP37" s="125"/>
      <c r="BQ37" s="116"/>
    </row>
    <row r="38">
      <c r="A38" s="116"/>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24"/>
      <c r="BI38" s="124"/>
      <c r="BJ38" s="116"/>
      <c r="BK38" s="116"/>
      <c r="BL38" s="116"/>
      <c r="BM38" s="116"/>
      <c r="BN38" s="116"/>
      <c r="BO38" s="116"/>
      <c r="BP38" s="125"/>
      <c r="BQ38" s="116"/>
    </row>
    <row r="39">
      <c r="A39" s="116"/>
      <c r="B39" s="116"/>
      <c r="C39" s="116"/>
      <c r="D39" s="116"/>
      <c r="E39" s="116"/>
      <c r="F39" s="116"/>
      <c r="G39" s="116"/>
      <c r="H39" s="116"/>
      <c r="I39" s="116"/>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24"/>
      <c r="BI39" s="124"/>
      <c r="BJ39" s="116"/>
      <c r="BK39" s="116"/>
      <c r="BL39" s="116"/>
      <c r="BM39" s="116"/>
      <c r="BN39" s="116"/>
      <c r="BO39" s="116"/>
      <c r="BP39" s="125"/>
      <c r="BQ39" s="116"/>
    </row>
    <row r="40">
      <c r="A40" s="116"/>
      <c r="B40" s="116"/>
      <c r="C40" s="116"/>
      <c r="D40" s="116"/>
      <c r="E40" s="116"/>
      <c r="F40" s="116"/>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24"/>
      <c r="BI40" s="124"/>
      <c r="BJ40" s="116"/>
      <c r="BK40" s="116"/>
      <c r="BL40" s="116"/>
      <c r="BM40" s="116"/>
      <c r="BN40" s="116"/>
      <c r="BO40" s="116"/>
      <c r="BP40" s="125"/>
      <c r="BQ40" s="116"/>
    </row>
    <row r="41">
      <c r="A41" s="116"/>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24"/>
      <c r="BI41" s="124"/>
      <c r="BJ41" s="116"/>
      <c r="BK41" s="116"/>
      <c r="BL41" s="116"/>
      <c r="BM41" s="116"/>
      <c r="BN41" s="116"/>
      <c r="BO41" s="116"/>
      <c r="BP41" s="125"/>
      <c r="BQ41" s="116"/>
    </row>
    <row r="42">
      <c r="A42" s="116"/>
      <c r="B42" s="116"/>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24"/>
      <c r="BI42" s="124"/>
      <c r="BJ42" s="116"/>
      <c r="BK42" s="116"/>
      <c r="BL42" s="116"/>
      <c r="BM42" s="116"/>
      <c r="BN42" s="116"/>
      <c r="BO42" s="116"/>
      <c r="BP42" s="125"/>
      <c r="BQ42" s="116"/>
    </row>
    <row r="43">
      <c r="A43" s="116"/>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24"/>
      <c r="BI43" s="124"/>
      <c r="BJ43" s="116"/>
      <c r="BK43" s="116"/>
      <c r="BL43" s="116"/>
      <c r="BM43" s="116"/>
      <c r="BN43" s="116"/>
      <c r="BO43" s="116"/>
      <c r="BP43" s="125"/>
      <c r="BQ43" s="116"/>
    </row>
    <row r="44">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24"/>
      <c r="BI44" s="124"/>
      <c r="BJ44" s="116"/>
      <c r="BK44" s="116"/>
      <c r="BL44" s="116"/>
      <c r="BM44" s="116"/>
      <c r="BN44" s="116"/>
      <c r="BO44" s="116"/>
      <c r="BP44" s="125"/>
      <c r="BQ44" s="116"/>
    </row>
    <row r="45">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24"/>
      <c r="BI45" s="124"/>
      <c r="BJ45" s="116"/>
      <c r="BK45" s="116"/>
      <c r="BL45" s="116"/>
      <c r="BM45" s="116"/>
      <c r="BN45" s="116"/>
      <c r="BO45" s="116"/>
      <c r="BP45" s="125"/>
      <c r="BQ45" s="116"/>
    </row>
    <row r="46">
      <c r="A46" s="116"/>
      <c r="B46" s="116"/>
      <c r="C46" s="116"/>
      <c r="D46" s="116"/>
      <c r="E46" s="116"/>
      <c r="F46" s="116"/>
      <c r="G46" s="116"/>
      <c r="H46" s="116"/>
      <c r="I46" s="116"/>
      <c r="J46" s="116"/>
      <c r="K46" s="116"/>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24"/>
      <c r="BI46" s="124"/>
      <c r="BJ46" s="116"/>
      <c r="BK46" s="116"/>
      <c r="BL46" s="116"/>
      <c r="BM46" s="116"/>
      <c r="BN46" s="116"/>
      <c r="BO46" s="116"/>
      <c r="BP46" s="125"/>
      <c r="BQ46" s="116"/>
    </row>
    <row r="47">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c r="BA47" s="116"/>
      <c r="BB47" s="116"/>
      <c r="BC47" s="116"/>
      <c r="BD47" s="116"/>
      <c r="BE47" s="116"/>
      <c r="BF47" s="116"/>
      <c r="BG47" s="116"/>
      <c r="BH47" s="124"/>
      <c r="BI47" s="124"/>
      <c r="BJ47" s="116"/>
      <c r="BK47" s="116"/>
      <c r="BL47" s="116"/>
      <c r="BM47" s="116"/>
      <c r="BN47" s="116"/>
      <c r="BO47" s="116"/>
      <c r="BP47" s="125"/>
      <c r="BQ47" s="116"/>
    </row>
    <row r="48">
      <c r="A48" s="116"/>
      <c r="B48" s="116"/>
      <c r="C48" s="116"/>
      <c r="D48" s="116"/>
      <c r="E48" s="116"/>
      <c r="F48" s="116"/>
      <c r="G48" s="116"/>
      <c r="H48" s="116"/>
      <c r="I48" s="116"/>
      <c r="J48" s="116"/>
      <c r="K48" s="116"/>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c r="AI48" s="116"/>
      <c r="AJ48" s="116"/>
      <c r="AK48" s="116"/>
      <c r="AL48" s="116"/>
      <c r="AM48" s="116"/>
      <c r="AN48" s="116"/>
      <c r="AO48" s="116"/>
      <c r="AP48" s="116"/>
      <c r="AQ48" s="116"/>
      <c r="AR48" s="116"/>
      <c r="AS48" s="116"/>
      <c r="AT48" s="116"/>
      <c r="AU48" s="116"/>
      <c r="AV48" s="116"/>
      <c r="AW48" s="116"/>
      <c r="AX48" s="116"/>
      <c r="AY48" s="116"/>
      <c r="AZ48" s="116"/>
      <c r="BA48" s="116"/>
      <c r="BB48" s="116"/>
      <c r="BC48" s="116"/>
      <c r="BD48" s="116"/>
      <c r="BE48" s="116"/>
      <c r="BF48" s="116"/>
      <c r="BG48" s="116"/>
      <c r="BH48" s="124"/>
      <c r="BI48" s="124"/>
      <c r="BJ48" s="116"/>
      <c r="BK48" s="116"/>
      <c r="BL48" s="116"/>
      <c r="BM48" s="116"/>
      <c r="BN48" s="116"/>
      <c r="BO48" s="116"/>
      <c r="BP48" s="125"/>
      <c r="BQ48" s="116"/>
    </row>
    <row r="49">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c r="AR49" s="116"/>
      <c r="AS49" s="116"/>
      <c r="AT49" s="116"/>
      <c r="AU49" s="116"/>
      <c r="AV49" s="116"/>
      <c r="AW49" s="116"/>
      <c r="AX49" s="116"/>
      <c r="AY49" s="116"/>
      <c r="AZ49" s="116"/>
      <c r="BA49" s="116"/>
      <c r="BB49" s="116"/>
      <c r="BC49" s="116"/>
      <c r="BD49" s="116"/>
      <c r="BE49" s="116"/>
      <c r="BF49" s="116"/>
      <c r="BG49" s="116"/>
      <c r="BH49" s="124"/>
      <c r="BI49" s="124"/>
      <c r="BJ49" s="116"/>
      <c r="BK49" s="116"/>
      <c r="BL49" s="116"/>
      <c r="BM49" s="116"/>
      <c r="BN49" s="116"/>
      <c r="BO49" s="116"/>
      <c r="BP49" s="125"/>
      <c r="BQ49" s="116"/>
    </row>
    <row r="50">
      <c r="A50" s="116"/>
      <c r="B50" s="116"/>
      <c r="C50" s="116"/>
      <c r="D50" s="116"/>
      <c r="E50" s="116"/>
      <c r="F50" s="116"/>
      <c r="G50" s="116"/>
      <c r="H50" s="116"/>
      <c r="I50" s="116"/>
      <c r="J50" s="116"/>
      <c r="K50" s="116"/>
      <c r="L50" s="116"/>
      <c r="M50" s="116"/>
      <c r="N50" s="116"/>
      <c r="O50" s="116"/>
      <c r="P50" s="116"/>
      <c r="Q50" s="116"/>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6"/>
      <c r="AS50" s="116"/>
      <c r="AT50" s="116"/>
      <c r="AU50" s="116"/>
      <c r="AV50" s="116"/>
      <c r="AW50" s="116"/>
      <c r="AX50" s="116"/>
      <c r="AY50" s="116"/>
      <c r="AZ50" s="116"/>
      <c r="BA50" s="116"/>
      <c r="BB50" s="116"/>
      <c r="BC50" s="116"/>
      <c r="BD50" s="116"/>
      <c r="BE50" s="116"/>
      <c r="BF50" s="116"/>
      <c r="BG50" s="116"/>
      <c r="BH50" s="124"/>
      <c r="BI50" s="124"/>
      <c r="BJ50" s="116"/>
      <c r="BK50" s="116"/>
      <c r="BL50" s="116"/>
      <c r="BM50" s="116"/>
      <c r="BN50" s="116"/>
      <c r="BO50" s="116"/>
      <c r="BP50" s="125"/>
      <c r="BQ50" s="116"/>
    </row>
    <row r="51">
      <c r="A51" s="116"/>
      <c r="B51" s="116"/>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24"/>
      <c r="BI51" s="124"/>
      <c r="BJ51" s="116"/>
      <c r="BK51" s="116"/>
      <c r="BL51" s="116"/>
      <c r="BM51" s="116"/>
      <c r="BN51" s="116"/>
      <c r="BO51" s="116"/>
      <c r="BP51" s="125"/>
      <c r="BQ51" s="116"/>
    </row>
    <row r="52">
      <c r="A52" s="116"/>
      <c r="B52" s="116"/>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24"/>
      <c r="BI52" s="124"/>
      <c r="BJ52" s="116"/>
      <c r="BK52" s="116"/>
      <c r="BL52" s="116"/>
      <c r="BM52" s="116"/>
      <c r="BN52" s="116"/>
      <c r="BO52" s="116"/>
      <c r="BP52" s="125"/>
      <c r="BQ52" s="116"/>
    </row>
    <row r="53">
      <c r="A53" s="116"/>
      <c r="B53" s="116"/>
      <c r="C53" s="116"/>
      <c r="D53" s="116"/>
      <c r="E53" s="116"/>
      <c r="F53" s="116"/>
      <c r="G53" s="116"/>
      <c r="H53" s="116"/>
      <c r="I53" s="116"/>
      <c r="J53" s="116"/>
      <c r="K53" s="116"/>
      <c r="L53" s="116"/>
      <c r="M53" s="116"/>
      <c r="N53" s="116"/>
      <c r="O53" s="116"/>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24"/>
      <c r="BI53" s="124"/>
      <c r="BJ53" s="116"/>
      <c r="BK53" s="116"/>
      <c r="BL53" s="116"/>
      <c r="BM53" s="116"/>
      <c r="BN53" s="116"/>
      <c r="BO53" s="116"/>
      <c r="BP53" s="125"/>
      <c r="BQ53" s="116"/>
    </row>
    <row r="54">
      <c r="A54" s="116"/>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24"/>
      <c r="BI54" s="124"/>
      <c r="BJ54" s="116"/>
      <c r="BK54" s="116"/>
      <c r="BL54" s="116"/>
      <c r="BM54" s="116"/>
      <c r="BN54" s="116"/>
      <c r="BO54" s="116"/>
      <c r="BP54" s="125"/>
      <c r="BQ54" s="116"/>
    </row>
    <row r="55">
      <c r="A55" s="116"/>
      <c r="B55" s="116"/>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24"/>
      <c r="BI55" s="124"/>
      <c r="BJ55" s="116"/>
      <c r="BK55" s="116"/>
      <c r="BL55" s="116"/>
      <c r="BM55" s="116"/>
      <c r="BN55" s="116"/>
      <c r="BO55" s="116"/>
      <c r="BP55" s="125"/>
      <c r="BQ55" s="116"/>
    </row>
    <row r="56">
      <c r="A56" s="116"/>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24"/>
      <c r="BI56" s="124"/>
      <c r="BJ56" s="116"/>
      <c r="BK56" s="116"/>
      <c r="BL56" s="116"/>
      <c r="BM56" s="116"/>
      <c r="BN56" s="116"/>
      <c r="BO56" s="116"/>
      <c r="BP56" s="125"/>
      <c r="BQ56" s="116"/>
    </row>
    <row r="57">
      <c r="A57" s="116"/>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24"/>
      <c r="BI57" s="124"/>
      <c r="BJ57" s="116"/>
      <c r="BK57" s="116"/>
      <c r="BL57" s="116"/>
      <c r="BM57" s="116"/>
      <c r="BN57" s="116"/>
      <c r="BO57" s="116"/>
      <c r="BP57" s="125"/>
      <c r="BQ57" s="116"/>
    </row>
    <row r="58">
      <c r="A58" s="116"/>
      <c r="B58" s="116"/>
      <c r="C58" s="116"/>
      <c r="D58" s="116"/>
      <c r="E58" s="116"/>
      <c r="F58" s="116"/>
      <c r="G58" s="116"/>
      <c r="H58" s="116"/>
      <c r="I58" s="116"/>
      <c r="J58" s="116"/>
      <c r="K58" s="116"/>
      <c r="L58" s="116"/>
      <c r="M58" s="116"/>
      <c r="N58" s="116"/>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24"/>
      <c r="BI58" s="124"/>
      <c r="BJ58" s="116"/>
      <c r="BK58" s="116"/>
      <c r="BL58" s="116"/>
      <c r="BM58" s="116"/>
      <c r="BN58" s="116"/>
      <c r="BO58" s="116"/>
      <c r="BP58" s="125"/>
      <c r="BQ58" s="116"/>
    </row>
    <row r="59">
      <c r="A59" s="116"/>
      <c r="B59" s="116"/>
      <c r="C59" s="116"/>
      <c r="D59" s="116"/>
      <c r="E59" s="116"/>
      <c r="F59" s="116"/>
      <c r="G59" s="116"/>
      <c r="H59" s="116"/>
      <c r="I59" s="116"/>
      <c r="J59" s="116"/>
      <c r="K59" s="116"/>
      <c r="L59" s="116"/>
      <c r="M59" s="116"/>
      <c r="N59" s="116"/>
      <c r="O59" s="116"/>
      <c r="P59" s="116"/>
      <c r="Q59" s="116"/>
      <c r="R59" s="116"/>
      <c r="S59" s="116"/>
      <c r="T59" s="116"/>
      <c r="U59" s="116"/>
      <c r="V59" s="116"/>
      <c r="W59" s="116"/>
      <c r="X59" s="116"/>
      <c r="Y59" s="116"/>
      <c r="Z59" s="116"/>
      <c r="AA59" s="116"/>
      <c r="AB59" s="116"/>
      <c r="AC59" s="116"/>
      <c r="AD59" s="116"/>
      <c r="AE59" s="116"/>
      <c r="AF59" s="116"/>
      <c r="AG59" s="116"/>
      <c r="AH59" s="116"/>
      <c r="AI59" s="116"/>
      <c r="AJ59" s="116"/>
      <c r="AK59" s="116"/>
      <c r="AL59" s="116"/>
      <c r="AM59" s="116"/>
      <c r="AN59" s="116"/>
      <c r="AO59" s="116"/>
      <c r="AP59" s="116"/>
      <c r="AQ59" s="116"/>
      <c r="AR59" s="116"/>
      <c r="AS59" s="116"/>
      <c r="AT59" s="116"/>
      <c r="AU59" s="116"/>
      <c r="AV59" s="116"/>
      <c r="AW59" s="116"/>
      <c r="AX59" s="116"/>
      <c r="AY59" s="116"/>
      <c r="AZ59" s="116"/>
      <c r="BA59" s="116"/>
      <c r="BB59" s="116"/>
      <c r="BC59" s="116"/>
      <c r="BD59" s="116"/>
      <c r="BE59" s="116"/>
      <c r="BF59" s="116"/>
      <c r="BG59" s="116"/>
      <c r="BH59" s="124"/>
      <c r="BI59" s="124"/>
      <c r="BJ59" s="116"/>
      <c r="BK59" s="116"/>
      <c r="BL59" s="116"/>
      <c r="BM59" s="116"/>
      <c r="BN59" s="116"/>
      <c r="BO59" s="116"/>
      <c r="BP59" s="125"/>
      <c r="BQ59" s="116"/>
    </row>
    <row r="60">
      <c r="A60" s="116"/>
      <c r="B60" s="116"/>
      <c r="C60" s="116"/>
      <c r="D60" s="116"/>
      <c r="E60" s="116"/>
      <c r="F60" s="116"/>
      <c r="G60" s="116"/>
      <c r="H60" s="116"/>
      <c r="I60" s="116"/>
      <c r="J60" s="116"/>
      <c r="K60" s="116"/>
      <c r="L60" s="116"/>
      <c r="M60" s="116"/>
      <c r="N60" s="116"/>
      <c r="O60" s="116"/>
      <c r="P60" s="116"/>
      <c r="Q60" s="116"/>
      <c r="R60" s="116"/>
      <c r="S60" s="116"/>
      <c r="T60" s="116"/>
      <c r="U60" s="116"/>
      <c r="V60" s="116"/>
      <c r="W60" s="116"/>
      <c r="X60" s="116"/>
      <c r="Y60" s="116"/>
      <c r="Z60" s="116"/>
      <c r="AA60" s="116"/>
      <c r="AB60" s="116"/>
      <c r="AC60" s="116"/>
      <c r="AD60" s="116"/>
      <c r="AE60" s="116"/>
      <c r="AF60" s="116"/>
      <c r="AG60" s="116"/>
      <c r="AH60" s="116"/>
      <c r="AI60" s="116"/>
      <c r="AJ60" s="116"/>
      <c r="AK60" s="116"/>
      <c r="AL60" s="116"/>
      <c r="AM60" s="116"/>
      <c r="AN60" s="116"/>
      <c r="AO60" s="116"/>
      <c r="AP60" s="116"/>
      <c r="AQ60" s="116"/>
      <c r="AR60" s="116"/>
      <c r="AS60" s="116"/>
      <c r="AT60" s="116"/>
      <c r="AU60" s="116"/>
      <c r="AV60" s="116"/>
      <c r="AW60" s="116"/>
      <c r="AX60" s="116"/>
      <c r="AY60" s="116"/>
      <c r="AZ60" s="116"/>
      <c r="BA60" s="116"/>
      <c r="BB60" s="116"/>
      <c r="BC60" s="116"/>
      <c r="BD60" s="116"/>
      <c r="BE60" s="116"/>
      <c r="BF60" s="116"/>
      <c r="BG60" s="116"/>
      <c r="BH60" s="124"/>
      <c r="BI60" s="124"/>
      <c r="BJ60" s="116"/>
      <c r="BK60" s="116"/>
      <c r="BL60" s="116"/>
      <c r="BM60" s="116"/>
      <c r="BN60" s="116"/>
      <c r="BO60" s="116"/>
      <c r="BP60" s="125"/>
      <c r="BQ60" s="116"/>
    </row>
    <row r="61">
      <c r="A61" s="116"/>
      <c r="B61" s="116"/>
      <c r="C61" s="116"/>
      <c r="D61" s="116"/>
      <c r="E61" s="116"/>
      <c r="F61" s="116"/>
      <c r="G61" s="116"/>
      <c r="H61" s="116"/>
      <c r="I61" s="116"/>
      <c r="J61" s="116"/>
      <c r="K61" s="116"/>
      <c r="L61" s="116"/>
      <c r="M61" s="116"/>
      <c r="N61" s="116"/>
      <c r="O61" s="116"/>
      <c r="P61" s="116"/>
      <c r="Q61" s="116"/>
      <c r="R61" s="116"/>
      <c r="S61" s="116"/>
      <c r="T61" s="116"/>
      <c r="U61" s="116"/>
      <c r="V61" s="116"/>
      <c r="W61" s="116"/>
      <c r="X61" s="116"/>
      <c r="Y61" s="116"/>
      <c r="Z61" s="116"/>
      <c r="AA61" s="116"/>
      <c r="AB61" s="116"/>
      <c r="AC61" s="116"/>
      <c r="AD61" s="116"/>
      <c r="AE61" s="116"/>
      <c r="AF61" s="116"/>
      <c r="AG61" s="116"/>
      <c r="AH61" s="116"/>
      <c r="AI61" s="116"/>
      <c r="AJ61" s="116"/>
      <c r="AK61" s="116"/>
      <c r="AL61" s="116"/>
      <c r="AM61" s="116"/>
      <c r="AN61" s="116"/>
      <c r="AO61" s="116"/>
      <c r="AP61" s="116"/>
      <c r="AQ61" s="116"/>
      <c r="AR61" s="116"/>
      <c r="AS61" s="116"/>
      <c r="AT61" s="116"/>
      <c r="AU61" s="116"/>
      <c r="AV61" s="116"/>
      <c r="AW61" s="116"/>
      <c r="AX61" s="116"/>
      <c r="AY61" s="116"/>
      <c r="AZ61" s="116"/>
      <c r="BA61" s="116"/>
      <c r="BB61" s="116"/>
      <c r="BC61" s="116"/>
      <c r="BD61" s="116"/>
      <c r="BE61" s="116"/>
      <c r="BF61" s="116"/>
      <c r="BG61" s="116"/>
      <c r="BH61" s="124"/>
      <c r="BI61" s="124"/>
      <c r="BJ61" s="116"/>
      <c r="BK61" s="116"/>
      <c r="BL61" s="116"/>
      <c r="BM61" s="116"/>
      <c r="BN61" s="116"/>
      <c r="BO61" s="116"/>
      <c r="BP61" s="125"/>
      <c r="BQ61" s="116"/>
    </row>
    <row r="62">
      <c r="A62" s="116"/>
      <c r="B62" s="116"/>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c r="AB62" s="116"/>
      <c r="AC62" s="116"/>
      <c r="AD62" s="116"/>
      <c r="AE62" s="116"/>
      <c r="AF62" s="116"/>
      <c r="AG62" s="116"/>
      <c r="AH62" s="116"/>
      <c r="AI62" s="116"/>
      <c r="AJ62" s="116"/>
      <c r="AK62" s="116"/>
      <c r="AL62" s="116"/>
      <c r="AM62" s="116"/>
      <c r="AN62" s="116"/>
      <c r="AO62" s="116"/>
      <c r="AP62" s="116"/>
      <c r="AQ62" s="116"/>
      <c r="AR62" s="116"/>
      <c r="AS62" s="116"/>
      <c r="AT62" s="116"/>
      <c r="AU62" s="116"/>
      <c r="AV62" s="116"/>
      <c r="AW62" s="116"/>
      <c r="AX62" s="116"/>
      <c r="AY62" s="116"/>
      <c r="AZ62" s="116"/>
      <c r="BA62" s="116"/>
      <c r="BB62" s="116"/>
      <c r="BC62" s="116"/>
      <c r="BD62" s="116"/>
      <c r="BE62" s="116"/>
      <c r="BF62" s="116"/>
      <c r="BG62" s="116"/>
      <c r="BH62" s="124"/>
      <c r="BI62" s="124"/>
      <c r="BJ62" s="116"/>
      <c r="BK62" s="116"/>
      <c r="BL62" s="116"/>
      <c r="BM62" s="116"/>
      <c r="BN62" s="116"/>
      <c r="BO62" s="116"/>
      <c r="BP62" s="125"/>
      <c r="BQ62" s="116"/>
    </row>
    <row r="63">
      <c r="A63" s="116"/>
      <c r="B63" s="116"/>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s="116"/>
      <c r="BC63" s="116"/>
      <c r="BD63" s="116"/>
      <c r="BE63" s="116"/>
      <c r="BF63" s="116"/>
      <c r="BG63" s="116"/>
      <c r="BH63" s="124"/>
      <c r="BI63" s="124"/>
      <c r="BJ63" s="116"/>
      <c r="BK63" s="116"/>
      <c r="BL63" s="116"/>
      <c r="BM63" s="116"/>
      <c r="BN63" s="116"/>
      <c r="BO63" s="116"/>
      <c r="BP63" s="125"/>
      <c r="BQ63" s="116"/>
    </row>
    <row r="64">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c r="AH64" s="116"/>
      <c r="AI64" s="116"/>
      <c r="AJ64" s="116"/>
      <c r="AK64" s="116"/>
      <c r="AL64" s="116"/>
      <c r="AM64" s="116"/>
      <c r="AN64" s="116"/>
      <c r="AO64" s="116"/>
      <c r="AP64" s="116"/>
      <c r="AQ64" s="116"/>
      <c r="AR64" s="116"/>
      <c r="AS64" s="116"/>
      <c r="AT64" s="116"/>
      <c r="AU64" s="116"/>
      <c r="AV64" s="116"/>
      <c r="AW64" s="116"/>
      <c r="AX64" s="116"/>
      <c r="AY64" s="116"/>
      <c r="AZ64" s="116"/>
      <c r="BA64" s="116"/>
      <c r="BB64" s="116"/>
      <c r="BC64" s="116"/>
      <c r="BD64" s="116"/>
      <c r="BE64" s="116"/>
      <c r="BF64" s="116"/>
      <c r="BG64" s="116"/>
      <c r="BH64" s="124"/>
      <c r="BI64" s="124"/>
      <c r="BJ64" s="116"/>
      <c r="BK64" s="116"/>
      <c r="BL64" s="116"/>
      <c r="BM64" s="116"/>
      <c r="BN64" s="116"/>
      <c r="BO64" s="116"/>
      <c r="BP64" s="125"/>
      <c r="BQ64" s="116"/>
    </row>
    <row r="65">
      <c r="A65" s="116"/>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c r="AR65" s="116"/>
      <c r="AS65" s="116"/>
      <c r="AT65" s="116"/>
      <c r="AU65" s="116"/>
      <c r="AV65" s="116"/>
      <c r="AW65" s="116"/>
      <c r="AX65" s="116"/>
      <c r="AY65" s="116"/>
      <c r="AZ65" s="116"/>
      <c r="BA65" s="116"/>
      <c r="BB65" s="116"/>
      <c r="BC65" s="116"/>
      <c r="BD65" s="116"/>
      <c r="BE65" s="116"/>
      <c r="BF65" s="116"/>
      <c r="BG65" s="116"/>
      <c r="BH65" s="124"/>
      <c r="BI65" s="124"/>
      <c r="BJ65" s="116"/>
      <c r="BK65" s="116"/>
      <c r="BL65" s="116"/>
      <c r="BM65" s="116"/>
      <c r="BN65" s="116"/>
      <c r="BO65" s="116"/>
      <c r="BP65" s="125"/>
      <c r="BQ65" s="116"/>
    </row>
    <row r="66">
      <c r="A66" s="116"/>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c r="AG66" s="116"/>
      <c r="AH66" s="116"/>
      <c r="AI66" s="116"/>
      <c r="AJ66" s="116"/>
      <c r="AK66" s="116"/>
      <c r="AL66" s="116"/>
      <c r="AM66" s="116"/>
      <c r="AN66" s="116"/>
      <c r="AO66" s="116"/>
      <c r="AP66" s="116"/>
      <c r="AQ66" s="116"/>
      <c r="AR66" s="116"/>
      <c r="AS66" s="116"/>
      <c r="AT66" s="116"/>
      <c r="AU66" s="116"/>
      <c r="AV66" s="116"/>
      <c r="AW66" s="116"/>
      <c r="AX66" s="116"/>
      <c r="AY66" s="116"/>
      <c r="AZ66" s="116"/>
      <c r="BA66" s="116"/>
      <c r="BB66" s="116"/>
      <c r="BC66" s="116"/>
      <c r="BD66" s="116"/>
      <c r="BE66" s="116"/>
      <c r="BF66" s="116"/>
      <c r="BG66" s="116"/>
      <c r="BH66" s="124"/>
      <c r="BI66" s="124"/>
      <c r="BJ66" s="116"/>
      <c r="BK66" s="116"/>
      <c r="BL66" s="116"/>
      <c r="BM66" s="116"/>
      <c r="BN66" s="116"/>
      <c r="BO66" s="116"/>
      <c r="BP66" s="125"/>
      <c r="BQ66" s="116"/>
    </row>
    <row r="67">
      <c r="A67" s="116"/>
      <c r="B67" s="116"/>
      <c r="C67" s="116"/>
      <c r="D67" s="116"/>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c r="AG67" s="116"/>
      <c r="AH67" s="116"/>
      <c r="AI67" s="116"/>
      <c r="AJ67" s="116"/>
      <c r="AK67" s="116"/>
      <c r="AL67" s="116"/>
      <c r="AM67" s="116"/>
      <c r="AN67" s="116"/>
      <c r="AO67" s="116"/>
      <c r="AP67" s="116"/>
      <c r="AQ67" s="116"/>
      <c r="AR67" s="116"/>
      <c r="AS67" s="116"/>
      <c r="AT67" s="116"/>
      <c r="AU67" s="116"/>
      <c r="AV67" s="116"/>
      <c r="AW67" s="116"/>
      <c r="AX67" s="116"/>
      <c r="AY67" s="116"/>
      <c r="AZ67" s="116"/>
      <c r="BA67" s="116"/>
      <c r="BB67" s="116"/>
      <c r="BC67" s="116"/>
      <c r="BD67" s="116"/>
      <c r="BE67" s="116"/>
      <c r="BF67" s="116"/>
      <c r="BG67" s="116"/>
      <c r="BH67" s="124"/>
      <c r="BI67" s="124"/>
      <c r="BJ67" s="116"/>
      <c r="BK67" s="116"/>
      <c r="BL67" s="116"/>
      <c r="BM67" s="116"/>
      <c r="BN67" s="116"/>
      <c r="BO67" s="116"/>
      <c r="BP67" s="125"/>
      <c r="BQ67" s="116"/>
    </row>
    <row r="68">
      <c r="A68" s="116"/>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c r="AT68" s="116"/>
      <c r="AU68" s="116"/>
      <c r="AV68" s="116"/>
      <c r="AW68" s="116"/>
      <c r="AX68" s="116"/>
      <c r="AY68" s="116"/>
      <c r="AZ68" s="116"/>
      <c r="BA68" s="116"/>
      <c r="BB68" s="116"/>
      <c r="BC68" s="116"/>
      <c r="BD68" s="116"/>
      <c r="BE68" s="116"/>
      <c r="BF68" s="116"/>
      <c r="BG68" s="116"/>
      <c r="BH68" s="124"/>
      <c r="BI68" s="124"/>
      <c r="BJ68" s="116"/>
      <c r="BK68" s="116"/>
      <c r="BL68" s="116"/>
      <c r="BM68" s="116"/>
      <c r="BN68" s="116"/>
      <c r="BO68" s="116"/>
      <c r="BP68" s="125"/>
      <c r="BQ68" s="116"/>
    </row>
    <row r="69">
      <c r="A69" s="116"/>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c r="AT69" s="116"/>
      <c r="AU69" s="116"/>
      <c r="AV69" s="116"/>
      <c r="AW69" s="116"/>
      <c r="AX69" s="116"/>
      <c r="AY69" s="116"/>
      <c r="AZ69" s="116"/>
      <c r="BA69" s="116"/>
      <c r="BB69" s="116"/>
      <c r="BC69" s="116"/>
      <c r="BD69" s="116"/>
      <c r="BE69" s="116"/>
      <c r="BF69" s="116"/>
      <c r="BG69" s="116"/>
      <c r="BH69" s="124"/>
      <c r="BI69" s="124"/>
      <c r="BJ69" s="116"/>
      <c r="BK69" s="116"/>
      <c r="BL69" s="116"/>
      <c r="BM69" s="116"/>
      <c r="BN69" s="116"/>
      <c r="BO69" s="116"/>
      <c r="BP69" s="125"/>
      <c r="BQ69" s="116"/>
    </row>
    <row r="70">
      <c r="A70" s="116"/>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c r="AT70" s="116"/>
      <c r="AU70" s="116"/>
      <c r="AV70" s="116"/>
      <c r="AW70" s="116"/>
      <c r="AX70" s="116"/>
      <c r="AY70" s="116"/>
      <c r="AZ70" s="116"/>
      <c r="BA70" s="116"/>
      <c r="BB70" s="116"/>
      <c r="BC70" s="116"/>
      <c r="BD70" s="116"/>
      <c r="BE70" s="116"/>
      <c r="BF70" s="116"/>
      <c r="BG70" s="116"/>
      <c r="BH70" s="124"/>
      <c r="BI70" s="124"/>
      <c r="BJ70" s="116"/>
      <c r="BK70" s="116"/>
      <c r="BL70" s="116"/>
      <c r="BM70" s="116"/>
      <c r="BN70" s="116"/>
      <c r="BO70" s="116"/>
      <c r="BP70" s="125"/>
      <c r="BQ70" s="116"/>
    </row>
    <row r="71">
      <c r="A71" s="116"/>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c r="AR71" s="116"/>
      <c r="AS71" s="116"/>
      <c r="AT71" s="116"/>
      <c r="AU71" s="116"/>
      <c r="AV71" s="116"/>
      <c r="AW71" s="116"/>
      <c r="AX71" s="116"/>
      <c r="AY71" s="116"/>
      <c r="AZ71" s="116"/>
      <c r="BA71" s="116"/>
      <c r="BB71" s="116"/>
      <c r="BC71" s="116"/>
      <c r="BD71" s="116"/>
      <c r="BE71" s="116"/>
      <c r="BF71" s="116"/>
      <c r="BG71" s="116"/>
      <c r="BH71" s="124"/>
      <c r="BI71" s="124"/>
      <c r="BJ71" s="116"/>
      <c r="BK71" s="116"/>
      <c r="BL71" s="116"/>
      <c r="BM71" s="116"/>
      <c r="BN71" s="116"/>
      <c r="BO71" s="116"/>
      <c r="BP71" s="125"/>
      <c r="BQ71" s="116"/>
    </row>
    <row r="72">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c r="BC72" s="116"/>
      <c r="BD72" s="116"/>
      <c r="BE72" s="116"/>
      <c r="BF72" s="116"/>
      <c r="BG72" s="116"/>
      <c r="BH72" s="124"/>
      <c r="BI72" s="124"/>
      <c r="BJ72" s="116"/>
      <c r="BK72" s="116"/>
      <c r="BL72" s="116"/>
      <c r="BM72" s="116"/>
      <c r="BN72" s="116"/>
      <c r="BO72" s="116"/>
      <c r="BP72" s="125"/>
      <c r="BQ72" s="116"/>
    </row>
    <row r="73">
      <c r="A73" s="116"/>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c r="AG73" s="116"/>
      <c r="AH73" s="116"/>
      <c r="AI73" s="116"/>
      <c r="AJ73" s="116"/>
      <c r="AK73" s="116"/>
      <c r="AL73" s="116"/>
      <c r="AM73" s="116"/>
      <c r="AN73" s="116"/>
      <c r="AO73" s="116"/>
      <c r="AP73" s="116"/>
      <c r="AQ73" s="116"/>
      <c r="AR73" s="116"/>
      <c r="AS73" s="116"/>
      <c r="AT73" s="116"/>
      <c r="AU73" s="116"/>
      <c r="AV73" s="116"/>
      <c r="AW73" s="116"/>
      <c r="AX73" s="116"/>
      <c r="AY73" s="116"/>
      <c r="AZ73" s="116"/>
      <c r="BA73" s="116"/>
      <c r="BB73" s="116"/>
      <c r="BC73" s="116"/>
      <c r="BD73" s="116"/>
      <c r="BE73" s="116"/>
      <c r="BF73" s="116"/>
      <c r="BG73" s="116"/>
      <c r="BH73" s="124"/>
      <c r="BI73" s="124"/>
      <c r="BJ73" s="116"/>
      <c r="BK73" s="116"/>
      <c r="BL73" s="116"/>
      <c r="BM73" s="116"/>
      <c r="BN73" s="116"/>
      <c r="BO73" s="116"/>
      <c r="BP73" s="125"/>
      <c r="BQ73" s="116"/>
    </row>
    <row r="74">
      <c r="A74" s="116"/>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c r="AA74" s="116"/>
      <c r="AB74" s="116"/>
      <c r="AC74" s="116"/>
      <c r="AD74" s="116"/>
      <c r="AE74" s="116"/>
      <c r="AF74" s="116"/>
      <c r="AG74" s="116"/>
      <c r="AH74" s="116"/>
      <c r="AI74" s="116"/>
      <c r="AJ74" s="116"/>
      <c r="AK74" s="116"/>
      <c r="AL74" s="116"/>
      <c r="AM74" s="116"/>
      <c r="AN74" s="116"/>
      <c r="AO74" s="116"/>
      <c r="AP74" s="116"/>
      <c r="AQ74" s="116"/>
      <c r="AR74" s="116"/>
      <c r="AS74" s="116"/>
      <c r="AT74" s="116"/>
      <c r="AU74" s="116"/>
      <c r="AV74" s="116"/>
      <c r="AW74" s="116"/>
      <c r="AX74" s="116"/>
      <c r="AY74" s="116"/>
      <c r="AZ74" s="116"/>
      <c r="BA74" s="116"/>
      <c r="BB74" s="116"/>
      <c r="BC74" s="116"/>
      <c r="BD74" s="116"/>
      <c r="BE74" s="116"/>
      <c r="BF74" s="116"/>
      <c r="BG74" s="116"/>
      <c r="BH74" s="124"/>
      <c r="BI74" s="124"/>
      <c r="BJ74" s="116"/>
      <c r="BK74" s="116"/>
      <c r="BL74" s="116"/>
      <c r="BM74" s="116"/>
      <c r="BN74" s="116"/>
      <c r="BO74" s="116"/>
      <c r="BP74" s="125"/>
      <c r="BQ74" s="116"/>
    </row>
    <row r="75">
      <c r="A75" s="116"/>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c r="AA75" s="116"/>
      <c r="AB75" s="116"/>
      <c r="AC75" s="116"/>
      <c r="AD75" s="116"/>
      <c r="AE75" s="116"/>
      <c r="AF75" s="116"/>
      <c r="AG75" s="116"/>
      <c r="AH75" s="116"/>
      <c r="AI75" s="116"/>
      <c r="AJ75" s="116"/>
      <c r="AK75" s="116"/>
      <c r="AL75" s="116"/>
      <c r="AM75" s="116"/>
      <c r="AN75" s="116"/>
      <c r="AO75" s="116"/>
      <c r="AP75" s="116"/>
      <c r="AQ75" s="116"/>
      <c r="AR75" s="116"/>
      <c r="AS75" s="116"/>
      <c r="AT75" s="116"/>
      <c r="AU75" s="116"/>
      <c r="AV75" s="116"/>
      <c r="AW75" s="116"/>
      <c r="AX75" s="116"/>
      <c r="AY75" s="116"/>
      <c r="AZ75" s="116"/>
      <c r="BA75" s="116"/>
      <c r="BB75" s="116"/>
      <c r="BC75" s="116"/>
      <c r="BD75" s="116"/>
      <c r="BE75" s="116"/>
      <c r="BF75" s="116"/>
      <c r="BG75" s="116"/>
      <c r="BH75" s="124"/>
      <c r="BI75" s="124"/>
      <c r="BJ75" s="116"/>
      <c r="BK75" s="116"/>
      <c r="BL75" s="116"/>
      <c r="BM75" s="116"/>
      <c r="BN75" s="116"/>
      <c r="BO75" s="116"/>
      <c r="BP75" s="125"/>
      <c r="BQ75" s="116"/>
    </row>
    <row r="76">
      <c r="A76" s="116"/>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c r="AD76" s="116"/>
      <c r="AE76" s="116"/>
      <c r="AF76" s="116"/>
      <c r="AG76" s="116"/>
      <c r="AH76" s="116"/>
      <c r="AI76" s="116"/>
      <c r="AJ76" s="116"/>
      <c r="AK76" s="116"/>
      <c r="AL76" s="116"/>
      <c r="AM76" s="116"/>
      <c r="AN76" s="116"/>
      <c r="AO76" s="116"/>
      <c r="AP76" s="116"/>
      <c r="AQ76" s="116"/>
      <c r="AR76" s="116"/>
      <c r="AS76" s="116"/>
      <c r="AT76" s="116"/>
      <c r="AU76" s="116"/>
      <c r="AV76" s="116"/>
      <c r="AW76" s="116"/>
      <c r="AX76" s="116"/>
      <c r="AY76" s="116"/>
      <c r="AZ76" s="116"/>
      <c r="BA76" s="116"/>
      <c r="BB76" s="116"/>
      <c r="BC76" s="116"/>
      <c r="BD76" s="116"/>
      <c r="BE76" s="116"/>
      <c r="BF76" s="116"/>
      <c r="BG76" s="116"/>
      <c r="BH76" s="124"/>
      <c r="BI76" s="124"/>
      <c r="BJ76" s="116"/>
      <c r="BK76" s="116"/>
      <c r="BL76" s="116"/>
      <c r="BM76" s="116"/>
      <c r="BN76" s="116"/>
      <c r="BO76" s="116"/>
      <c r="BP76" s="125"/>
      <c r="BQ76" s="116"/>
    </row>
    <row r="77">
      <c r="A77" s="116"/>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16"/>
      <c r="AD77" s="116"/>
      <c r="AE77" s="116"/>
      <c r="AF77" s="116"/>
      <c r="AG77" s="116"/>
      <c r="AH77" s="116"/>
      <c r="AI77" s="116"/>
      <c r="AJ77" s="116"/>
      <c r="AK77" s="116"/>
      <c r="AL77" s="116"/>
      <c r="AM77" s="116"/>
      <c r="AN77" s="116"/>
      <c r="AO77" s="116"/>
      <c r="AP77" s="116"/>
      <c r="AQ77" s="116"/>
      <c r="AR77" s="116"/>
      <c r="AS77" s="116"/>
      <c r="AT77" s="116"/>
      <c r="AU77" s="116"/>
      <c r="AV77" s="116"/>
      <c r="AW77" s="116"/>
      <c r="AX77" s="116"/>
      <c r="AY77" s="116"/>
      <c r="AZ77" s="116"/>
      <c r="BA77" s="116"/>
      <c r="BB77" s="116"/>
      <c r="BC77" s="116"/>
      <c r="BD77" s="116"/>
      <c r="BE77" s="116"/>
      <c r="BF77" s="116"/>
      <c r="BG77" s="116"/>
      <c r="BH77" s="124"/>
      <c r="BI77" s="124"/>
      <c r="BJ77" s="116"/>
      <c r="BK77" s="116"/>
      <c r="BL77" s="116"/>
      <c r="BM77" s="116"/>
      <c r="BN77" s="116"/>
      <c r="BO77" s="116"/>
      <c r="BP77" s="125"/>
      <c r="BQ77" s="116"/>
    </row>
    <row r="78">
      <c r="A78" s="116"/>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16"/>
      <c r="AD78" s="116"/>
      <c r="AE78" s="116"/>
      <c r="AF78" s="116"/>
      <c r="AG78" s="116"/>
      <c r="AH78" s="116"/>
      <c r="AI78" s="116"/>
      <c r="AJ78" s="116"/>
      <c r="AK78" s="116"/>
      <c r="AL78" s="116"/>
      <c r="AM78" s="116"/>
      <c r="AN78" s="116"/>
      <c r="AO78" s="116"/>
      <c r="AP78" s="116"/>
      <c r="AQ78" s="116"/>
      <c r="AR78" s="116"/>
      <c r="AS78" s="116"/>
      <c r="AT78" s="116"/>
      <c r="AU78" s="116"/>
      <c r="AV78" s="116"/>
      <c r="AW78" s="116"/>
      <c r="AX78" s="116"/>
      <c r="AY78" s="116"/>
      <c r="AZ78" s="116"/>
      <c r="BA78" s="116"/>
      <c r="BB78" s="116"/>
      <c r="BC78" s="116"/>
      <c r="BD78" s="116"/>
      <c r="BE78" s="116"/>
      <c r="BF78" s="116"/>
      <c r="BG78" s="116"/>
      <c r="BH78" s="124"/>
      <c r="BI78" s="124"/>
      <c r="BJ78" s="116"/>
      <c r="BK78" s="116"/>
      <c r="BL78" s="116"/>
      <c r="BM78" s="116"/>
      <c r="BN78" s="116"/>
      <c r="BO78" s="116"/>
      <c r="BP78" s="125"/>
      <c r="BQ78" s="116"/>
    </row>
    <row r="79">
      <c r="A79" s="116"/>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c r="AA79" s="116"/>
      <c r="AB79" s="116"/>
      <c r="AC79" s="116"/>
      <c r="AD79" s="116"/>
      <c r="AE79" s="116"/>
      <c r="AF79" s="116"/>
      <c r="AG79" s="116"/>
      <c r="AH79" s="116"/>
      <c r="AI79" s="116"/>
      <c r="AJ79" s="116"/>
      <c r="AK79" s="116"/>
      <c r="AL79" s="116"/>
      <c r="AM79" s="116"/>
      <c r="AN79" s="116"/>
      <c r="AO79" s="116"/>
      <c r="AP79" s="116"/>
      <c r="AQ79" s="116"/>
      <c r="AR79" s="116"/>
      <c r="AS79" s="116"/>
      <c r="AT79" s="116"/>
      <c r="AU79" s="116"/>
      <c r="AV79" s="116"/>
      <c r="AW79" s="116"/>
      <c r="AX79" s="116"/>
      <c r="AY79" s="116"/>
      <c r="AZ79" s="116"/>
      <c r="BA79" s="116"/>
      <c r="BB79" s="116"/>
      <c r="BC79" s="116"/>
      <c r="BD79" s="116"/>
      <c r="BE79" s="116"/>
      <c r="BF79" s="116"/>
      <c r="BG79" s="116"/>
      <c r="BH79" s="124"/>
      <c r="BI79" s="124"/>
      <c r="BJ79" s="116"/>
      <c r="BK79" s="116"/>
      <c r="BL79" s="116"/>
      <c r="BM79" s="116"/>
      <c r="BN79" s="116"/>
      <c r="BO79" s="116"/>
      <c r="BP79" s="125"/>
      <c r="BQ79" s="116"/>
    </row>
    <row r="80">
      <c r="A80" s="11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c r="AB80" s="116"/>
      <c r="AC80" s="116"/>
      <c r="AD80" s="116"/>
      <c r="AE80" s="116"/>
      <c r="AF80" s="116"/>
      <c r="AG80" s="116"/>
      <c r="AH80" s="116"/>
      <c r="AI80" s="116"/>
      <c r="AJ80" s="116"/>
      <c r="AK80" s="116"/>
      <c r="AL80" s="116"/>
      <c r="AM80" s="116"/>
      <c r="AN80" s="116"/>
      <c r="AO80" s="116"/>
      <c r="AP80" s="116"/>
      <c r="AQ80" s="116"/>
      <c r="AR80" s="116"/>
      <c r="AS80" s="116"/>
      <c r="AT80" s="116"/>
      <c r="AU80" s="116"/>
      <c r="AV80" s="116"/>
      <c r="AW80" s="116"/>
      <c r="AX80" s="116"/>
      <c r="AY80" s="116"/>
      <c r="AZ80" s="116"/>
      <c r="BA80" s="116"/>
      <c r="BB80" s="116"/>
      <c r="BC80" s="116"/>
      <c r="BD80" s="116"/>
      <c r="BE80" s="116"/>
      <c r="BF80" s="116"/>
      <c r="BG80" s="116"/>
      <c r="BH80" s="124"/>
      <c r="BI80" s="124"/>
      <c r="BJ80" s="116"/>
      <c r="BK80" s="116"/>
      <c r="BL80" s="116"/>
      <c r="BM80" s="116"/>
      <c r="BN80" s="116"/>
      <c r="BO80" s="116"/>
      <c r="BP80" s="125"/>
      <c r="BQ80" s="116"/>
    </row>
    <row r="81">
      <c r="A81" s="11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c r="AA81" s="116"/>
      <c r="AB81" s="116"/>
      <c r="AC81" s="116"/>
      <c r="AD81" s="116"/>
      <c r="AE81" s="116"/>
      <c r="AF81" s="116"/>
      <c r="AG81" s="116"/>
      <c r="AH81" s="116"/>
      <c r="AI81" s="116"/>
      <c r="AJ81" s="116"/>
      <c r="AK81" s="116"/>
      <c r="AL81" s="116"/>
      <c r="AM81" s="116"/>
      <c r="AN81" s="116"/>
      <c r="AO81" s="116"/>
      <c r="AP81" s="116"/>
      <c r="AQ81" s="116"/>
      <c r="AR81" s="116"/>
      <c r="AS81" s="116"/>
      <c r="AT81" s="116"/>
      <c r="AU81" s="116"/>
      <c r="AV81" s="116"/>
      <c r="AW81" s="116"/>
      <c r="AX81" s="116"/>
      <c r="AY81" s="116"/>
      <c r="AZ81" s="116"/>
      <c r="BA81" s="116"/>
      <c r="BB81" s="116"/>
      <c r="BC81" s="116"/>
      <c r="BD81" s="116"/>
      <c r="BE81" s="116"/>
      <c r="BF81" s="116"/>
      <c r="BG81" s="116"/>
      <c r="BH81" s="124"/>
      <c r="BI81" s="124"/>
      <c r="BJ81" s="116"/>
      <c r="BK81" s="116"/>
      <c r="BL81" s="116"/>
      <c r="BM81" s="116"/>
      <c r="BN81" s="116"/>
      <c r="BO81" s="116"/>
      <c r="BP81" s="125"/>
      <c r="BQ81" s="116"/>
    </row>
    <row r="82">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c r="AA82" s="116"/>
      <c r="AB82" s="116"/>
      <c r="AC82" s="116"/>
      <c r="AD82" s="116"/>
      <c r="AE82" s="116"/>
      <c r="AF82" s="116"/>
      <c r="AG82" s="116"/>
      <c r="AH82" s="116"/>
      <c r="AI82" s="116"/>
      <c r="AJ82" s="116"/>
      <c r="AK82" s="116"/>
      <c r="AL82" s="116"/>
      <c r="AM82" s="116"/>
      <c r="AN82" s="116"/>
      <c r="AO82" s="116"/>
      <c r="AP82" s="116"/>
      <c r="AQ82" s="116"/>
      <c r="AR82" s="116"/>
      <c r="AS82" s="116"/>
      <c r="AT82" s="116"/>
      <c r="AU82" s="116"/>
      <c r="AV82" s="116"/>
      <c r="AW82" s="116"/>
      <c r="AX82" s="116"/>
      <c r="AY82" s="116"/>
      <c r="AZ82" s="116"/>
      <c r="BA82" s="116"/>
      <c r="BB82" s="116"/>
      <c r="BC82" s="116"/>
      <c r="BD82" s="116"/>
      <c r="BE82" s="116"/>
      <c r="BF82" s="116"/>
      <c r="BG82" s="116"/>
      <c r="BH82" s="124"/>
      <c r="BI82" s="124"/>
      <c r="BJ82" s="116"/>
      <c r="BK82" s="116"/>
      <c r="BL82" s="116"/>
      <c r="BM82" s="116"/>
      <c r="BN82" s="116"/>
      <c r="BO82" s="116"/>
      <c r="BP82" s="125"/>
      <c r="BQ82" s="116"/>
    </row>
    <row r="83">
      <c r="A83" s="116"/>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c r="AA83" s="116"/>
      <c r="AB83" s="116"/>
      <c r="AC83" s="116"/>
      <c r="AD83" s="116"/>
      <c r="AE83" s="116"/>
      <c r="AF83" s="116"/>
      <c r="AG83" s="116"/>
      <c r="AH83" s="116"/>
      <c r="AI83" s="116"/>
      <c r="AJ83" s="116"/>
      <c r="AK83" s="116"/>
      <c r="AL83" s="116"/>
      <c r="AM83" s="116"/>
      <c r="AN83" s="116"/>
      <c r="AO83" s="116"/>
      <c r="AP83" s="116"/>
      <c r="AQ83" s="116"/>
      <c r="AR83" s="116"/>
      <c r="AS83" s="116"/>
      <c r="AT83" s="116"/>
      <c r="AU83" s="116"/>
      <c r="AV83" s="116"/>
      <c r="AW83" s="116"/>
      <c r="AX83" s="116"/>
      <c r="AY83" s="116"/>
      <c r="AZ83" s="116"/>
      <c r="BA83" s="116"/>
      <c r="BB83" s="116"/>
      <c r="BC83" s="116"/>
      <c r="BD83" s="116"/>
      <c r="BE83" s="116"/>
      <c r="BF83" s="116"/>
      <c r="BG83" s="116"/>
      <c r="BH83" s="124"/>
      <c r="BI83" s="124"/>
      <c r="BJ83" s="116"/>
      <c r="BK83" s="116"/>
      <c r="BL83" s="116"/>
      <c r="BM83" s="116"/>
      <c r="BN83" s="116"/>
      <c r="BO83" s="116"/>
      <c r="BP83" s="125"/>
      <c r="BQ83" s="116"/>
    </row>
    <row r="84">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c r="AG84" s="116"/>
      <c r="AH84" s="116"/>
      <c r="AI84" s="116"/>
      <c r="AJ84" s="116"/>
      <c r="AK84" s="116"/>
      <c r="AL84" s="116"/>
      <c r="AM84" s="116"/>
      <c r="AN84" s="116"/>
      <c r="AO84" s="116"/>
      <c r="AP84" s="116"/>
      <c r="AQ84" s="116"/>
      <c r="AR84" s="116"/>
      <c r="AS84" s="116"/>
      <c r="AT84" s="116"/>
      <c r="AU84" s="116"/>
      <c r="AV84" s="116"/>
      <c r="AW84" s="116"/>
      <c r="AX84" s="116"/>
      <c r="AY84" s="116"/>
      <c r="AZ84" s="116"/>
      <c r="BA84" s="116"/>
      <c r="BB84" s="116"/>
      <c r="BC84" s="116"/>
      <c r="BD84" s="116"/>
      <c r="BE84" s="116"/>
      <c r="BF84" s="116"/>
      <c r="BG84" s="116"/>
      <c r="BH84" s="124"/>
      <c r="BI84" s="124"/>
      <c r="BJ84" s="116"/>
      <c r="BK84" s="116"/>
      <c r="BL84" s="116"/>
      <c r="BM84" s="116"/>
      <c r="BN84" s="116"/>
      <c r="BO84" s="116"/>
      <c r="BP84" s="125"/>
      <c r="BQ84" s="116"/>
    </row>
    <row r="85">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116"/>
      <c r="AH85" s="116"/>
      <c r="AI85" s="116"/>
      <c r="AJ85" s="116"/>
      <c r="AK85" s="116"/>
      <c r="AL85" s="116"/>
      <c r="AM85" s="116"/>
      <c r="AN85" s="116"/>
      <c r="AO85" s="116"/>
      <c r="AP85" s="116"/>
      <c r="AQ85" s="116"/>
      <c r="AR85" s="116"/>
      <c r="AS85" s="116"/>
      <c r="AT85" s="116"/>
      <c r="AU85" s="116"/>
      <c r="AV85" s="116"/>
      <c r="AW85" s="116"/>
      <c r="AX85" s="116"/>
      <c r="AY85" s="116"/>
      <c r="AZ85" s="116"/>
      <c r="BA85" s="116"/>
      <c r="BB85" s="116"/>
      <c r="BC85" s="116"/>
      <c r="BD85" s="116"/>
      <c r="BE85" s="116"/>
      <c r="BF85" s="116"/>
      <c r="BG85" s="116"/>
      <c r="BH85" s="124"/>
      <c r="BI85" s="124"/>
      <c r="BJ85" s="116"/>
      <c r="BK85" s="116"/>
      <c r="BL85" s="116"/>
      <c r="BM85" s="116"/>
      <c r="BN85" s="116"/>
      <c r="BO85" s="116"/>
      <c r="BP85" s="125"/>
      <c r="BQ85" s="116"/>
    </row>
    <row r="86">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c r="AI86" s="116"/>
      <c r="AJ86" s="116"/>
      <c r="AK86" s="116"/>
      <c r="AL86" s="116"/>
      <c r="AM86" s="116"/>
      <c r="AN86" s="116"/>
      <c r="AO86" s="116"/>
      <c r="AP86" s="116"/>
      <c r="AQ86" s="116"/>
      <c r="AR86" s="116"/>
      <c r="AS86" s="116"/>
      <c r="AT86" s="116"/>
      <c r="AU86" s="116"/>
      <c r="AV86" s="116"/>
      <c r="AW86" s="116"/>
      <c r="AX86" s="116"/>
      <c r="AY86" s="116"/>
      <c r="AZ86" s="116"/>
      <c r="BA86" s="116"/>
      <c r="BB86" s="116"/>
      <c r="BC86" s="116"/>
      <c r="BD86" s="116"/>
      <c r="BE86" s="116"/>
      <c r="BF86" s="116"/>
      <c r="BG86" s="116"/>
      <c r="BH86" s="124"/>
      <c r="BI86" s="124"/>
      <c r="BJ86" s="116"/>
      <c r="BK86" s="116"/>
      <c r="BL86" s="116"/>
      <c r="BM86" s="116"/>
      <c r="BN86" s="116"/>
      <c r="BO86" s="116"/>
      <c r="BP86" s="125"/>
      <c r="BQ86" s="116"/>
    </row>
    <row r="87">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c r="AI87" s="116"/>
      <c r="AJ87" s="116"/>
      <c r="AK87" s="116"/>
      <c r="AL87" s="116"/>
      <c r="AM87" s="116"/>
      <c r="AN87" s="116"/>
      <c r="AO87" s="116"/>
      <c r="AP87" s="116"/>
      <c r="AQ87" s="116"/>
      <c r="AR87" s="116"/>
      <c r="AS87" s="116"/>
      <c r="AT87" s="116"/>
      <c r="AU87" s="116"/>
      <c r="AV87" s="116"/>
      <c r="AW87" s="116"/>
      <c r="AX87" s="116"/>
      <c r="AY87" s="116"/>
      <c r="AZ87" s="116"/>
      <c r="BA87" s="116"/>
      <c r="BB87" s="116"/>
      <c r="BC87" s="116"/>
      <c r="BD87" s="116"/>
      <c r="BE87" s="116"/>
      <c r="BF87" s="116"/>
      <c r="BG87" s="116"/>
      <c r="BH87" s="124"/>
      <c r="BI87" s="124"/>
      <c r="BJ87" s="116"/>
      <c r="BK87" s="116"/>
      <c r="BL87" s="116"/>
      <c r="BM87" s="116"/>
      <c r="BN87" s="116"/>
      <c r="BO87" s="116"/>
      <c r="BP87" s="125"/>
      <c r="BQ87" s="116"/>
    </row>
    <row r="88">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c r="AI88" s="116"/>
      <c r="AJ88" s="116"/>
      <c r="AK88" s="116"/>
      <c r="AL88" s="116"/>
      <c r="AM88" s="116"/>
      <c r="AN88" s="116"/>
      <c r="AO88" s="116"/>
      <c r="AP88" s="116"/>
      <c r="AQ88" s="116"/>
      <c r="AR88" s="116"/>
      <c r="AS88" s="116"/>
      <c r="AT88" s="116"/>
      <c r="AU88" s="116"/>
      <c r="AV88" s="116"/>
      <c r="AW88" s="116"/>
      <c r="AX88" s="116"/>
      <c r="AY88" s="116"/>
      <c r="AZ88" s="116"/>
      <c r="BA88" s="116"/>
      <c r="BB88" s="116"/>
      <c r="BC88" s="116"/>
      <c r="BD88" s="116"/>
      <c r="BE88" s="116"/>
      <c r="BF88" s="116"/>
      <c r="BG88" s="116"/>
      <c r="BH88" s="124"/>
      <c r="BI88" s="124"/>
      <c r="BJ88" s="116"/>
      <c r="BK88" s="116"/>
      <c r="BL88" s="116"/>
      <c r="BM88" s="116"/>
      <c r="BN88" s="116"/>
      <c r="BO88" s="116"/>
      <c r="BP88" s="125"/>
      <c r="BQ88" s="116"/>
    </row>
    <row r="89">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c r="AR89" s="116"/>
      <c r="AS89" s="116"/>
      <c r="AT89" s="116"/>
      <c r="AU89" s="116"/>
      <c r="AV89" s="116"/>
      <c r="AW89" s="116"/>
      <c r="AX89" s="116"/>
      <c r="AY89" s="116"/>
      <c r="AZ89" s="116"/>
      <c r="BA89" s="116"/>
      <c r="BB89" s="116"/>
      <c r="BC89" s="116"/>
      <c r="BD89" s="116"/>
      <c r="BE89" s="116"/>
      <c r="BF89" s="116"/>
      <c r="BG89" s="116"/>
      <c r="BH89" s="124"/>
      <c r="BI89" s="124"/>
      <c r="BJ89" s="116"/>
      <c r="BK89" s="116"/>
      <c r="BL89" s="116"/>
      <c r="BM89" s="116"/>
      <c r="BN89" s="116"/>
      <c r="BO89" s="116"/>
      <c r="BP89" s="125"/>
      <c r="BQ89" s="116"/>
    </row>
    <row r="90">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A90" s="116"/>
      <c r="BB90" s="116"/>
      <c r="BC90" s="116"/>
      <c r="BD90" s="116"/>
      <c r="BE90" s="116"/>
      <c r="BF90" s="116"/>
      <c r="BG90" s="116"/>
      <c r="BH90" s="124"/>
      <c r="BI90" s="124"/>
      <c r="BJ90" s="116"/>
      <c r="BK90" s="116"/>
      <c r="BL90" s="116"/>
      <c r="BM90" s="116"/>
      <c r="BN90" s="116"/>
      <c r="BO90" s="116"/>
      <c r="BP90" s="125"/>
      <c r="BQ90" s="116"/>
    </row>
    <row r="91">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A91" s="116"/>
      <c r="BB91" s="116"/>
      <c r="BC91" s="116"/>
      <c r="BD91" s="116"/>
      <c r="BE91" s="116"/>
      <c r="BF91" s="116"/>
      <c r="BG91" s="116"/>
      <c r="BH91" s="124"/>
      <c r="BI91" s="124"/>
      <c r="BJ91" s="116"/>
      <c r="BK91" s="116"/>
      <c r="BL91" s="116"/>
      <c r="BM91" s="116"/>
      <c r="BN91" s="116"/>
      <c r="BO91" s="116"/>
      <c r="BP91" s="125"/>
      <c r="BQ91" s="116"/>
    </row>
    <row r="92">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c r="AI92" s="116"/>
      <c r="AJ92" s="116"/>
      <c r="AK92" s="116"/>
      <c r="AL92" s="116"/>
      <c r="AM92" s="116"/>
      <c r="AN92" s="116"/>
      <c r="AO92" s="116"/>
      <c r="AP92" s="116"/>
      <c r="AQ92" s="116"/>
      <c r="AR92" s="116"/>
      <c r="AS92" s="116"/>
      <c r="AT92" s="116"/>
      <c r="AU92" s="116"/>
      <c r="AV92" s="116"/>
      <c r="AW92" s="116"/>
      <c r="AX92" s="116"/>
      <c r="AY92" s="116"/>
      <c r="AZ92" s="116"/>
      <c r="BA92" s="116"/>
      <c r="BB92" s="116"/>
      <c r="BC92" s="116"/>
      <c r="BD92" s="116"/>
      <c r="BE92" s="116"/>
      <c r="BF92" s="116"/>
      <c r="BG92" s="116"/>
      <c r="BH92" s="124"/>
      <c r="BI92" s="124"/>
      <c r="BJ92" s="116"/>
      <c r="BK92" s="116"/>
      <c r="BL92" s="116"/>
      <c r="BM92" s="116"/>
      <c r="BN92" s="116"/>
      <c r="BO92" s="116"/>
      <c r="BP92" s="125"/>
      <c r="BQ92" s="116"/>
    </row>
    <row r="93">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c r="AG93" s="116"/>
      <c r="AH93" s="116"/>
      <c r="AI93" s="116"/>
      <c r="AJ93" s="116"/>
      <c r="AK93" s="116"/>
      <c r="AL93" s="116"/>
      <c r="AM93" s="116"/>
      <c r="AN93" s="116"/>
      <c r="AO93" s="116"/>
      <c r="AP93" s="116"/>
      <c r="AQ93" s="116"/>
      <c r="AR93" s="116"/>
      <c r="AS93" s="116"/>
      <c r="AT93" s="116"/>
      <c r="AU93" s="116"/>
      <c r="AV93" s="116"/>
      <c r="AW93" s="116"/>
      <c r="AX93" s="116"/>
      <c r="AY93" s="116"/>
      <c r="AZ93" s="116"/>
      <c r="BA93" s="116"/>
      <c r="BB93" s="116"/>
      <c r="BC93" s="116"/>
      <c r="BD93" s="116"/>
      <c r="BE93" s="116"/>
      <c r="BF93" s="116"/>
      <c r="BG93" s="116"/>
      <c r="BH93" s="124"/>
      <c r="BI93" s="124"/>
      <c r="BJ93" s="116"/>
      <c r="BK93" s="116"/>
      <c r="BL93" s="116"/>
      <c r="BM93" s="116"/>
      <c r="BN93" s="116"/>
      <c r="BO93" s="116"/>
      <c r="BP93" s="125"/>
      <c r="BQ93" s="116"/>
    </row>
    <row r="94">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c r="AI94" s="116"/>
      <c r="AJ94" s="116"/>
      <c r="AK94" s="116"/>
      <c r="AL94" s="116"/>
      <c r="AM94" s="116"/>
      <c r="AN94" s="116"/>
      <c r="AO94" s="116"/>
      <c r="AP94" s="116"/>
      <c r="AQ94" s="116"/>
      <c r="AR94" s="116"/>
      <c r="AS94" s="116"/>
      <c r="AT94" s="116"/>
      <c r="AU94" s="116"/>
      <c r="AV94" s="116"/>
      <c r="AW94" s="116"/>
      <c r="AX94" s="116"/>
      <c r="AY94" s="116"/>
      <c r="AZ94" s="116"/>
      <c r="BA94" s="116"/>
      <c r="BB94" s="116"/>
      <c r="BC94" s="116"/>
      <c r="BD94" s="116"/>
      <c r="BE94" s="116"/>
      <c r="BF94" s="116"/>
      <c r="BG94" s="116"/>
      <c r="BH94" s="124"/>
      <c r="BI94" s="124"/>
      <c r="BJ94" s="116"/>
      <c r="BK94" s="116"/>
      <c r="BL94" s="116"/>
      <c r="BM94" s="116"/>
      <c r="BN94" s="116"/>
      <c r="BO94" s="116"/>
      <c r="BP94" s="125"/>
      <c r="BQ94" s="116"/>
    </row>
    <row r="95">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c r="AI95" s="116"/>
      <c r="AJ95" s="116"/>
      <c r="AK95" s="116"/>
      <c r="AL95" s="116"/>
      <c r="AM95" s="116"/>
      <c r="AN95" s="116"/>
      <c r="AO95" s="116"/>
      <c r="AP95" s="116"/>
      <c r="AQ95" s="116"/>
      <c r="AR95" s="116"/>
      <c r="AS95" s="116"/>
      <c r="AT95" s="116"/>
      <c r="AU95" s="116"/>
      <c r="AV95" s="116"/>
      <c r="AW95" s="116"/>
      <c r="AX95" s="116"/>
      <c r="AY95" s="116"/>
      <c r="AZ95" s="116"/>
      <c r="BA95" s="116"/>
      <c r="BB95" s="116"/>
      <c r="BC95" s="116"/>
      <c r="BD95" s="116"/>
      <c r="BE95" s="116"/>
      <c r="BF95" s="116"/>
      <c r="BG95" s="116"/>
      <c r="BH95" s="124"/>
      <c r="BI95" s="124"/>
      <c r="BJ95" s="116"/>
      <c r="BK95" s="116"/>
      <c r="BL95" s="116"/>
      <c r="BM95" s="116"/>
      <c r="BN95" s="116"/>
      <c r="BO95" s="116"/>
      <c r="BP95" s="125"/>
      <c r="BQ95" s="116"/>
    </row>
    <row r="96">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c r="AI96" s="116"/>
      <c r="AJ96" s="116"/>
      <c r="AK96" s="116"/>
      <c r="AL96" s="116"/>
      <c r="AM96" s="116"/>
      <c r="AN96" s="116"/>
      <c r="AO96" s="116"/>
      <c r="AP96" s="116"/>
      <c r="AQ96" s="116"/>
      <c r="AR96" s="116"/>
      <c r="AS96" s="116"/>
      <c r="AT96" s="116"/>
      <c r="AU96" s="116"/>
      <c r="AV96" s="116"/>
      <c r="AW96" s="116"/>
      <c r="AX96" s="116"/>
      <c r="AY96" s="116"/>
      <c r="AZ96" s="116"/>
      <c r="BA96" s="116"/>
      <c r="BB96" s="116"/>
      <c r="BC96" s="116"/>
      <c r="BD96" s="116"/>
      <c r="BE96" s="116"/>
      <c r="BF96" s="116"/>
      <c r="BG96" s="116"/>
      <c r="BH96" s="124"/>
      <c r="BI96" s="124"/>
      <c r="BJ96" s="116"/>
      <c r="BK96" s="116"/>
      <c r="BL96" s="116"/>
      <c r="BM96" s="116"/>
      <c r="BN96" s="116"/>
      <c r="BO96" s="116"/>
      <c r="BP96" s="125"/>
      <c r="BQ96" s="116"/>
    </row>
    <row r="97">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s="116"/>
      <c r="BB97" s="116"/>
      <c r="BC97" s="116"/>
      <c r="BD97" s="116"/>
      <c r="BE97" s="116"/>
      <c r="BF97" s="116"/>
      <c r="BG97" s="116"/>
      <c r="BH97" s="124"/>
      <c r="BI97" s="124"/>
      <c r="BJ97" s="116"/>
      <c r="BK97" s="116"/>
      <c r="BL97" s="116"/>
      <c r="BM97" s="116"/>
      <c r="BN97" s="116"/>
      <c r="BO97" s="116"/>
      <c r="BP97" s="125"/>
      <c r="BQ97" s="116"/>
    </row>
    <row r="98">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c r="AT98" s="116"/>
      <c r="AU98" s="116"/>
      <c r="AV98" s="116"/>
      <c r="AW98" s="116"/>
      <c r="AX98" s="116"/>
      <c r="AY98" s="116"/>
      <c r="AZ98" s="116"/>
      <c r="BA98" s="116"/>
      <c r="BB98" s="116"/>
      <c r="BC98" s="116"/>
      <c r="BD98" s="116"/>
      <c r="BE98" s="116"/>
      <c r="BF98" s="116"/>
      <c r="BG98" s="116"/>
      <c r="BH98" s="124"/>
      <c r="BI98" s="124"/>
      <c r="BJ98" s="116"/>
      <c r="BK98" s="116"/>
      <c r="BL98" s="116"/>
      <c r="BM98" s="116"/>
      <c r="BN98" s="116"/>
      <c r="BO98" s="116"/>
      <c r="BP98" s="125"/>
      <c r="BQ98" s="116"/>
    </row>
    <row r="99">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c r="AI99" s="116"/>
      <c r="AJ99" s="116"/>
      <c r="AK99" s="116"/>
      <c r="AL99" s="116"/>
      <c r="AM99" s="116"/>
      <c r="AN99" s="116"/>
      <c r="AO99" s="116"/>
      <c r="AP99" s="116"/>
      <c r="AQ99" s="116"/>
      <c r="AR99" s="116"/>
      <c r="AS99" s="116"/>
      <c r="AT99" s="116"/>
      <c r="AU99" s="116"/>
      <c r="AV99" s="116"/>
      <c r="AW99" s="116"/>
      <c r="AX99" s="116"/>
      <c r="AY99" s="116"/>
      <c r="AZ99" s="116"/>
      <c r="BA99" s="116"/>
      <c r="BB99" s="116"/>
      <c r="BC99" s="116"/>
      <c r="BD99" s="116"/>
      <c r="BE99" s="116"/>
      <c r="BF99" s="116"/>
      <c r="BG99" s="116"/>
      <c r="BH99" s="124"/>
      <c r="BI99" s="124"/>
      <c r="BJ99" s="116"/>
      <c r="BK99" s="116"/>
      <c r="BL99" s="116"/>
      <c r="BM99" s="116"/>
      <c r="BN99" s="116"/>
      <c r="BO99" s="116"/>
      <c r="BP99" s="125"/>
      <c r="BQ99" s="116"/>
    </row>
    <row r="100">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c r="AX100" s="116"/>
      <c r="AY100" s="116"/>
      <c r="AZ100" s="116"/>
      <c r="BA100" s="116"/>
      <c r="BB100" s="116"/>
      <c r="BC100" s="116"/>
      <c r="BD100" s="116"/>
      <c r="BE100" s="116"/>
      <c r="BF100" s="116"/>
      <c r="BG100" s="116"/>
      <c r="BH100" s="124"/>
      <c r="BI100" s="124"/>
      <c r="BJ100" s="116"/>
      <c r="BK100" s="116"/>
      <c r="BL100" s="116"/>
      <c r="BM100" s="116"/>
      <c r="BN100" s="116"/>
      <c r="BO100" s="116"/>
      <c r="BP100" s="125"/>
      <c r="BQ100" s="116"/>
    </row>
    <row r="10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s="116"/>
      <c r="BB101" s="116"/>
      <c r="BC101" s="116"/>
      <c r="BD101" s="116"/>
      <c r="BE101" s="116"/>
      <c r="BF101" s="116"/>
      <c r="BG101" s="116"/>
      <c r="BH101" s="124"/>
      <c r="BI101" s="124"/>
      <c r="BJ101" s="116"/>
      <c r="BK101" s="116"/>
      <c r="BL101" s="116"/>
      <c r="BM101" s="116"/>
      <c r="BN101" s="116"/>
      <c r="BO101" s="116"/>
      <c r="BP101" s="125"/>
      <c r="BQ101" s="116"/>
    </row>
    <row r="102">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s="116"/>
      <c r="BB102" s="116"/>
      <c r="BC102" s="116"/>
      <c r="BD102" s="116"/>
      <c r="BE102" s="116"/>
      <c r="BF102" s="116"/>
      <c r="BG102" s="116"/>
      <c r="BH102" s="124"/>
      <c r="BI102" s="124"/>
      <c r="BJ102" s="116"/>
      <c r="BK102" s="116"/>
      <c r="BL102" s="116"/>
      <c r="BM102" s="116"/>
      <c r="BN102" s="116"/>
      <c r="BO102" s="116"/>
      <c r="BP102" s="125"/>
      <c r="BQ102" s="116"/>
    </row>
    <row r="103">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c r="BC103" s="116"/>
      <c r="BD103" s="116"/>
      <c r="BE103" s="116"/>
      <c r="BF103" s="116"/>
      <c r="BG103" s="116"/>
      <c r="BH103" s="124"/>
      <c r="BI103" s="124"/>
      <c r="BJ103" s="116"/>
      <c r="BK103" s="116"/>
      <c r="BL103" s="116"/>
      <c r="BM103" s="116"/>
      <c r="BN103" s="116"/>
      <c r="BO103" s="116"/>
      <c r="BP103" s="125"/>
      <c r="BQ103" s="116"/>
    </row>
    <row r="104">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s="116"/>
      <c r="BB104" s="116"/>
      <c r="BC104" s="116"/>
      <c r="BD104" s="116"/>
      <c r="BE104" s="116"/>
      <c r="BF104" s="116"/>
      <c r="BG104" s="116"/>
      <c r="BH104" s="124"/>
      <c r="BI104" s="124"/>
      <c r="BJ104" s="116"/>
      <c r="BK104" s="116"/>
      <c r="BL104" s="116"/>
      <c r="BM104" s="116"/>
      <c r="BN104" s="116"/>
      <c r="BO104" s="116"/>
      <c r="BP104" s="125"/>
      <c r="BQ104" s="116"/>
    </row>
    <row r="105">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c r="AX105" s="116"/>
      <c r="AY105" s="116"/>
      <c r="AZ105" s="116"/>
      <c r="BA105" s="116"/>
      <c r="BB105" s="116"/>
      <c r="BC105" s="116"/>
      <c r="BD105" s="116"/>
      <c r="BE105" s="116"/>
      <c r="BF105" s="116"/>
      <c r="BG105" s="116"/>
      <c r="BH105" s="124"/>
      <c r="BI105" s="124"/>
      <c r="BJ105" s="116"/>
      <c r="BK105" s="116"/>
      <c r="BL105" s="116"/>
      <c r="BM105" s="116"/>
      <c r="BN105" s="116"/>
      <c r="BO105" s="116"/>
      <c r="BP105" s="125"/>
      <c r="BQ105" s="116"/>
    </row>
    <row r="106">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c r="BC106" s="116"/>
      <c r="BD106" s="116"/>
      <c r="BE106" s="116"/>
      <c r="BF106" s="116"/>
      <c r="BG106" s="116"/>
      <c r="BH106" s="124"/>
      <c r="BI106" s="124"/>
      <c r="BJ106" s="116"/>
      <c r="BK106" s="116"/>
      <c r="BL106" s="116"/>
      <c r="BM106" s="116"/>
      <c r="BN106" s="116"/>
      <c r="BO106" s="116"/>
      <c r="BP106" s="125"/>
      <c r="BQ106" s="116"/>
    </row>
    <row r="107">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c r="AX107" s="116"/>
      <c r="AY107" s="116"/>
      <c r="AZ107" s="116"/>
      <c r="BA107" s="116"/>
      <c r="BB107" s="116"/>
      <c r="BC107" s="116"/>
      <c r="BD107" s="116"/>
      <c r="BE107" s="116"/>
      <c r="BF107" s="116"/>
      <c r="BG107" s="116"/>
      <c r="BH107" s="124"/>
      <c r="BI107" s="124"/>
      <c r="BJ107" s="116"/>
      <c r="BK107" s="116"/>
      <c r="BL107" s="116"/>
      <c r="BM107" s="116"/>
      <c r="BN107" s="116"/>
      <c r="BO107" s="116"/>
      <c r="BP107" s="125"/>
      <c r="BQ107" s="116"/>
    </row>
    <row r="108">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c r="BC108" s="116"/>
      <c r="BD108" s="116"/>
      <c r="BE108" s="116"/>
      <c r="BF108" s="116"/>
      <c r="BG108" s="116"/>
      <c r="BH108" s="124"/>
      <c r="BI108" s="124"/>
      <c r="BJ108" s="116"/>
      <c r="BK108" s="116"/>
      <c r="BL108" s="116"/>
      <c r="BM108" s="116"/>
      <c r="BN108" s="116"/>
      <c r="BO108" s="116"/>
      <c r="BP108" s="125"/>
      <c r="BQ108" s="116"/>
    </row>
    <row r="109">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c r="BC109" s="116"/>
      <c r="BD109" s="116"/>
      <c r="BE109" s="116"/>
      <c r="BF109" s="116"/>
      <c r="BG109" s="116"/>
      <c r="BH109" s="124"/>
      <c r="BI109" s="124"/>
      <c r="BJ109" s="116"/>
      <c r="BK109" s="116"/>
      <c r="BL109" s="116"/>
      <c r="BM109" s="116"/>
      <c r="BN109" s="116"/>
      <c r="BO109" s="116"/>
      <c r="BP109" s="125"/>
      <c r="BQ109" s="116"/>
    </row>
    <row r="110">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c r="BC110" s="116"/>
      <c r="BD110" s="116"/>
      <c r="BE110" s="116"/>
      <c r="BF110" s="116"/>
      <c r="BG110" s="116"/>
      <c r="BH110" s="124"/>
      <c r="BI110" s="124"/>
      <c r="BJ110" s="116"/>
      <c r="BK110" s="116"/>
      <c r="BL110" s="116"/>
      <c r="BM110" s="116"/>
      <c r="BN110" s="116"/>
      <c r="BO110" s="116"/>
      <c r="BP110" s="125"/>
      <c r="BQ110" s="116"/>
    </row>
    <row r="11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c r="BC111" s="116"/>
      <c r="BD111" s="116"/>
      <c r="BE111" s="116"/>
      <c r="BF111" s="116"/>
      <c r="BG111" s="116"/>
      <c r="BH111" s="124"/>
      <c r="BI111" s="124"/>
      <c r="BJ111" s="116"/>
      <c r="BK111" s="116"/>
      <c r="BL111" s="116"/>
      <c r="BM111" s="116"/>
      <c r="BN111" s="116"/>
      <c r="BO111" s="116"/>
      <c r="BP111" s="125"/>
      <c r="BQ111" s="116"/>
    </row>
    <row r="112">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c r="BC112" s="116"/>
      <c r="BD112" s="116"/>
      <c r="BE112" s="116"/>
      <c r="BF112" s="116"/>
      <c r="BG112" s="116"/>
      <c r="BH112" s="124"/>
      <c r="BI112" s="124"/>
      <c r="BJ112" s="116"/>
      <c r="BK112" s="116"/>
      <c r="BL112" s="116"/>
      <c r="BM112" s="116"/>
      <c r="BN112" s="116"/>
      <c r="BO112" s="116"/>
      <c r="BP112" s="125"/>
      <c r="BQ112" s="116"/>
    </row>
    <row r="113">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s="116"/>
      <c r="BB113" s="116"/>
      <c r="BC113" s="116"/>
      <c r="BD113" s="116"/>
      <c r="BE113" s="116"/>
      <c r="BF113" s="116"/>
      <c r="BG113" s="116"/>
      <c r="BH113" s="124"/>
      <c r="BI113" s="124"/>
      <c r="BJ113" s="116"/>
      <c r="BK113" s="116"/>
      <c r="BL113" s="116"/>
      <c r="BM113" s="116"/>
      <c r="BN113" s="116"/>
      <c r="BO113" s="116"/>
      <c r="BP113" s="125"/>
      <c r="BQ113" s="116"/>
    </row>
    <row r="114">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s="116"/>
      <c r="BB114" s="116"/>
      <c r="BC114" s="116"/>
      <c r="BD114" s="116"/>
      <c r="BE114" s="116"/>
      <c r="BF114" s="116"/>
      <c r="BG114" s="116"/>
      <c r="BH114" s="124"/>
      <c r="BI114" s="124"/>
      <c r="BJ114" s="116"/>
      <c r="BK114" s="116"/>
      <c r="BL114" s="116"/>
      <c r="BM114" s="116"/>
      <c r="BN114" s="116"/>
      <c r="BO114" s="116"/>
      <c r="BP114" s="125"/>
      <c r="BQ114" s="116"/>
    </row>
    <row r="115">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c r="AX115" s="116"/>
      <c r="AY115" s="116"/>
      <c r="AZ115" s="116"/>
      <c r="BA115" s="116"/>
      <c r="BB115" s="116"/>
      <c r="BC115" s="116"/>
      <c r="BD115" s="116"/>
      <c r="BE115" s="116"/>
      <c r="BF115" s="116"/>
      <c r="BG115" s="116"/>
      <c r="BH115" s="124"/>
      <c r="BI115" s="124"/>
      <c r="BJ115" s="116"/>
      <c r="BK115" s="116"/>
      <c r="BL115" s="116"/>
      <c r="BM115" s="116"/>
      <c r="BN115" s="116"/>
      <c r="BO115" s="116"/>
      <c r="BP115" s="125"/>
      <c r="BQ115" s="116"/>
    </row>
    <row r="116">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c r="AX116" s="116"/>
      <c r="AY116" s="116"/>
      <c r="AZ116" s="116"/>
      <c r="BA116" s="116"/>
      <c r="BB116" s="116"/>
      <c r="BC116" s="116"/>
      <c r="BD116" s="116"/>
      <c r="BE116" s="116"/>
      <c r="BF116" s="116"/>
      <c r="BG116" s="116"/>
      <c r="BH116" s="124"/>
      <c r="BI116" s="124"/>
      <c r="BJ116" s="116"/>
      <c r="BK116" s="116"/>
      <c r="BL116" s="116"/>
      <c r="BM116" s="116"/>
      <c r="BN116" s="116"/>
      <c r="BO116" s="116"/>
      <c r="BP116" s="125"/>
      <c r="BQ116" s="116"/>
    </row>
    <row r="117">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c r="AX117" s="116"/>
      <c r="AY117" s="116"/>
      <c r="AZ117" s="116"/>
      <c r="BA117" s="116"/>
      <c r="BB117" s="116"/>
      <c r="BC117" s="116"/>
      <c r="BD117" s="116"/>
      <c r="BE117" s="116"/>
      <c r="BF117" s="116"/>
      <c r="BG117" s="116"/>
      <c r="BH117" s="124"/>
      <c r="BI117" s="124"/>
      <c r="BJ117" s="116"/>
      <c r="BK117" s="116"/>
      <c r="BL117" s="116"/>
      <c r="BM117" s="116"/>
      <c r="BN117" s="116"/>
      <c r="BO117" s="116"/>
      <c r="BP117" s="125"/>
      <c r="BQ117" s="116"/>
    </row>
    <row r="118">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c r="BC118" s="116"/>
      <c r="BD118" s="116"/>
      <c r="BE118" s="116"/>
      <c r="BF118" s="116"/>
      <c r="BG118" s="116"/>
      <c r="BH118" s="124"/>
      <c r="BI118" s="124"/>
      <c r="BJ118" s="116"/>
      <c r="BK118" s="116"/>
      <c r="BL118" s="116"/>
      <c r="BM118" s="116"/>
      <c r="BN118" s="116"/>
      <c r="BO118" s="116"/>
      <c r="BP118" s="125"/>
      <c r="BQ118" s="116"/>
    </row>
    <row r="119">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c r="AX119" s="116"/>
      <c r="AY119" s="116"/>
      <c r="AZ119" s="116"/>
      <c r="BA119" s="116"/>
      <c r="BB119" s="116"/>
      <c r="BC119" s="116"/>
      <c r="BD119" s="116"/>
      <c r="BE119" s="116"/>
      <c r="BF119" s="116"/>
      <c r="BG119" s="116"/>
      <c r="BH119" s="124"/>
      <c r="BI119" s="124"/>
      <c r="BJ119" s="116"/>
      <c r="BK119" s="116"/>
      <c r="BL119" s="116"/>
      <c r="BM119" s="116"/>
      <c r="BN119" s="116"/>
      <c r="BO119" s="116"/>
      <c r="BP119" s="125"/>
      <c r="BQ119" s="116"/>
    </row>
    <row r="120">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c r="AX120" s="116"/>
      <c r="AY120" s="116"/>
      <c r="AZ120" s="116"/>
      <c r="BA120" s="116"/>
      <c r="BB120" s="116"/>
      <c r="BC120" s="116"/>
      <c r="BD120" s="116"/>
      <c r="BE120" s="116"/>
      <c r="BF120" s="116"/>
      <c r="BG120" s="116"/>
      <c r="BH120" s="124"/>
      <c r="BI120" s="124"/>
      <c r="BJ120" s="116"/>
      <c r="BK120" s="116"/>
      <c r="BL120" s="116"/>
      <c r="BM120" s="116"/>
      <c r="BN120" s="116"/>
      <c r="BO120" s="116"/>
      <c r="BP120" s="125"/>
      <c r="BQ120" s="116"/>
    </row>
    <row r="12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c r="AX121" s="116"/>
      <c r="AY121" s="116"/>
      <c r="AZ121" s="116"/>
      <c r="BA121" s="116"/>
      <c r="BB121" s="116"/>
      <c r="BC121" s="116"/>
      <c r="BD121" s="116"/>
      <c r="BE121" s="116"/>
      <c r="BF121" s="116"/>
      <c r="BG121" s="116"/>
      <c r="BH121" s="124"/>
      <c r="BI121" s="124"/>
      <c r="BJ121" s="116"/>
      <c r="BK121" s="116"/>
      <c r="BL121" s="116"/>
      <c r="BM121" s="116"/>
      <c r="BN121" s="116"/>
      <c r="BO121" s="116"/>
      <c r="BP121" s="125"/>
      <c r="BQ121" s="116"/>
    </row>
    <row r="122">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c r="AX122" s="116"/>
      <c r="AY122" s="116"/>
      <c r="AZ122" s="116"/>
      <c r="BA122" s="116"/>
      <c r="BB122" s="116"/>
      <c r="BC122" s="116"/>
      <c r="BD122" s="116"/>
      <c r="BE122" s="116"/>
      <c r="BF122" s="116"/>
      <c r="BG122" s="116"/>
      <c r="BH122" s="124"/>
      <c r="BI122" s="124"/>
      <c r="BJ122" s="116"/>
      <c r="BK122" s="116"/>
      <c r="BL122" s="116"/>
      <c r="BM122" s="116"/>
      <c r="BN122" s="116"/>
      <c r="BO122" s="116"/>
      <c r="BP122" s="125"/>
      <c r="BQ122" s="116"/>
    </row>
    <row r="123">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c r="BC123" s="116"/>
      <c r="BD123" s="116"/>
      <c r="BE123" s="116"/>
      <c r="BF123" s="116"/>
      <c r="BG123" s="116"/>
      <c r="BH123" s="124"/>
      <c r="BI123" s="124"/>
      <c r="BJ123" s="116"/>
      <c r="BK123" s="116"/>
      <c r="BL123" s="116"/>
      <c r="BM123" s="116"/>
      <c r="BN123" s="116"/>
      <c r="BO123" s="116"/>
      <c r="BP123" s="125"/>
      <c r="BQ123" s="116"/>
    </row>
    <row r="124">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c r="AX124" s="116"/>
      <c r="AY124" s="116"/>
      <c r="AZ124" s="116"/>
      <c r="BA124" s="116"/>
      <c r="BB124" s="116"/>
      <c r="BC124" s="116"/>
      <c r="BD124" s="116"/>
      <c r="BE124" s="116"/>
      <c r="BF124" s="116"/>
      <c r="BG124" s="116"/>
      <c r="BH124" s="124"/>
      <c r="BI124" s="124"/>
      <c r="BJ124" s="116"/>
      <c r="BK124" s="116"/>
      <c r="BL124" s="116"/>
      <c r="BM124" s="116"/>
      <c r="BN124" s="116"/>
      <c r="BO124" s="116"/>
      <c r="BP124" s="125"/>
      <c r="BQ124" s="116"/>
    </row>
    <row r="125">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c r="AX125" s="116"/>
      <c r="AY125" s="116"/>
      <c r="AZ125" s="116"/>
      <c r="BA125" s="116"/>
      <c r="BB125" s="116"/>
      <c r="BC125" s="116"/>
      <c r="BD125" s="116"/>
      <c r="BE125" s="116"/>
      <c r="BF125" s="116"/>
      <c r="BG125" s="116"/>
      <c r="BH125" s="124"/>
      <c r="BI125" s="124"/>
      <c r="BJ125" s="116"/>
      <c r="BK125" s="116"/>
      <c r="BL125" s="116"/>
      <c r="BM125" s="116"/>
      <c r="BN125" s="116"/>
      <c r="BO125" s="116"/>
      <c r="BP125" s="125"/>
      <c r="BQ125" s="116"/>
    </row>
    <row r="126">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c r="AX126" s="116"/>
      <c r="AY126" s="116"/>
      <c r="AZ126" s="116"/>
      <c r="BA126" s="116"/>
      <c r="BB126" s="116"/>
      <c r="BC126" s="116"/>
      <c r="BD126" s="116"/>
      <c r="BE126" s="116"/>
      <c r="BF126" s="116"/>
      <c r="BG126" s="116"/>
      <c r="BH126" s="124"/>
      <c r="BI126" s="124"/>
      <c r="BJ126" s="116"/>
      <c r="BK126" s="116"/>
      <c r="BL126" s="116"/>
      <c r="BM126" s="116"/>
      <c r="BN126" s="116"/>
      <c r="BO126" s="116"/>
      <c r="BP126" s="125"/>
      <c r="BQ126" s="116"/>
    </row>
    <row r="127">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c r="AX127" s="116"/>
      <c r="AY127" s="116"/>
      <c r="AZ127" s="116"/>
      <c r="BA127" s="116"/>
      <c r="BB127" s="116"/>
      <c r="BC127" s="116"/>
      <c r="BD127" s="116"/>
      <c r="BE127" s="116"/>
      <c r="BF127" s="116"/>
      <c r="BG127" s="116"/>
      <c r="BH127" s="124"/>
      <c r="BI127" s="124"/>
      <c r="BJ127" s="116"/>
      <c r="BK127" s="116"/>
      <c r="BL127" s="116"/>
      <c r="BM127" s="116"/>
      <c r="BN127" s="116"/>
      <c r="BO127" s="116"/>
      <c r="BP127" s="125"/>
      <c r="BQ127" s="116"/>
    </row>
    <row r="128">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c r="AX128" s="116"/>
      <c r="AY128" s="116"/>
      <c r="AZ128" s="116"/>
      <c r="BA128" s="116"/>
      <c r="BB128" s="116"/>
      <c r="BC128" s="116"/>
      <c r="BD128" s="116"/>
      <c r="BE128" s="116"/>
      <c r="BF128" s="116"/>
      <c r="BG128" s="116"/>
      <c r="BH128" s="124"/>
      <c r="BI128" s="124"/>
      <c r="BJ128" s="116"/>
      <c r="BK128" s="116"/>
      <c r="BL128" s="116"/>
      <c r="BM128" s="116"/>
      <c r="BN128" s="116"/>
      <c r="BO128" s="116"/>
      <c r="BP128" s="125"/>
      <c r="BQ128" s="116"/>
    </row>
    <row r="129">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c r="BC129" s="116"/>
      <c r="BD129" s="116"/>
      <c r="BE129" s="116"/>
      <c r="BF129" s="116"/>
      <c r="BG129" s="116"/>
      <c r="BH129" s="124"/>
      <c r="BI129" s="124"/>
      <c r="BJ129" s="116"/>
      <c r="BK129" s="116"/>
      <c r="BL129" s="116"/>
      <c r="BM129" s="116"/>
      <c r="BN129" s="116"/>
      <c r="BO129" s="116"/>
      <c r="BP129" s="125"/>
      <c r="BQ129" s="116"/>
    </row>
    <row r="130">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c r="AX130" s="116"/>
      <c r="AY130" s="116"/>
      <c r="AZ130" s="116"/>
      <c r="BA130" s="116"/>
      <c r="BB130" s="116"/>
      <c r="BC130" s="116"/>
      <c r="BD130" s="116"/>
      <c r="BE130" s="116"/>
      <c r="BF130" s="116"/>
      <c r="BG130" s="116"/>
      <c r="BH130" s="124"/>
      <c r="BI130" s="124"/>
      <c r="BJ130" s="116"/>
      <c r="BK130" s="116"/>
      <c r="BL130" s="116"/>
      <c r="BM130" s="116"/>
      <c r="BN130" s="116"/>
      <c r="BO130" s="116"/>
      <c r="BP130" s="125"/>
      <c r="BQ130" s="116"/>
    </row>
    <row r="13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c r="BC131" s="116"/>
      <c r="BD131" s="116"/>
      <c r="BE131" s="116"/>
      <c r="BF131" s="116"/>
      <c r="BG131" s="116"/>
      <c r="BH131" s="124"/>
      <c r="BI131" s="124"/>
      <c r="BJ131" s="116"/>
      <c r="BK131" s="116"/>
      <c r="BL131" s="116"/>
      <c r="BM131" s="116"/>
      <c r="BN131" s="116"/>
      <c r="BO131" s="116"/>
      <c r="BP131" s="125"/>
      <c r="BQ131" s="116"/>
    </row>
    <row r="132">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c r="BC132" s="116"/>
      <c r="BD132" s="116"/>
      <c r="BE132" s="116"/>
      <c r="BF132" s="116"/>
      <c r="BG132" s="116"/>
      <c r="BH132" s="124"/>
      <c r="BI132" s="124"/>
      <c r="BJ132" s="116"/>
      <c r="BK132" s="116"/>
      <c r="BL132" s="116"/>
      <c r="BM132" s="116"/>
      <c r="BN132" s="116"/>
      <c r="BO132" s="116"/>
      <c r="BP132" s="125"/>
      <c r="BQ132" s="116"/>
    </row>
    <row r="133">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c r="AX133" s="116"/>
      <c r="AY133" s="116"/>
      <c r="AZ133" s="116"/>
      <c r="BA133" s="116"/>
      <c r="BB133" s="116"/>
      <c r="BC133" s="116"/>
      <c r="BD133" s="116"/>
      <c r="BE133" s="116"/>
      <c r="BF133" s="116"/>
      <c r="BG133" s="116"/>
      <c r="BH133" s="124"/>
      <c r="BI133" s="124"/>
      <c r="BJ133" s="116"/>
      <c r="BK133" s="116"/>
      <c r="BL133" s="116"/>
      <c r="BM133" s="116"/>
      <c r="BN133" s="116"/>
      <c r="BO133" s="116"/>
      <c r="BP133" s="125"/>
      <c r="BQ133" s="116"/>
    </row>
    <row r="134">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c r="BC134" s="116"/>
      <c r="BD134" s="116"/>
      <c r="BE134" s="116"/>
      <c r="BF134" s="116"/>
      <c r="BG134" s="116"/>
      <c r="BH134" s="124"/>
      <c r="BI134" s="124"/>
      <c r="BJ134" s="116"/>
      <c r="BK134" s="116"/>
      <c r="BL134" s="116"/>
      <c r="BM134" s="116"/>
      <c r="BN134" s="116"/>
      <c r="BO134" s="116"/>
      <c r="BP134" s="125"/>
      <c r="BQ134" s="116"/>
    </row>
    <row r="135">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c r="BC135" s="116"/>
      <c r="BD135" s="116"/>
      <c r="BE135" s="116"/>
      <c r="BF135" s="116"/>
      <c r="BG135" s="116"/>
      <c r="BH135" s="124"/>
      <c r="BI135" s="124"/>
      <c r="BJ135" s="116"/>
      <c r="BK135" s="116"/>
      <c r="BL135" s="116"/>
      <c r="BM135" s="116"/>
      <c r="BN135" s="116"/>
      <c r="BO135" s="116"/>
      <c r="BP135" s="125"/>
      <c r="BQ135" s="116"/>
    </row>
    <row r="136">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c r="AX136" s="116"/>
      <c r="AY136" s="116"/>
      <c r="AZ136" s="116"/>
      <c r="BA136" s="116"/>
      <c r="BB136" s="116"/>
      <c r="BC136" s="116"/>
      <c r="BD136" s="116"/>
      <c r="BE136" s="116"/>
      <c r="BF136" s="116"/>
      <c r="BG136" s="116"/>
      <c r="BH136" s="124"/>
      <c r="BI136" s="124"/>
      <c r="BJ136" s="116"/>
      <c r="BK136" s="116"/>
      <c r="BL136" s="116"/>
      <c r="BM136" s="116"/>
      <c r="BN136" s="116"/>
      <c r="BO136" s="116"/>
      <c r="BP136" s="125"/>
      <c r="BQ136" s="116"/>
    </row>
    <row r="137">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c r="AX137" s="116"/>
      <c r="AY137" s="116"/>
      <c r="AZ137" s="116"/>
      <c r="BA137" s="116"/>
      <c r="BB137" s="116"/>
      <c r="BC137" s="116"/>
      <c r="BD137" s="116"/>
      <c r="BE137" s="116"/>
      <c r="BF137" s="116"/>
      <c r="BG137" s="116"/>
      <c r="BH137" s="124"/>
      <c r="BI137" s="124"/>
      <c r="BJ137" s="116"/>
      <c r="BK137" s="116"/>
      <c r="BL137" s="116"/>
      <c r="BM137" s="116"/>
      <c r="BN137" s="116"/>
      <c r="BO137" s="116"/>
      <c r="BP137" s="125"/>
      <c r="BQ137" s="116"/>
    </row>
    <row r="138">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c r="AX138" s="116"/>
      <c r="AY138" s="116"/>
      <c r="AZ138" s="116"/>
      <c r="BA138" s="116"/>
      <c r="BB138" s="116"/>
      <c r="BC138" s="116"/>
      <c r="BD138" s="116"/>
      <c r="BE138" s="116"/>
      <c r="BF138" s="116"/>
      <c r="BG138" s="116"/>
      <c r="BH138" s="124"/>
      <c r="BI138" s="124"/>
      <c r="BJ138" s="116"/>
      <c r="BK138" s="116"/>
      <c r="BL138" s="116"/>
      <c r="BM138" s="116"/>
      <c r="BN138" s="116"/>
      <c r="BO138" s="116"/>
      <c r="BP138" s="125"/>
      <c r="BQ138" s="116"/>
    </row>
    <row r="139">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c r="BC139" s="116"/>
      <c r="BD139" s="116"/>
      <c r="BE139" s="116"/>
      <c r="BF139" s="116"/>
      <c r="BG139" s="116"/>
      <c r="BH139" s="124"/>
      <c r="BI139" s="124"/>
      <c r="BJ139" s="116"/>
      <c r="BK139" s="116"/>
      <c r="BL139" s="116"/>
      <c r="BM139" s="116"/>
      <c r="BN139" s="116"/>
      <c r="BO139" s="116"/>
      <c r="BP139" s="125"/>
      <c r="BQ139" s="116"/>
    </row>
    <row r="140">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c r="BC140" s="116"/>
      <c r="BD140" s="116"/>
      <c r="BE140" s="116"/>
      <c r="BF140" s="116"/>
      <c r="BG140" s="116"/>
      <c r="BH140" s="124"/>
      <c r="BI140" s="124"/>
      <c r="BJ140" s="116"/>
      <c r="BK140" s="116"/>
      <c r="BL140" s="116"/>
      <c r="BM140" s="116"/>
      <c r="BN140" s="116"/>
      <c r="BO140" s="116"/>
      <c r="BP140" s="125"/>
      <c r="BQ140" s="116"/>
    </row>
    <row r="14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c r="BC141" s="116"/>
      <c r="BD141" s="116"/>
      <c r="BE141" s="116"/>
      <c r="BF141" s="116"/>
      <c r="BG141" s="116"/>
      <c r="BH141" s="124"/>
      <c r="BI141" s="124"/>
      <c r="BJ141" s="116"/>
      <c r="BK141" s="116"/>
      <c r="BL141" s="116"/>
      <c r="BM141" s="116"/>
      <c r="BN141" s="116"/>
      <c r="BO141" s="116"/>
      <c r="BP141" s="125"/>
      <c r="BQ141" s="116"/>
    </row>
    <row r="142">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c r="BC142" s="116"/>
      <c r="BD142" s="116"/>
      <c r="BE142" s="116"/>
      <c r="BF142" s="116"/>
      <c r="BG142" s="116"/>
      <c r="BH142" s="124"/>
      <c r="BI142" s="124"/>
      <c r="BJ142" s="116"/>
      <c r="BK142" s="116"/>
      <c r="BL142" s="116"/>
      <c r="BM142" s="116"/>
      <c r="BN142" s="116"/>
      <c r="BO142" s="116"/>
      <c r="BP142" s="125"/>
      <c r="BQ142" s="116"/>
    </row>
    <row r="143">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c r="BC143" s="116"/>
      <c r="BD143" s="116"/>
      <c r="BE143" s="116"/>
      <c r="BF143" s="116"/>
      <c r="BG143" s="116"/>
      <c r="BH143" s="124"/>
      <c r="BI143" s="124"/>
      <c r="BJ143" s="116"/>
      <c r="BK143" s="116"/>
      <c r="BL143" s="116"/>
      <c r="BM143" s="116"/>
      <c r="BN143" s="116"/>
      <c r="BO143" s="116"/>
      <c r="BP143" s="125"/>
      <c r="BQ143" s="116"/>
    </row>
    <row r="144">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c r="BC144" s="116"/>
      <c r="BD144" s="116"/>
      <c r="BE144" s="116"/>
      <c r="BF144" s="116"/>
      <c r="BG144" s="116"/>
      <c r="BH144" s="124"/>
      <c r="BI144" s="124"/>
      <c r="BJ144" s="116"/>
      <c r="BK144" s="116"/>
      <c r="BL144" s="116"/>
      <c r="BM144" s="116"/>
      <c r="BN144" s="116"/>
      <c r="BO144" s="116"/>
      <c r="BP144" s="125"/>
      <c r="BQ144" s="116"/>
    </row>
    <row r="145">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c r="BC145" s="116"/>
      <c r="BD145" s="116"/>
      <c r="BE145" s="116"/>
      <c r="BF145" s="116"/>
      <c r="BG145" s="116"/>
      <c r="BH145" s="124"/>
      <c r="BI145" s="124"/>
      <c r="BJ145" s="116"/>
      <c r="BK145" s="116"/>
      <c r="BL145" s="116"/>
      <c r="BM145" s="116"/>
      <c r="BN145" s="116"/>
      <c r="BO145" s="116"/>
      <c r="BP145" s="125"/>
      <c r="BQ145" s="116"/>
    </row>
    <row r="146">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c r="BC146" s="116"/>
      <c r="BD146" s="116"/>
      <c r="BE146" s="116"/>
      <c r="BF146" s="116"/>
      <c r="BG146" s="116"/>
      <c r="BH146" s="124"/>
      <c r="BI146" s="124"/>
      <c r="BJ146" s="116"/>
      <c r="BK146" s="116"/>
      <c r="BL146" s="116"/>
      <c r="BM146" s="116"/>
      <c r="BN146" s="116"/>
      <c r="BO146" s="116"/>
      <c r="BP146" s="125"/>
      <c r="BQ146" s="116"/>
    </row>
    <row r="147">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c r="BC147" s="116"/>
      <c r="BD147" s="116"/>
      <c r="BE147" s="116"/>
      <c r="BF147" s="116"/>
      <c r="BG147" s="116"/>
      <c r="BH147" s="124"/>
      <c r="BI147" s="124"/>
      <c r="BJ147" s="116"/>
      <c r="BK147" s="116"/>
      <c r="BL147" s="116"/>
      <c r="BM147" s="116"/>
      <c r="BN147" s="116"/>
      <c r="BO147" s="116"/>
      <c r="BP147" s="125"/>
      <c r="BQ147" s="116"/>
    </row>
    <row r="148">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c r="BC148" s="116"/>
      <c r="BD148" s="116"/>
      <c r="BE148" s="116"/>
      <c r="BF148" s="116"/>
      <c r="BG148" s="116"/>
      <c r="BH148" s="124"/>
      <c r="BI148" s="124"/>
      <c r="BJ148" s="116"/>
      <c r="BK148" s="116"/>
      <c r="BL148" s="116"/>
      <c r="BM148" s="116"/>
      <c r="BN148" s="116"/>
      <c r="BO148" s="116"/>
      <c r="BP148" s="125"/>
      <c r="BQ148" s="116"/>
    </row>
    <row r="149">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c r="BC149" s="116"/>
      <c r="BD149" s="116"/>
      <c r="BE149" s="116"/>
      <c r="BF149" s="116"/>
      <c r="BG149" s="116"/>
      <c r="BH149" s="124"/>
      <c r="BI149" s="124"/>
      <c r="BJ149" s="116"/>
      <c r="BK149" s="116"/>
      <c r="BL149" s="116"/>
      <c r="BM149" s="116"/>
      <c r="BN149" s="116"/>
      <c r="BO149" s="116"/>
      <c r="BP149" s="125"/>
      <c r="BQ149" s="116"/>
    </row>
    <row r="150">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c r="BC150" s="116"/>
      <c r="BD150" s="116"/>
      <c r="BE150" s="116"/>
      <c r="BF150" s="116"/>
      <c r="BG150" s="116"/>
      <c r="BH150" s="124"/>
      <c r="BI150" s="124"/>
      <c r="BJ150" s="116"/>
      <c r="BK150" s="116"/>
      <c r="BL150" s="116"/>
      <c r="BM150" s="116"/>
      <c r="BN150" s="116"/>
      <c r="BO150" s="116"/>
      <c r="BP150" s="125"/>
      <c r="BQ150" s="116"/>
    </row>
    <row r="15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c r="BC151" s="116"/>
      <c r="BD151" s="116"/>
      <c r="BE151" s="116"/>
      <c r="BF151" s="116"/>
      <c r="BG151" s="116"/>
      <c r="BH151" s="124"/>
      <c r="BI151" s="124"/>
      <c r="BJ151" s="116"/>
      <c r="BK151" s="116"/>
      <c r="BL151" s="116"/>
      <c r="BM151" s="116"/>
      <c r="BN151" s="116"/>
      <c r="BO151" s="116"/>
      <c r="BP151" s="125"/>
      <c r="BQ151" s="116"/>
    </row>
    <row r="152">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c r="BC152" s="116"/>
      <c r="BD152" s="116"/>
      <c r="BE152" s="116"/>
      <c r="BF152" s="116"/>
      <c r="BG152" s="116"/>
      <c r="BH152" s="124"/>
      <c r="BI152" s="124"/>
      <c r="BJ152" s="116"/>
      <c r="BK152" s="116"/>
      <c r="BL152" s="116"/>
      <c r="BM152" s="116"/>
      <c r="BN152" s="116"/>
      <c r="BO152" s="116"/>
      <c r="BP152" s="125"/>
      <c r="BQ152" s="116"/>
    </row>
    <row r="153">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c r="BC153" s="116"/>
      <c r="BD153" s="116"/>
      <c r="BE153" s="116"/>
      <c r="BF153" s="116"/>
      <c r="BG153" s="116"/>
      <c r="BH153" s="124"/>
      <c r="BI153" s="124"/>
      <c r="BJ153" s="116"/>
      <c r="BK153" s="116"/>
      <c r="BL153" s="116"/>
      <c r="BM153" s="116"/>
      <c r="BN153" s="116"/>
      <c r="BO153" s="116"/>
      <c r="BP153" s="125"/>
      <c r="BQ153" s="116"/>
    </row>
    <row r="154">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c r="BC154" s="116"/>
      <c r="BD154" s="116"/>
      <c r="BE154" s="116"/>
      <c r="BF154" s="116"/>
      <c r="BG154" s="116"/>
      <c r="BH154" s="124"/>
      <c r="BI154" s="124"/>
      <c r="BJ154" s="116"/>
      <c r="BK154" s="116"/>
      <c r="BL154" s="116"/>
      <c r="BM154" s="116"/>
      <c r="BN154" s="116"/>
      <c r="BO154" s="116"/>
      <c r="BP154" s="125"/>
      <c r="BQ154" s="116"/>
    </row>
    <row r="155">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c r="BC155" s="116"/>
      <c r="BD155" s="116"/>
      <c r="BE155" s="116"/>
      <c r="BF155" s="116"/>
      <c r="BG155" s="116"/>
      <c r="BH155" s="124"/>
      <c r="BI155" s="124"/>
      <c r="BJ155" s="116"/>
      <c r="BK155" s="116"/>
      <c r="BL155" s="116"/>
      <c r="BM155" s="116"/>
      <c r="BN155" s="116"/>
      <c r="BO155" s="116"/>
      <c r="BP155" s="125"/>
      <c r="BQ155" s="116"/>
    </row>
    <row r="156">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c r="BC156" s="116"/>
      <c r="BD156" s="116"/>
      <c r="BE156" s="116"/>
      <c r="BF156" s="116"/>
      <c r="BG156" s="116"/>
      <c r="BH156" s="124"/>
      <c r="BI156" s="124"/>
      <c r="BJ156" s="116"/>
      <c r="BK156" s="116"/>
      <c r="BL156" s="116"/>
      <c r="BM156" s="116"/>
      <c r="BN156" s="116"/>
      <c r="BO156" s="116"/>
      <c r="BP156" s="125"/>
      <c r="BQ156" s="116"/>
    </row>
    <row r="157">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c r="BC157" s="116"/>
      <c r="BD157" s="116"/>
      <c r="BE157" s="116"/>
      <c r="BF157" s="116"/>
      <c r="BG157" s="116"/>
      <c r="BH157" s="124"/>
      <c r="BI157" s="124"/>
      <c r="BJ157" s="116"/>
      <c r="BK157" s="116"/>
      <c r="BL157" s="116"/>
      <c r="BM157" s="116"/>
      <c r="BN157" s="116"/>
      <c r="BO157" s="116"/>
      <c r="BP157" s="125"/>
      <c r="BQ157" s="116"/>
    </row>
    <row r="158">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c r="BC158" s="116"/>
      <c r="BD158" s="116"/>
      <c r="BE158" s="116"/>
      <c r="BF158" s="116"/>
      <c r="BG158" s="116"/>
      <c r="BH158" s="124"/>
      <c r="BI158" s="124"/>
      <c r="BJ158" s="116"/>
      <c r="BK158" s="116"/>
      <c r="BL158" s="116"/>
      <c r="BM158" s="116"/>
      <c r="BN158" s="116"/>
      <c r="BO158" s="116"/>
      <c r="BP158" s="125"/>
      <c r="BQ158" s="116"/>
    </row>
    <row r="159">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c r="BC159" s="116"/>
      <c r="BD159" s="116"/>
      <c r="BE159" s="116"/>
      <c r="BF159" s="116"/>
      <c r="BG159" s="116"/>
      <c r="BH159" s="124"/>
      <c r="BI159" s="124"/>
      <c r="BJ159" s="116"/>
      <c r="BK159" s="116"/>
      <c r="BL159" s="116"/>
      <c r="BM159" s="116"/>
      <c r="BN159" s="116"/>
      <c r="BO159" s="116"/>
      <c r="BP159" s="125"/>
      <c r="BQ159" s="116"/>
    </row>
    <row r="160">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c r="BC160" s="116"/>
      <c r="BD160" s="116"/>
      <c r="BE160" s="116"/>
      <c r="BF160" s="116"/>
      <c r="BG160" s="116"/>
      <c r="BH160" s="124"/>
      <c r="BI160" s="124"/>
      <c r="BJ160" s="116"/>
      <c r="BK160" s="116"/>
      <c r="BL160" s="116"/>
      <c r="BM160" s="116"/>
      <c r="BN160" s="116"/>
      <c r="BO160" s="116"/>
      <c r="BP160" s="125"/>
      <c r="BQ160" s="116"/>
    </row>
    <row r="16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c r="BC161" s="116"/>
      <c r="BD161" s="116"/>
      <c r="BE161" s="116"/>
      <c r="BF161" s="116"/>
      <c r="BG161" s="116"/>
      <c r="BH161" s="124"/>
      <c r="BI161" s="124"/>
      <c r="BJ161" s="116"/>
      <c r="BK161" s="116"/>
      <c r="BL161" s="116"/>
      <c r="BM161" s="116"/>
      <c r="BN161" s="116"/>
      <c r="BO161" s="116"/>
      <c r="BP161" s="125"/>
      <c r="BQ161" s="116"/>
    </row>
    <row r="162">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c r="BC162" s="116"/>
      <c r="BD162" s="116"/>
      <c r="BE162" s="116"/>
      <c r="BF162" s="116"/>
      <c r="BG162" s="116"/>
      <c r="BH162" s="124"/>
      <c r="BI162" s="124"/>
      <c r="BJ162" s="116"/>
      <c r="BK162" s="116"/>
      <c r="BL162" s="116"/>
      <c r="BM162" s="116"/>
      <c r="BN162" s="116"/>
      <c r="BO162" s="116"/>
      <c r="BP162" s="125"/>
      <c r="BQ162" s="116"/>
    </row>
    <row r="163">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c r="BC163" s="116"/>
      <c r="BD163" s="116"/>
      <c r="BE163" s="116"/>
      <c r="BF163" s="116"/>
      <c r="BG163" s="116"/>
      <c r="BH163" s="124"/>
      <c r="BI163" s="124"/>
      <c r="BJ163" s="116"/>
      <c r="BK163" s="116"/>
      <c r="BL163" s="116"/>
      <c r="BM163" s="116"/>
      <c r="BN163" s="116"/>
      <c r="BO163" s="116"/>
      <c r="BP163" s="125"/>
      <c r="BQ163" s="116"/>
    </row>
    <row r="164">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c r="BC164" s="116"/>
      <c r="BD164" s="116"/>
      <c r="BE164" s="116"/>
      <c r="BF164" s="116"/>
      <c r="BG164" s="116"/>
      <c r="BH164" s="124"/>
      <c r="BI164" s="124"/>
      <c r="BJ164" s="116"/>
      <c r="BK164" s="116"/>
      <c r="BL164" s="116"/>
      <c r="BM164" s="116"/>
      <c r="BN164" s="116"/>
      <c r="BO164" s="116"/>
      <c r="BP164" s="125"/>
      <c r="BQ164" s="116"/>
    </row>
    <row r="165">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c r="BC165" s="116"/>
      <c r="BD165" s="116"/>
      <c r="BE165" s="116"/>
      <c r="BF165" s="116"/>
      <c r="BG165" s="116"/>
      <c r="BH165" s="124"/>
      <c r="BI165" s="124"/>
      <c r="BJ165" s="116"/>
      <c r="BK165" s="116"/>
      <c r="BL165" s="116"/>
      <c r="BM165" s="116"/>
      <c r="BN165" s="116"/>
      <c r="BO165" s="116"/>
      <c r="BP165" s="125"/>
      <c r="BQ165" s="116"/>
    </row>
    <row r="166">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c r="BC166" s="116"/>
      <c r="BD166" s="116"/>
      <c r="BE166" s="116"/>
      <c r="BF166" s="116"/>
      <c r="BG166" s="116"/>
      <c r="BH166" s="124"/>
      <c r="BI166" s="124"/>
      <c r="BJ166" s="116"/>
      <c r="BK166" s="116"/>
      <c r="BL166" s="116"/>
      <c r="BM166" s="116"/>
      <c r="BN166" s="116"/>
      <c r="BO166" s="116"/>
      <c r="BP166" s="125"/>
      <c r="BQ166" s="116"/>
    </row>
    <row r="167">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c r="BC167" s="116"/>
      <c r="BD167" s="116"/>
      <c r="BE167" s="116"/>
      <c r="BF167" s="116"/>
      <c r="BG167" s="116"/>
      <c r="BH167" s="124"/>
      <c r="BI167" s="124"/>
      <c r="BJ167" s="116"/>
      <c r="BK167" s="116"/>
      <c r="BL167" s="116"/>
      <c r="BM167" s="116"/>
      <c r="BN167" s="116"/>
      <c r="BO167" s="116"/>
      <c r="BP167" s="125"/>
      <c r="BQ167" s="116"/>
    </row>
    <row r="168">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c r="BC168" s="116"/>
      <c r="BD168" s="116"/>
      <c r="BE168" s="116"/>
      <c r="BF168" s="116"/>
      <c r="BG168" s="116"/>
      <c r="BH168" s="124"/>
      <c r="BI168" s="124"/>
      <c r="BJ168" s="116"/>
      <c r="BK168" s="116"/>
      <c r="BL168" s="116"/>
      <c r="BM168" s="116"/>
      <c r="BN168" s="116"/>
      <c r="BO168" s="116"/>
      <c r="BP168" s="125"/>
      <c r="BQ168" s="116"/>
    </row>
    <row r="169">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c r="BC169" s="116"/>
      <c r="BD169" s="116"/>
      <c r="BE169" s="116"/>
      <c r="BF169" s="116"/>
      <c r="BG169" s="116"/>
      <c r="BH169" s="124"/>
      <c r="BI169" s="124"/>
      <c r="BJ169" s="116"/>
      <c r="BK169" s="116"/>
      <c r="BL169" s="116"/>
      <c r="BM169" s="116"/>
      <c r="BN169" s="116"/>
      <c r="BO169" s="116"/>
      <c r="BP169" s="125"/>
      <c r="BQ169" s="116"/>
    </row>
    <row r="170">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c r="BC170" s="116"/>
      <c r="BD170" s="116"/>
      <c r="BE170" s="116"/>
      <c r="BF170" s="116"/>
      <c r="BG170" s="116"/>
      <c r="BH170" s="124"/>
      <c r="BI170" s="124"/>
      <c r="BJ170" s="116"/>
      <c r="BK170" s="116"/>
      <c r="BL170" s="116"/>
      <c r="BM170" s="116"/>
      <c r="BN170" s="116"/>
      <c r="BO170" s="116"/>
      <c r="BP170" s="125"/>
      <c r="BQ170" s="116"/>
    </row>
    <row r="17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c r="BC171" s="116"/>
      <c r="BD171" s="116"/>
      <c r="BE171" s="116"/>
      <c r="BF171" s="116"/>
      <c r="BG171" s="116"/>
      <c r="BH171" s="124"/>
      <c r="BI171" s="124"/>
      <c r="BJ171" s="116"/>
      <c r="BK171" s="116"/>
      <c r="BL171" s="116"/>
      <c r="BM171" s="116"/>
      <c r="BN171" s="116"/>
      <c r="BO171" s="116"/>
      <c r="BP171" s="125"/>
      <c r="BQ171" s="116"/>
    </row>
    <row r="172">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c r="BC172" s="116"/>
      <c r="BD172" s="116"/>
      <c r="BE172" s="116"/>
      <c r="BF172" s="116"/>
      <c r="BG172" s="116"/>
      <c r="BH172" s="124"/>
      <c r="BI172" s="124"/>
      <c r="BJ172" s="116"/>
      <c r="BK172" s="116"/>
      <c r="BL172" s="116"/>
      <c r="BM172" s="116"/>
      <c r="BN172" s="116"/>
      <c r="BO172" s="116"/>
      <c r="BP172" s="125"/>
      <c r="BQ172" s="116"/>
    </row>
    <row r="173">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c r="BC173" s="116"/>
      <c r="BD173" s="116"/>
      <c r="BE173" s="116"/>
      <c r="BF173" s="116"/>
      <c r="BG173" s="116"/>
      <c r="BH173" s="124"/>
      <c r="BI173" s="124"/>
      <c r="BJ173" s="116"/>
      <c r="BK173" s="116"/>
      <c r="BL173" s="116"/>
      <c r="BM173" s="116"/>
      <c r="BN173" s="116"/>
      <c r="BO173" s="116"/>
      <c r="BP173" s="125"/>
      <c r="BQ173" s="116"/>
    </row>
    <row r="174">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c r="BC174" s="116"/>
      <c r="BD174" s="116"/>
      <c r="BE174" s="116"/>
      <c r="BF174" s="116"/>
      <c r="BG174" s="116"/>
      <c r="BH174" s="124"/>
      <c r="BI174" s="124"/>
      <c r="BJ174" s="116"/>
      <c r="BK174" s="116"/>
      <c r="BL174" s="116"/>
      <c r="BM174" s="116"/>
      <c r="BN174" s="116"/>
      <c r="BO174" s="116"/>
      <c r="BP174" s="125"/>
      <c r="BQ174" s="116"/>
    </row>
    <row r="175">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c r="BC175" s="116"/>
      <c r="BD175" s="116"/>
      <c r="BE175" s="116"/>
      <c r="BF175" s="116"/>
      <c r="BG175" s="116"/>
      <c r="BH175" s="124"/>
      <c r="BI175" s="124"/>
      <c r="BJ175" s="116"/>
      <c r="BK175" s="116"/>
      <c r="BL175" s="116"/>
      <c r="BM175" s="116"/>
      <c r="BN175" s="116"/>
      <c r="BO175" s="116"/>
      <c r="BP175" s="125"/>
      <c r="BQ175" s="116"/>
    </row>
    <row r="176">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c r="BC176" s="116"/>
      <c r="BD176" s="116"/>
      <c r="BE176" s="116"/>
      <c r="BF176" s="116"/>
      <c r="BG176" s="116"/>
      <c r="BH176" s="124"/>
      <c r="BI176" s="124"/>
      <c r="BJ176" s="116"/>
      <c r="BK176" s="116"/>
      <c r="BL176" s="116"/>
      <c r="BM176" s="116"/>
      <c r="BN176" s="116"/>
      <c r="BO176" s="116"/>
      <c r="BP176" s="125"/>
      <c r="BQ176" s="116"/>
    </row>
    <row r="177">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c r="BC177" s="116"/>
      <c r="BD177" s="116"/>
      <c r="BE177" s="116"/>
      <c r="BF177" s="116"/>
      <c r="BG177" s="116"/>
      <c r="BH177" s="124"/>
      <c r="BI177" s="124"/>
      <c r="BJ177" s="116"/>
      <c r="BK177" s="116"/>
      <c r="BL177" s="116"/>
      <c r="BM177" s="116"/>
      <c r="BN177" s="116"/>
      <c r="BO177" s="116"/>
      <c r="BP177" s="125"/>
      <c r="BQ177" s="116"/>
    </row>
    <row r="178">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c r="BC178" s="116"/>
      <c r="BD178" s="116"/>
      <c r="BE178" s="116"/>
      <c r="BF178" s="116"/>
      <c r="BG178" s="116"/>
      <c r="BH178" s="124"/>
      <c r="BI178" s="124"/>
      <c r="BJ178" s="116"/>
      <c r="BK178" s="116"/>
      <c r="BL178" s="116"/>
      <c r="BM178" s="116"/>
      <c r="BN178" s="116"/>
      <c r="BO178" s="116"/>
      <c r="BP178" s="125"/>
      <c r="BQ178" s="116"/>
    </row>
    <row r="179">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c r="BC179" s="116"/>
      <c r="BD179" s="116"/>
      <c r="BE179" s="116"/>
      <c r="BF179" s="116"/>
      <c r="BG179" s="116"/>
      <c r="BH179" s="124"/>
      <c r="BI179" s="124"/>
      <c r="BJ179" s="116"/>
      <c r="BK179" s="116"/>
      <c r="BL179" s="116"/>
      <c r="BM179" s="116"/>
      <c r="BN179" s="116"/>
      <c r="BO179" s="116"/>
      <c r="BP179" s="125"/>
      <c r="BQ179" s="116"/>
    </row>
    <row r="180">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c r="BC180" s="116"/>
      <c r="BD180" s="116"/>
      <c r="BE180" s="116"/>
      <c r="BF180" s="116"/>
      <c r="BG180" s="116"/>
      <c r="BH180" s="124"/>
      <c r="BI180" s="124"/>
      <c r="BJ180" s="116"/>
      <c r="BK180" s="116"/>
      <c r="BL180" s="116"/>
      <c r="BM180" s="116"/>
      <c r="BN180" s="116"/>
      <c r="BO180" s="116"/>
      <c r="BP180" s="125"/>
      <c r="BQ180" s="116"/>
    </row>
    <row r="18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c r="BC181" s="116"/>
      <c r="BD181" s="116"/>
      <c r="BE181" s="116"/>
      <c r="BF181" s="116"/>
      <c r="BG181" s="116"/>
      <c r="BH181" s="124"/>
      <c r="BI181" s="124"/>
      <c r="BJ181" s="116"/>
      <c r="BK181" s="116"/>
      <c r="BL181" s="116"/>
      <c r="BM181" s="116"/>
      <c r="BN181" s="116"/>
      <c r="BO181" s="116"/>
      <c r="BP181" s="125"/>
      <c r="BQ181" s="116"/>
    </row>
    <row r="182">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c r="BC182" s="116"/>
      <c r="BD182" s="116"/>
      <c r="BE182" s="116"/>
      <c r="BF182" s="116"/>
      <c r="BG182" s="116"/>
      <c r="BH182" s="124"/>
      <c r="BI182" s="124"/>
      <c r="BJ182" s="116"/>
      <c r="BK182" s="116"/>
      <c r="BL182" s="116"/>
      <c r="BM182" s="116"/>
      <c r="BN182" s="116"/>
      <c r="BO182" s="116"/>
      <c r="BP182" s="125"/>
      <c r="BQ182" s="116"/>
    </row>
    <row r="183">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c r="BC183" s="116"/>
      <c r="BD183" s="116"/>
      <c r="BE183" s="116"/>
      <c r="BF183" s="116"/>
      <c r="BG183" s="116"/>
      <c r="BH183" s="124"/>
      <c r="BI183" s="124"/>
      <c r="BJ183" s="116"/>
      <c r="BK183" s="116"/>
      <c r="BL183" s="116"/>
      <c r="BM183" s="116"/>
      <c r="BN183" s="116"/>
      <c r="BO183" s="116"/>
      <c r="BP183" s="125"/>
      <c r="BQ183" s="116"/>
    </row>
    <row r="184">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c r="BC184" s="116"/>
      <c r="BD184" s="116"/>
      <c r="BE184" s="116"/>
      <c r="BF184" s="116"/>
      <c r="BG184" s="116"/>
      <c r="BH184" s="124"/>
      <c r="BI184" s="124"/>
      <c r="BJ184" s="116"/>
      <c r="BK184" s="116"/>
      <c r="BL184" s="116"/>
      <c r="BM184" s="116"/>
      <c r="BN184" s="116"/>
      <c r="BO184" s="116"/>
      <c r="BP184" s="125"/>
      <c r="BQ184" s="116"/>
    </row>
    <row r="185">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c r="BC185" s="116"/>
      <c r="BD185" s="116"/>
      <c r="BE185" s="116"/>
      <c r="BF185" s="116"/>
      <c r="BG185" s="116"/>
      <c r="BH185" s="124"/>
      <c r="BI185" s="124"/>
      <c r="BJ185" s="116"/>
      <c r="BK185" s="116"/>
      <c r="BL185" s="116"/>
      <c r="BM185" s="116"/>
      <c r="BN185" s="116"/>
      <c r="BO185" s="116"/>
      <c r="BP185" s="125"/>
      <c r="BQ185" s="116"/>
    </row>
    <row r="186">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c r="BC186" s="116"/>
      <c r="BD186" s="116"/>
      <c r="BE186" s="116"/>
      <c r="BF186" s="116"/>
      <c r="BG186" s="116"/>
      <c r="BH186" s="124"/>
      <c r="BI186" s="124"/>
      <c r="BJ186" s="116"/>
      <c r="BK186" s="116"/>
      <c r="BL186" s="116"/>
      <c r="BM186" s="116"/>
      <c r="BN186" s="116"/>
      <c r="BO186" s="116"/>
      <c r="BP186" s="125"/>
      <c r="BQ186" s="116"/>
    </row>
    <row r="187">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c r="BC187" s="116"/>
      <c r="BD187" s="116"/>
      <c r="BE187" s="116"/>
      <c r="BF187" s="116"/>
      <c r="BG187" s="116"/>
      <c r="BH187" s="124"/>
      <c r="BI187" s="124"/>
      <c r="BJ187" s="116"/>
      <c r="BK187" s="116"/>
      <c r="BL187" s="116"/>
      <c r="BM187" s="116"/>
      <c r="BN187" s="116"/>
      <c r="BO187" s="116"/>
      <c r="BP187" s="125"/>
      <c r="BQ187" s="116"/>
    </row>
    <row r="188">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c r="BC188" s="116"/>
      <c r="BD188" s="116"/>
      <c r="BE188" s="116"/>
      <c r="BF188" s="116"/>
      <c r="BG188" s="116"/>
      <c r="BH188" s="124"/>
      <c r="BI188" s="124"/>
      <c r="BJ188" s="116"/>
      <c r="BK188" s="116"/>
      <c r="BL188" s="116"/>
      <c r="BM188" s="116"/>
      <c r="BN188" s="116"/>
      <c r="BO188" s="116"/>
      <c r="BP188" s="125"/>
      <c r="BQ188" s="116"/>
    </row>
    <row r="189">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c r="BC189" s="116"/>
      <c r="BD189" s="116"/>
      <c r="BE189" s="116"/>
      <c r="BF189" s="116"/>
      <c r="BG189" s="116"/>
      <c r="BH189" s="124"/>
      <c r="BI189" s="124"/>
      <c r="BJ189" s="116"/>
      <c r="BK189" s="116"/>
      <c r="BL189" s="116"/>
      <c r="BM189" s="116"/>
      <c r="BN189" s="116"/>
      <c r="BO189" s="116"/>
      <c r="BP189" s="125"/>
      <c r="BQ189" s="116"/>
    </row>
    <row r="190">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c r="BC190" s="116"/>
      <c r="BD190" s="116"/>
      <c r="BE190" s="116"/>
      <c r="BF190" s="116"/>
      <c r="BG190" s="116"/>
      <c r="BH190" s="124"/>
      <c r="BI190" s="124"/>
      <c r="BJ190" s="116"/>
      <c r="BK190" s="116"/>
      <c r="BL190" s="116"/>
      <c r="BM190" s="116"/>
      <c r="BN190" s="116"/>
      <c r="BO190" s="116"/>
      <c r="BP190" s="125"/>
      <c r="BQ190" s="116"/>
    </row>
    <row r="19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c r="BC191" s="116"/>
      <c r="BD191" s="116"/>
      <c r="BE191" s="116"/>
      <c r="BF191" s="116"/>
      <c r="BG191" s="116"/>
      <c r="BH191" s="124"/>
      <c r="BI191" s="124"/>
      <c r="BJ191" s="116"/>
      <c r="BK191" s="116"/>
      <c r="BL191" s="116"/>
      <c r="BM191" s="116"/>
      <c r="BN191" s="116"/>
      <c r="BO191" s="116"/>
      <c r="BP191" s="125"/>
      <c r="BQ191" s="116"/>
    </row>
    <row r="192">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c r="BC192" s="116"/>
      <c r="BD192" s="116"/>
      <c r="BE192" s="116"/>
      <c r="BF192" s="116"/>
      <c r="BG192" s="116"/>
      <c r="BH192" s="124"/>
      <c r="BI192" s="124"/>
      <c r="BJ192" s="116"/>
      <c r="BK192" s="116"/>
      <c r="BL192" s="116"/>
      <c r="BM192" s="116"/>
      <c r="BN192" s="116"/>
      <c r="BO192" s="116"/>
      <c r="BP192" s="125"/>
      <c r="BQ192" s="116"/>
    </row>
    <row r="193">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c r="BC193" s="116"/>
      <c r="BD193" s="116"/>
      <c r="BE193" s="116"/>
      <c r="BF193" s="116"/>
      <c r="BG193" s="116"/>
      <c r="BH193" s="124"/>
      <c r="BI193" s="124"/>
      <c r="BJ193" s="116"/>
      <c r="BK193" s="116"/>
      <c r="BL193" s="116"/>
      <c r="BM193" s="116"/>
      <c r="BN193" s="116"/>
      <c r="BO193" s="116"/>
      <c r="BP193" s="125"/>
      <c r="BQ193" s="116"/>
    </row>
    <row r="194">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c r="BC194" s="116"/>
      <c r="BD194" s="116"/>
      <c r="BE194" s="116"/>
      <c r="BF194" s="116"/>
      <c r="BG194" s="116"/>
      <c r="BH194" s="124"/>
      <c r="BI194" s="124"/>
      <c r="BJ194" s="116"/>
      <c r="BK194" s="116"/>
      <c r="BL194" s="116"/>
      <c r="BM194" s="116"/>
      <c r="BN194" s="116"/>
      <c r="BO194" s="116"/>
      <c r="BP194" s="125"/>
      <c r="BQ194" s="116"/>
    </row>
    <row r="195">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c r="BC195" s="116"/>
      <c r="BD195" s="116"/>
      <c r="BE195" s="116"/>
      <c r="BF195" s="116"/>
      <c r="BG195" s="116"/>
      <c r="BH195" s="124"/>
      <c r="BI195" s="124"/>
      <c r="BJ195" s="116"/>
      <c r="BK195" s="116"/>
      <c r="BL195" s="116"/>
      <c r="BM195" s="116"/>
      <c r="BN195" s="116"/>
      <c r="BO195" s="116"/>
      <c r="BP195" s="125"/>
      <c r="BQ195" s="116"/>
    </row>
    <row r="196">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c r="BC196" s="116"/>
      <c r="BD196" s="116"/>
      <c r="BE196" s="116"/>
      <c r="BF196" s="116"/>
      <c r="BG196" s="116"/>
      <c r="BH196" s="124"/>
      <c r="BI196" s="124"/>
      <c r="BJ196" s="116"/>
      <c r="BK196" s="116"/>
      <c r="BL196" s="116"/>
      <c r="BM196" s="116"/>
      <c r="BN196" s="116"/>
      <c r="BO196" s="116"/>
      <c r="BP196" s="125"/>
      <c r="BQ196" s="116"/>
    </row>
    <row r="197">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c r="BC197" s="116"/>
      <c r="BD197" s="116"/>
      <c r="BE197" s="116"/>
      <c r="BF197" s="116"/>
      <c r="BG197" s="116"/>
      <c r="BH197" s="124"/>
      <c r="BI197" s="124"/>
      <c r="BJ197" s="116"/>
      <c r="BK197" s="116"/>
      <c r="BL197" s="116"/>
      <c r="BM197" s="116"/>
      <c r="BN197" s="116"/>
      <c r="BO197" s="116"/>
      <c r="BP197" s="125"/>
      <c r="BQ197" s="116"/>
    </row>
    <row r="198">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c r="BC198" s="116"/>
      <c r="BD198" s="116"/>
      <c r="BE198" s="116"/>
      <c r="BF198" s="116"/>
      <c r="BG198" s="116"/>
      <c r="BH198" s="124"/>
      <c r="BI198" s="124"/>
      <c r="BJ198" s="116"/>
      <c r="BK198" s="116"/>
      <c r="BL198" s="116"/>
      <c r="BM198" s="116"/>
      <c r="BN198" s="116"/>
      <c r="BO198" s="116"/>
      <c r="BP198" s="125"/>
      <c r="BQ198" s="116"/>
    </row>
    <row r="199">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c r="BC199" s="116"/>
      <c r="BD199" s="116"/>
      <c r="BE199" s="116"/>
      <c r="BF199" s="116"/>
      <c r="BG199" s="116"/>
      <c r="BH199" s="124"/>
      <c r="BI199" s="124"/>
      <c r="BJ199" s="116"/>
      <c r="BK199" s="116"/>
      <c r="BL199" s="116"/>
      <c r="BM199" s="116"/>
      <c r="BN199" s="116"/>
      <c r="BO199" s="116"/>
      <c r="BP199" s="125"/>
      <c r="BQ199" s="116"/>
    </row>
    <row r="200">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c r="BC200" s="116"/>
      <c r="BD200" s="116"/>
      <c r="BE200" s="116"/>
      <c r="BF200" s="116"/>
      <c r="BG200" s="116"/>
      <c r="BH200" s="124"/>
      <c r="BI200" s="124"/>
      <c r="BJ200" s="116"/>
      <c r="BK200" s="116"/>
      <c r="BL200" s="116"/>
      <c r="BM200" s="116"/>
      <c r="BN200" s="116"/>
      <c r="BO200" s="116"/>
      <c r="BP200" s="125"/>
      <c r="BQ200" s="116"/>
    </row>
    <row r="20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c r="BC201" s="116"/>
      <c r="BD201" s="116"/>
      <c r="BE201" s="116"/>
      <c r="BF201" s="116"/>
      <c r="BG201" s="116"/>
      <c r="BH201" s="124"/>
      <c r="BI201" s="124"/>
      <c r="BJ201" s="116"/>
      <c r="BK201" s="116"/>
      <c r="BL201" s="116"/>
      <c r="BM201" s="116"/>
      <c r="BN201" s="116"/>
      <c r="BO201" s="116"/>
      <c r="BP201" s="125"/>
      <c r="BQ201" s="116"/>
    </row>
    <row r="202">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c r="BC202" s="116"/>
      <c r="BD202" s="116"/>
      <c r="BE202" s="116"/>
      <c r="BF202" s="116"/>
      <c r="BG202" s="116"/>
      <c r="BH202" s="124"/>
      <c r="BI202" s="124"/>
      <c r="BJ202" s="116"/>
      <c r="BK202" s="116"/>
      <c r="BL202" s="116"/>
      <c r="BM202" s="116"/>
      <c r="BN202" s="116"/>
      <c r="BO202" s="116"/>
      <c r="BP202" s="125"/>
      <c r="BQ202" s="116"/>
    </row>
    <row r="203">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c r="BC203" s="116"/>
      <c r="BD203" s="116"/>
      <c r="BE203" s="116"/>
      <c r="BF203" s="116"/>
      <c r="BG203" s="116"/>
      <c r="BH203" s="124"/>
      <c r="BI203" s="124"/>
      <c r="BJ203" s="116"/>
      <c r="BK203" s="116"/>
      <c r="BL203" s="116"/>
      <c r="BM203" s="116"/>
      <c r="BN203" s="116"/>
      <c r="BO203" s="116"/>
      <c r="BP203" s="125"/>
      <c r="BQ203" s="116"/>
    </row>
    <row r="204">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c r="BC204" s="116"/>
      <c r="BD204" s="116"/>
      <c r="BE204" s="116"/>
      <c r="BF204" s="116"/>
      <c r="BG204" s="116"/>
      <c r="BH204" s="124"/>
      <c r="BI204" s="124"/>
      <c r="BJ204" s="116"/>
      <c r="BK204" s="116"/>
      <c r="BL204" s="116"/>
      <c r="BM204" s="116"/>
      <c r="BN204" s="116"/>
      <c r="BO204" s="116"/>
      <c r="BP204" s="125"/>
      <c r="BQ204" s="116"/>
    </row>
    <row r="205">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c r="BC205" s="116"/>
      <c r="BD205" s="116"/>
      <c r="BE205" s="116"/>
      <c r="BF205" s="116"/>
      <c r="BG205" s="116"/>
      <c r="BH205" s="124"/>
      <c r="BI205" s="124"/>
      <c r="BJ205" s="116"/>
      <c r="BK205" s="116"/>
      <c r="BL205" s="116"/>
      <c r="BM205" s="116"/>
      <c r="BN205" s="116"/>
      <c r="BO205" s="116"/>
      <c r="BP205" s="125"/>
      <c r="BQ205" s="116"/>
    </row>
    <row r="206">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c r="BC206" s="116"/>
      <c r="BD206" s="116"/>
      <c r="BE206" s="116"/>
      <c r="BF206" s="116"/>
      <c r="BG206" s="116"/>
      <c r="BH206" s="124"/>
      <c r="BI206" s="124"/>
      <c r="BJ206" s="116"/>
      <c r="BK206" s="116"/>
      <c r="BL206" s="116"/>
      <c r="BM206" s="116"/>
      <c r="BN206" s="116"/>
      <c r="BO206" s="116"/>
      <c r="BP206" s="125"/>
      <c r="BQ206" s="116"/>
    </row>
    <row r="207">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c r="BC207" s="116"/>
      <c r="BD207" s="116"/>
      <c r="BE207" s="116"/>
      <c r="BF207" s="116"/>
      <c r="BG207" s="116"/>
      <c r="BH207" s="124"/>
      <c r="BI207" s="124"/>
      <c r="BJ207" s="116"/>
      <c r="BK207" s="116"/>
      <c r="BL207" s="116"/>
      <c r="BM207" s="116"/>
      <c r="BN207" s="116"/>
      <c r="BO207" s="116"/>
      <c r="BP207" s="125"/>
      <c r="BQ207" s="116"/>
    </row>
    <row r="208">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c r="BC208" s="116"/>
      <c r="BD208" s="116"/>
      <c r="BE208" s="116"/>
      <c r="BF208" s="116"/>
      <c r="BG208" s="116"/>
      <c r="BH208" s="124"/>
      <c r="BI208" s="124"/>
      <c r="BJ208" s="116"/>
      <c r="BK208" s="116"/>
      <c r="BL208" s="116"/>
      <c r="BM208" s="116"/>
      <c r="BN208" s="116"/>
      <c r="BO208" s="116"/>
      <c r="BP208" s="125"/>
      <c r="BQ208" s="116"/>
    </row>
    <row r="209">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c r="BC209" s="116"/>
      <c r="BD209" s="116"/>
      <c r="BE209" s="116"/>
      <c r="BF209" s="116"/>
      <c r="BG209" s="116"/>
      <c r="BH209" s="124"/>
      <c r="BI209" s="124"/>
      <c r="BJ209" s="116"/>
      <c r="BK209" s="116"/>
      <c r="BL209" s="116"/>
      <c r="BM209" s="116"/>
      <c r="BN209" s="116"/>
      <c r="BO209" s="116"/>
      <c r="BP209" s="125"/>
      <c r="BQ209" s="116"/>
    </row>
    <row r="210">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c r="BC210" s="116"/>
      <c r="BD210" s="116"/>
      <c r="BE210" s="116"/>
      <c r="BF210" s="116"/>
      <c r="BG210" s="116"/>
      <c r="BH210" s="124"/>
      <c r="BI210" s="124"/>
      <c r="BJ210" s="116"/>
      <c r="BK210" s="116"/>
      <c r="BL210" s="116"/>
      <c r="BM210" s="116"/>
      <c r="BN210" s="116"/>
      <c r="BO210" s="116"/>
      <c r="BP210" s="125"/>
      <c r="BQ210" s="116"/>
    </row>
    <row r="21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c r="BC211" s="116"/>
      <c r="BD211" s="116"/>
      <c r="BE211" s="116"/>
      <c r="BF211" s="116"/>
      <c r="BG211" s="116"/>
      <c r="BH211" s="124"/>
      <c r="BI211" s="124"/>
      <c r="BJ211" s="116"/>
      <c r="BK211" s="116"/>
      <c r="BL211" s="116"/>
      <c r="BM211" s="116"/>
      <c r="BN211" s="116"/>
      <c r="BO211" s="116"/>
      <c r="BP211" s="125"/>
      <c r="BQ211" s="116"/>
    </row>
    <row r="212">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c r="BC212" s="116"/>
      <c r="BD212" s="116"/>
      <c r="BE212" s="116"/>
      <c r="BF212" s="116"/>
      <c r="BG212" s="116"/>
      <c r="BH212" s="124"/>
      <c r="BI212" s="124"/>
      <c r="BJ212" s="116"/>
      <c r="BK212" s="116"/>
      <c r="BL212" s="116"/>
      <c r="BM212" s="116"/>
      <c r="BN212" s="116"/>
      <c r="BO212" s="116"/>
      <c r="BP212" s="125"/>
      <c r="BQ212" s="116"/>
    </row>
    <row r="213">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c r="BC213" s="116"/>
      <c r="BD213" s="116"/>
      <c r="BE213" s="116"/>
      <c r="BF213" s="116"/>
      <c r="BG213" s="116"/>
      <c r="BH213" s="124"/>
      <c r="BI213" s="124"/>
      <c r="BJ213" s="116"/>
      <c r="BK213" s="116"/>
      <c r="BL213" s="116"/>
      <c r="BM213" s="116"/>
      <c r="BN213" s="116"/>
      <c r="BO213" s="116"/>
      <c r="BP213" s="125"/>
      <c r="BQ213" s="116"/>
    </row>
    <row r="214">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c r="BC214" s="116"/>
      <c r="BD214" s="116"/>
      <c r="BE214" s="116"/>
      <c r="BF214" s="116"/>
      <c r="BG214" s="116"/>
      <c r="BH214" s="124"/>
      <c r="BI214" s="124"/>
      <c r="BJ214" s="116"/>
      <c r="BK214" s="116"/>
      <c r="BL214" s="116"/>
      <c r="BM214" s="116"/>
      <c r="BN214" s="116"/>
      <c r="BO214" s="116"/>
      <c r="BP214" s="125"/>
      <c r="BQ214" s="116"/>
    </row>
    <row r="215">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c r="BC215" s="116"/>
      <c r="BD215" s="116"/>
      <c r="BE215" s="116"/>
      <c r="BF215" s="116"/>
      <c r="BG215" s="116"/>
      <c r="BH215" s="124"/>
      <c r="BI215" s="124"/>
      <c r="BJ215" s="116"/>
      <c r="BK215" s="116"/>
      <c r="BL215" s="116"/>
      <c r="BM215" s="116"/>
      <c r="BN215" s="116"/>
      <c r="BO215" s="116"/>
      <c r="BP215" s="125"/>
      <c r="BQ215" s="116"/>
    </row>
    <row r="216">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c r="BC216" s="116"/>
      <c r="BD216" s="116"/>
      <c r="BE216" s="116"/>
      <c r="BF216" s="116"/>
      <c r="BG216" s="116"/>
      <c r="BH216" s="124"/>
      <c r="BI216" s="124"/>
      <c r="BJ216" s="116"/>
      <c r="BK216" s="116"/>
      <c r="BL216" s="116"/>
      <c r="BM216" s="116"/>
      <c r="BN216" s="116"/>
      <c r="BO216" s="116"/>
      <c r="BP216" s="125"/>
      <c r="BQ216" s="116"/>
    </row>
    <row r="217">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c r="BC217" s="116"/>
      <c r="BD217" s="116"/>
      <c r="BE217" s="116"/>
      <c r="BF217" s="116"/>
      <c r="BG217" s="116"/>
      <c r="BH217" s="124"/>
      <c r="BI217" s="124"/>
      <c r="BJ217" s="116"/>
      <c r="BK217" s="116"/>
      <c r="BL217" s="116"/>
      <c r="BM217" s="116"/>
      <c r="BN217" s="116"/>
      <c r="BO217" s="116"/>
      <c r="BP217" s="125"/>
      <c r="BQ217" s="116"/>
    </row>
    <row r="218">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c r="BC218" s="116"/>
      <c r="BD218" s="116"/>
      <c r="BE218" s="116"/>
      <c r="BF218" s="116"/>
      <c r="BG218" s="116"/>
      <c r="BH218" s="124"/>
      <c r="BI218" s="124"/>
      <c r="BJ218" s="116"/>
      <c r="BK218" s="116"/>
      <c r="BL218" s="116"/>
      <c r="BM218" s="116"/>
      <c r="BN218" s="116"/>
      <c r="BO218" s="116"/>
      <c r="BP218" s="125"/>
      <c r="BQ218" s="116"/>
    </row>
    <row r="219">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c r="BC219" s="116"/>
      <c r="BD219" s="116"/>
      <c r="BE219" s="116"/>
      <c r="BF219" s="116"/>
      <c r="BG219" s="116"/>
      <c r="BH219" s="124"/>
      <c r="BI219" s="124"/>
      <c r="BJ219" s="116"/>
      <c r="BK219" s="116"/>
      <c r="BL219" s="116"/>
      <c r="BM219" s="116"/>
      <c r="BN219" s="116"/>
      <c r="BO219" s="116"/>
      <c r="BP219" s="125"/>
      <c r="BQ219" s="116"/>
    </row>
    <row r="220">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c r="BC220" s="116"/>
      <c r="BD220" s="116"/>
      <c r="BE220" s="116"/>
      <c r="BF220" s="116"/>
      <c r="BG220" s="116"/>
      <c r="BH220" s="124"/>
      <c r="BI220" s="124"/>
      <c r="BJ220" s="116"/>
      <c r="BK220" s="116"/>
      <c r="BL220" s="116"/>
      <c r="BM220" s="116"/>
      <c r="BN220" s="116"/>
      <c r="BO220" s="116"/>
      <c r="BP220" s="125"/>
      <c r="BQ220" s="116"/>
    </row>
    <row r="22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c r="BC221" s="116"/>
      <c r="BD221" s="116"/>
      <c r="BE221" s="116"/>
      <c r="BF221" s="116"/>
      <c r="BG221" s="116"/>
      <c r="BH221" s="124"/>
      <c r="BI221" s="124"/>
      <c r="BJ221" s="116"/>
      <c r="BK221" s="116"/>
      <c r="BL221" s="116"/>
      <c r="BM221" s="116"/>
      <c r="BN221" s="116"/>
      <c r="BO221" s="116"/>
      <c r="BP221" s="125"/>
      <c r="BQ221" s="116"/>
    </row>
    <row r="222">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c r="BC222" s="116"/>
      <c r="BD222" s="116"/>
      <c r="BE222" s="116"/>
      <c r="BF222" s="116"/>
      <c r="BG222" s="116"/>
      <c r="BH222" s="124"/>
      <c r="BI222" s="124"/>
      <c r="BJ222" s="116"/>
      <c r="BK222" s="116"/>
      <c r="BL222" s="116"/>
      <c r="BM222" s="116"/>
      <c r="BN222" s="116"/>
      <c r="BO222" s="116"/>
      <c r="BP222" s="125"/>
      <c r="BQ222" s="116"/>
    </row>
    <row r="223">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c r="BC223" s="116"/>
      <c r="BD223" s="116"/>
      <c r="BE223" s="116"/>
      <c r="BF223" s="116"/>
      <c r="BG223" s="116"/>
      <c r="BH223" s="124"/>
      <c r="BI223" s="124"/>
      <c r="BJ223" s="116"/>
      <c r="BK223" s="116"/>
      <c r="BL223" s="116"/>
      <c r="BM223" s="116"/>
      <c r="BN223" s="116"/>
      <c r="BO223" s="116"/>
      <c r="BP223" s="125"/>
      <c r="BQ223" s="116"/>
    </row>
    <row r="224">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c r="BC224" s="116"/>
      <c r="BD224" s="116"/>
      <c r="BE224" s="116"/>
      <c r="BF224" s="116"/>
      <c r="BG224" s="116"/>
      <c r="BH224" s="124"/>
      <c r="BI224" s="124"/>
      <c r="BJ224" s="116"/>
      <c r="BK224" s="116"/>
      <c r="BL224" s="116"/>
      <c r="BM224" s="116"/>
      <c r="BN224" s="116"/>
      <c r="BO224" s="116"/>
      <c r="BP224" s="125"/>
      <c r="BQ224" s="116"/>
    </row>
    <row r="225">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c r="BC225" s="116"/>
      <c r="BD225" s="116"/>
      <c r="BE225" s="116"/>
      <c r="BF225" s="116"/>
      <c r="BG225" s="116"/>
      <c r="BH225" s="124"/>
      <c r="BI225" s="124"/>
      <c r="BJ225" s="116"/>
      <c r="BK225" s="116"/>
      <c r="BL225" s="116"/>
      <c r="BM225" s="116"/>
      <c r="BN225" s="116"/>
      <c r="BO225" s="116"/>
      <c r="BP225" s="125"/>
      <c r="BQ225" s="116"/>
    </row>
    <row r="226">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c r="BC226" s="116"/>
      <c r="BD226" s="116"/>
      <c r="BE226" s="116"/>
      <c r="BF226" s="116"/>
      <c r="BG226" s="116"/>
      <c r="BH226" s="124"/>
      <c r="BI226" s="124"/>
      <c r="BJ226" s="116"/>
      <c r="BK226" s="116"/>
      <c r="BL226" s="116"/>
      <c r="BM226" s="116"/>
      <c r="BN226" s="116"/>
      <c r="BO226" s="116"/>
      <c r="BP226" s="125"/>
      <c r="BQ226" s="116"/>
    </row>
    <row r="227">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c r="BC227" s="116"/>
      <c r="BD227" s="116"/>
      <c r="BE227" s="116"/>
      <c r="BF227" s="116"/>
      <c r="BG227" s="116"/>
      <c r="BH227" s="124"/>
      <c r="BI227" s="124"/>
      <c r="BJ227" s="116"/>
      <c r="BK227" s="116"/>
      <c r="BL227" s="116"/>
      <c r="BM227" s="116"/>
      <c r="BN227" s="116"/>
      <c r="BO227" s="116"/>
      <c r="BP227" s="125"/>
      <c r="BQ227" s="116"/>
    </row>
    <row r="228">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c r="BC228" s="116"/>
      <c r="BD228" s="116"/>
      <c r="BE228" s="116"/>
      <c r="BF228" s="116"/>
      <c r="BG228" s="116"/>
      <c r="BH228" s="124"/>
      <c r="BI228" s="124"/>
      <c r="BJ228" s="116"/>
      <c r="BK228" s="116"/>
      <c r="BL228" s="116"/>
      <c r="BM228" s="116"/>
      <c r="BN228" s="116"/>
      <c r="BO228" s="116"/>
      <c r="BP228" s="125"/>
      <c r="BQ228" s="116"/>
    </row>
    <row r="229">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c r="BC229" s="116"/>
      <c r="BD229" s="116"/>
      <c r="BE229" s="116"/>
      <c r="BF229" s="116"/>
      <c r="BG229" s="116"/>
      <c r="BH229" s="124"/>
      <c r="BI229" s="124"/>
      <c r="BJ229" s="116"/>
      <c r="BK229" s="116"/>
      <c r="BL229" s="116"/>
      <c r="BM229" s="116"/>
      <c r="BN229" s="116"/>
      <c r="BO229" s="116"/>
      <c r="BP229" s="125"/>
      <c r="BQ229" s="116"/>
    </row>
    <row r="230">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c r="BC230" s="116"/>
      <c r="BD230" s="116"/>
      <c r="BE230" s="116"/>
      <c r="BF230" s="116"/>
      <c r="BG230" s="116"/>
      <c r="BH230" s="124"/>
      <c r="BI230" s="124"/>
      <c r="BJ230" s="116"/>
      <c r="BK230" s="116"/>
      <c r="BL230" s="116"/>
      <c r="BM230" s="116"/>
      <c r="BN230" s="116"/>
      <c r="BO230" s="116"/>
      <c r="BP230" s="125"/>
      <c r="BQ230" s="116"/>
    </row>
    <row r="23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c r="BC231" s="116"/>
      <c r="BD231" s="116"/>
      <c r="BE231" s="116"/>
      <c r="BF231" s="116"/>
      <c r="BG231" s="116"/>
      <c r="BH231" s="124"/>
      <c r="BI231" s="124"/>
      <c r="BJ231" s="116"/>
      <c r="BK231" s="116"/>
      <c r="BL231" s="116"/>
      <c r="BM231" s="116"/>
      <c r="BN231" s="116"/>
      <c r="BO231" s="116"/>
      <c r="BP231" s="125"/>
      <c r="BQ231" s="116"/>
    </row>
    <row r="232">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c r="BC232" s="116"/>
      <c r="BD232" s="116"/>
      <c r="BE232" s="116"/>
      <c r="BF232" s="116"/>
      <c r="BG232" s="116"/>
      <c r="BH232" s="124"/>
      <c r="BI232" s="124"/>
      <c r="BJ232" s="116"/>
      <c r="BK232" s="116"/>
      <c r="BL232" s="116"/>
      <c r="BM232" s="116"/>
      <c r="BN232" s="116"/>
      <c r="BO232" s="116"/>
      <c r="BP232" s="125"/>
      <c r="BQ232" s="116"/>
    </row>
    <row r="233">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c r="BC233" s="116"/>
      <c r="BD233" s="116"/>
      <c r="BE233" s="116"/>
      <c r="BF233" s="116"/>
      <c r="BG233" s="116"/>
      <c r="BH233" s="124"/>
      <c r="BI233" s="124"/>
      <c r="BJ233" s="116"/>
      <c r="BK233" s="116"/>
      <c r="BL233" s="116"/>
      <c r="BM233" s="116"/>
      <c r="BN233" s="116"/>
      <c r="BO233" s="116"/>
      <c r="BP233" s="125"/>
      <c r="BQ233" s="116"/>
    </row>
    <row r="234">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c r="BC234" s="116"/>
      <c r="BD234" s="116"/>
      <c r="BE234" s="116"/>
      <c r="BF234" s="116"/>
      <c r="BG234" s="116"/>
      <c r="BH234" s="124"/>
      <c r="BI234" s="124"/>
      <c r="BJ234" s="116"/>
      <c r="BK234" s="116"/>
      <c r="BL234" s="116"/>
      <c r="BM234" s="116"/>
      <c r="BN234" s="116"/>
      <c r="BO234" s="116"/>
      <c r="BP234" s="125"/>
      <c r="BQ234" s="116"/>
    </row>
    <row r="235">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c r="AX235" s="116"/>
      <c r="AY235" s="116"/>
      <c r="AZ235" s="116"/>
      <c r="BA235" s="116"/>
      <c r="BB235" s="116"/>
      <c r="BC235" s="116"/>
      <c r="BD235" s="116"/>
      <c r="BE235" s="116"/>
      <c r="BF235" s="116"/>
      <c r="BG235" s="116"/>
      <c r="BH235" s="124"/>
      <c r="BI235" s="124"/>
      <c r="BJ235" s="116"/>
      <c r="BK235" s="116"/>
      <c r="BL235" s="116"/>
      <c r="BM235" s="116"/>
      <c r="BN235" s="116"/>
      <c r="BO235" s="116"/>
      <c r="BP235" s="125"/>
      <c r="BQ235" s="116"/>
    </row>
    <row r="236">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c r="AX236" s="116"/>
      <c r="AY236" s="116"/>
      <c r="AZ236" s="116"/>
      <c r="BA236" s="116"/>
      <c r="BB236" s="116"/>
      <c r="BC236" s="116"/>
      <c r="BD236" s="116"/>
      <c r="BE236" s="116"/>
      <c r="BF236" s="116"/>
      <c r="BG236" s="116"/>
      <c r="BH236" s="124"/>
      <c r="BI236" s="124"/>
      <c r="BJ236" s="116"/>
      <c r="BK236" s="116"/>
      <c r="BL236" s="116"/>
      <c r="BM236" s="116"/>
      <c r="BN236" s="116"/>
      <c r="BO236" s="116"/>
      <c r="BP236" s="125"/>
      <c r="BQ236" s="116"/>
    </row>
    <row r="237">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c r="BC237" s="116"/>
      <c r="BD237" s="116"/>
      <c r="BE237" s="116"/>
      <c r="BF237" s="116"/>
      <c r="BG237" s="116"/>
      <c r="BH237" s="124"/>
      <c r="BI237" s="124"/>
      <c r="BJ237" s="116"/>
      <c r="BK237" s="116"/>
      <c r="BL237" s="116"/>
      <c r="BM237" s="116"/>
      <c r="BN237" s="116"/>
      <c r="BO237" s="116"/>
      <c r="BP237" s="125"/>
      <c r="BQ237" s="116"/>
    </row>
    <row r="238">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c r="BC238" s="116"/>
      <c r="BD238" s="116"/>
      <c r="BE238" s="116"/>
      <c r="BF238" s="116"/>
      <c r="BG238" s="116"/>
      <c r="BH238" s="124"/>
      <c r="BI238" s="124"/>
      <c r="BJ238" s="116"/>
      <c r="BK238" s="116"/>
      <c r="BL238" s="116"/>
      <c r="BM238" s="116"/>
      <c r="BN238" s="116"/>
      <c r="BO238" s="116"/>
      <c r="BP238" s="125"/>
      <c r="BQ238" s="116"/>
    </row>
    <row r="239">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c r="BC239" s="116"/>
      <c r="BD239" s="116"/>
      <c r="BE239" s="116"/>
      <c r="BF239" s="116"/>
      <c r="BG239" s="116"/>
      <c r="BH239" s="124"/>
      <c r="BI239" s="124"/>
      <c r="BJ239" s="116"/>
      <c r="BK239" s="116"/>
      <c r="BL239" s="116"/>
      <c r="BM239" s="116"/>
      <c r="BN239" s="116"/>
      <c r="BO239" s="116"/>
      <c r="BP239" s="125"/>
      <c r="BQ239" s="116"/>
    </row>
    <row r="240">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c r="BC240" s="116"/>
      <c r="BD240" s="116"/>
      <c r="BE240" s="116"/>
      <c r="BF240" s="116"/>
      <c r="BG240" s="116"/>
      <c r="BH240" s="124"/>
      <c r="BI240" s="124"/>
      <c r="BJ240" s="116"/>
      <c r="BK240" s="116"/>
      <c r="BL240" s="116"/>
      <c r="BM240" s="116"/>
      <c r="BN240" s="116"/>
      <c r="BO240" s="116"/>
      <c r="BP240" s="125"/>
      <c r="BQ240" s="116"/>
    </row>
    <row r="24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c r="BC241" s="116"/>
      <c r="BD241" s="116"/>
      <c r="BE241" s="116"/>
      <c r="BF241" s="116"/>
      <c r="BG241" s="116"/>
      <c r="BH241" s="124"/>
      <c r="BI241" s="124"/>
      <c r="BJ241" s="116"/>
      <c r="BK241" s="116"/>
      <c r="BL241" s="116"/>
      <c r="BM241" s="116"/>
      <c r="BN241" s="116"/>
      <c r="BO241" s="116"/>
      <c r="BP241" s="125"/>
      <c r="BQ241" s="116"/>
    </row>
    <row r="242">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c r="BC242" s="116"/>
      <c r="BD242" s="116"/>
      <c r="BE242" s="116"/>
      <c r="BF242" s="116"/>
      <c r="BG242" s="116"/>
      <c r="BH242" s="124"/>
      <c r="BI242" s="124"/>
      <c r="BJ242" s="116"/>
      <c r="BK242" s="116"/>
      <c r="BL242" s="116"/>
      <c r="BM242" s="116"/>
      <c r="BN242" s="116"/>
      <c r="BO242" s="116"/>
      <c r="BP242" s="125"/>
      <c r="BQ242" s="116"/>
    </row>
    <row r="243">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c r="BC243" s="116"/>
      <c r="BD243" s="116"/>
      <c r="BE243" s="116"/>
      <c r="BF243" s="116"/>
      <c r="BG243" s="116"/>
      <c r="BH243" s="124"/>
      <c r="BI243" s="124"/>
      <c r="BJ243" s="116"/>
      <c r="BK243" s="116"/>
      <c r="BL243" s="116"/>
      <c r="BM243" s="116"/>
      <c r="BN243" s="116"/>
      <c r="BO243" s="116"/>
      <c r="BP243" s="125"/>
      <c r="BQ243" s="116"/>
    </row>
    <row r="244">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c r="BC244" s="116"/>
      <c r="BD244" s="116"/>
      <c r="BE244" s="116"/>
      <c r="BF244" s="116"/>
      <c r="BG244" s="116"/>
      <c r="BH244" s="124"/>
      <c r="BI244" s="124"/>
      <c r="BJ244" s="116"/>
      <c r="BK244" s="116"/>
      <c r="BL244" s="116"/>
      <c r="BM244" s="116"/>
      <c r="BN244" s="116"/>
      <c r="BO244" s="116"/>
      <c r="BP244" s="125"/>
      <c r="BQ244" s="116"/>
    </row>
    <row r="245">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c r="BC245" s="116"/>
      <c r="BD245" s="116"/>
      <c r="BE245" s="116"/>
      <c r="BF245" s="116"/>
      <c r="BG245" s="116"/>
      <c r="BH245" s="124"/>
      <c r="BI245" s="124"/>
      <c r="BJ245" s="116"/>
      <c r="BK245" s="116"/>
      <c r="BL245" s="116"/>
      <c r="BM245" s="116"/>
      <c r="BN245" s="116"/>
      <c r="BO245" s="116"/>
      <c r="BP245" s="125"/>
      <c r="BQ245" s="116"/>
    </row>
    <row r="246">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c r="BC246" s="116"/>
      <c r="BD246" s="116"/>
      <c r="BE246" s="116"/>
      <c r="BF246" s="116"/>
      <c r="BG246" s="116"/>
      <c r="BH246" s="124"/>
      <c r="BI246" s="124"/>
      <c r="BJ246" s="116"/>
      <c r="BK246" s="116"/>
      <c r="BL246" s="116"/>
      <c r="BM246" s="116"/>
      <c r="BN246" s="116"/>
      <c r="BO246" s="116"/>
      <c r="BP246" s="125"/>
      <c r="BQ246" s="116"/>
    </row>
    <row r="247">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c r="BC247" s="116"/>
      <c r="BD247" s="116"/>
      <c r="BE247" s="116"/>
      <c r="BF247" s="116"/>
      <c r="BG247" s="116"/>
      <c r="BH247" s="124"/>
      <c r="BI247" s="124"/>
      <c r="BJ247" s="116"/>
      <c r="BK247" s="116"/>
      <c r="BL247" s="116"/>
      <c r="BM247" s="116"/>
      <c r="BN247" s="116"/>
      <c r="BO247" s="116"/>
      <c r="BP247" s="125"/>
      <c r="BQ247" s="116"/>
    </row>
    <row r="248">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c r="BC248" s="116"/>
      <c r="BD248" s="116"/>
      <c r="BE248" s="116"/>
      <c r="BF248" s="116"/>
      <c r="BG248" s="116"/>
      <c r="BH248" s="124"/>
      <c r="BI248" s="124"/>
      <c r="BJ248" s="116"/>
      <c r="BK248" s="116"/>
      <c r="BL248" s="116"/>
      <c r="BM248" s="116"/>
      <c r="BN248" s="116"/>
      <c r="BO248" s="116"/>
      <c r="BP248" s="125"/>
      <c r="BQ248" s="116"/>
    </row>
    <row r="249">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c r="BC249" s="116"/>
      <c r="BD249" s="116"/>
      <c r="BE249" s="116"/>
      <c r="BF249" s="116"/>
      <c r="BG249" s="116"/>
      <c r="BH249" s="124"/>
      <c r="BI249" s="124"/>
      <c r="BJ249" s="116"/>
      <c r="BK249" s="116"/>
      <c r="BL249" s="116"/>
      <c r="BM249" s="116"/>
      <c r="BN249" s="116"/>
      <c r="BO249" s="116"/>
      <c r="BP249" s="125"/>
      <c r="BQ249" s="116"/>
    </row>
    <row r="250">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c r="BC250" s="116"/>
      <c r="BD250" s="116"/>
      <c r="BE250" s="116"/>
      <c r="BF250" s="116"/>
      <c r="BG250" s="116"/>
      <c r="BH250" s="124"/>
      <c r="BI250" s="124"/>
      <c r="BJ250" s="116"/>
      <c r="BK250" s="116"/>
      <c r="BL250" s="116"/>
      <c r="BM250" s="116"/>
      <c r="BN250" s="116"/>
      <c r="BO250" s="116"/>
      <c r="BP250" s="125"/>
      <c r="BQ250" s="116"/>
    </row>
    <row r="25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c r="AX251" s="116"/>
      <c r="AY251" s="116"/>
      <c r="AZ251" s="116"/>
      <c r="BA251" s="116"/>
      <c r="BB251" s="116"/>
      <c r="BC251" s="116"/>
      <c r="BD251" s="116"/>
      <c r="BE251" s="116"/>
      <c r="BF251" s="116"/>
      <c r="BG251" s="116"/>
      <c r="BH251" s="124"/>
      <c r="BI251" s="124"/>
      <c r="BJ251" s="116"/>
      <c r="BK251" s="116"/>
      <c r="BL251" s="116"/>
      <c r="BM251" s="116"/>
      <c r="BN251" s="116"/>
      <c r="BO251" s="116"/>
      <c r="BP251" s="125"/>
      <c r="BQ251" s="116"/>
    </row>
    <row r="252">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c r="BC252" s="116"/>
      <c r="BD252" s="116"/>
      <c r="BE252" s="116"/>
      <c r="BF252" s="116"/>
      <c r="BG252" s="116"/>
      <c r="BH252" s="124"/>
      <c r="BI252" s="124"/>
      <c r="BJ252" s="116"/>
      <c r="BK252" s="116"/>
      <c r="BL252" s="116"/>
      <c r="BM252" s="116"/>
      <c r="BN252" s="116"/>
      <c r="BO252" s="116"/>
      <c r="BP252" s="125"/>
      <c r="BQ252" s="116"/>
    </row>
    <row r="253">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c r="BC253" s="116"/>
      <c r="BD253" s="116"/>
      <c r="BE253" s="116"/>
      <c r="BF253" s="116"/>
      <c r="BG253" s="116"/>
      <c r="BH253" s="124"/>
      <c r="BI253" s="124"/>
      <c r="BJ253" s="116"/>
      <c r="BK253" s="116"/>
      <c r="BL253" s="116"/>
      <c r="BM253" s="116"/>
      <c r="BN253" s="116"/>
      <c r="BO253" s="116"/>
      <c r="BP253" s="125"/>
      <c r="BQ253" s="116"/>
    </row>
    <row r="254">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c r="BC254" s="116"/>
      <c r="BD254" s="116"/>
      <c r="BE254" s="116"/>
      <c r="BF254" s="116"/>
      <c r="BG254" s="116"/>
      <c r="BH254" s="124"/>
      <c r="BI254" s="124"/>
      <c r="BJ254" s="116"/>
      <c r="BK254" s="116"/>
      <c r="BL254" s="116"/>
      <c r="BM254" s="116"/>
      <c r="BN254" s="116"/>
      <c r="BO254" s="116"/>
      <c r="BP254" s="125"/>
      <c r="BQ254" s="116"/>
    </row>
    <row r="255">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c r="BC255" s="116"/>
      <c r="BD255" s="116"/>
      <c r="BE255" s="116"/>
      <c r="BF255" s="116"/>
      <c r="BG255" s="116"/>
      <c r="BH255" s="124"/>
      <c r="BI255" s="124"/>
      <c r="BJ255" s="116"/>
      <c r="BK255" s="116"/>
      <c r="BL255" s="116"/>
      <c r="BM255" s="116"/>
      <c r="BN255" s="116"/>
      <c r="BO255" s="116"/>
      <c r="BP255" s="125"/>
      <c r="BQ255" s="116"/>
    </row>
    <row r="256">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c r="AX256" s="116"/>
      <c r="AY256" s="116"/>
      <c r="AZ256" s="116"/>
      <c r="BA256" s="116"/>
      <c r="BB256" s="116"/>
      <c r="BC256" s="116"/>
      <c r="BD256" s="116"/>
      <c r="BE256" s="116"/>
      <c r="BF256" s="116"/>
      <c r="BG256" s="116"/>
      <c r="BH256" s="124"/>
      <c r="BI256" s="124"/>
      <c r="BJ256" s="116"/>
      <c r="BK256" s="116"/>
      <c r="BL256" s="116"/>
      <c r="BM256" s="116"/>
      <c r="BN256" s="116"/>
      <c r="BO256" s="116"/>
      <c r="BP256" s="125"/>
      <c r="BQ256" s="116"/>
    </row>
    <row r="257">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c r="BC257" s="116"/>
      <c r="BD257" s="116"/>
      <c r="BE257" s="116"/>
      <c r="BF257" s="116"/>
      <c r="BG257" s="116"/>
      <c r="BH257" s="124"/>
      <c r="BI257" s="124"/>
      <c r="BJ257" s="116"/>
      <c r="BK257" s="116"/>
      <c r="BL257" s="116"/>
      <c r="BM257" s="116"/>
      <c r="BN257" s="116"/>
      <c r="BO257" s="116"/>
      <c r="BP257" s="125"/>
      <c r="BQ257" s="116"/>
    </row>
    <row r="258">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c r="BC258" s="116"/>
      <c r="BD258" s="116"/>
      <c r="BE258" s="116"/>
      <c r="BF258" s="116"/>
      <c r="BG258" s="116"/>
      <c r="BH258" s="124"/>
      <c r="BI258" s="124"/>
      <c r="BJ258" s="116"/>
      <c r="BK258" s="116"/>
      <c r="BL258" s="116"/>
      <c r="BM258" s="116"/>
      <c r="BN258" s="116"/>
      <c r="BO258" s="116"/>
      <c r="BP258" s="125"/>
      <c r="BQ258" s="116"/>
    </row>
    <row r="259">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c r="BC259" s="116"/>
      <c r="BD259" s="116"/>
      <c r="BE259" s="116"/>
      <c r="BF259" s="116"/>
      <c r="BG259" s="116"/>
      <c r="BH259" s="124"/>
      <c r="BI259" s="124"/>
      <c r="BJ259" s="116"/>
      <c r="BK259" s="116"/>
      <c r="BL259" s="116"/>
      <c r="BM259" s="116"/>
      <c r="BN259" s="116"/>
      <c r="BO259" s="116"/>
      <c r="BP259" s="125"/>
      <c r="BQ259" s="116"/>
    </row>
    <row r="260">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c r="BC260" s="116"/>
      <c r="BD260" s="116"/>
      <c r="BE260" s="116"/>
      <c r="BF260" s="116"/>
      <c r="BG260" s="116"/>
      <c r="BH260" s="124"/>
      <c r="BI260" s="124"/>
      <c r="BJ260" s="116"/>
      <c r="BK260" s="116"/>
      <c r="BL260" s="116"/>
      <c r="BM260" s="116"/>
      <c r="BN260" s="116"/>
      <c r="BO260" s="116"/>
      <c r="BP260" s="125"/>
      <c r="BQ260" s="116"/>
    </row>
    <row r="26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c r="BC261" s="116"/>
      <c r="BD261" s="116"/>
      <c r="BE261" s="116"/>
      <c r="BF261" s="116"/>
      <c r="BG261" s="116"/>
      <c r="BH261" s="124"/>
      <c r="BI261" s="124"/>
      <c r="BJ261" s="116"/>
      <c r="BK261" s="116"/>
      <c r="BL261" s="116"/>
      <c r="BM261" s="116"/>
      <c r="BN261" s="116"/>
      <c r="BO261" s="116"/>
      <c r="BP261" s="125"/>
      <c r="BQ261" s="116"/>
    </row>
    <row r="262">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c r="BC262" s="116"/>
      <c r="BD262" s="116"/>
      <c r="BE262" s="116"/>
      <c r="BF262" s="116"/>
      <c r="BG262" s="116"/>
      <c r="BH262" s="124"/>
      <c r="BI262" s="124"/>
      <c r="BJ262" s="116"/>
      <c r="BK262" s="116"/>
      <c r="BL262" s="116"/>
      <c r="BM262" s="116"/>
      <c r="BN262" s="116"/>
      <c r="BO262" s="116"/>
      <c r="BP262" s="125"/>
      <c r="BQ262" s="116"/>
    </row>
    <row r="263">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c r="BC263" s="116"/>
      <c r="BD263" s="116"/>
      <c r="BE263" s="116"/>
      <c r="BF263" s="116"/>
      <c r="BG263" s="116"/>
      <c r="BH263" s="124"/>
      <c r="BI263" s="124"/>
      <c r="BJ263" s="116"/>
      <c r="BK263" s="116"/>
      <c r="BL263" s="116"/>
      <c r="BM263" s="116"/>
      <c r="BN263" s="116"/>
      <c r="BO263" s="116"/>
      <c r="BP263" s="125"/>
      <c r="BQ263" s="116"/>
    </row>
    <row r="264">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c r="BC264" s="116"/>
      <c r="BD264" s="116"/>
      <c r="BE264" s="116"/>
      <c r="BF264" s="116"/>
      <c r="BG264" s="116"/>
      <c r="BH264" s="124"/>
      <c r="BI264" s="124"/>
      <c r="BJ264" s="116"/>
      <c r="BK264" s="116"/>
      <c r="BL264" s="116"/>
      <c r="BM264" s="116"/>
      <c r="BN264" s="116"/>
      <c r="BO264" s="116"/>
      <c r="BP264" s="125"/>
      <c r="BQ264" s="116"/>
    </row>
    <row r="265">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c r="BC265" s="116"/>
      <c r="BD265" s="116"/>
      <c r="BE265" s="116"/>
      <c r="BF265" s="116"/>
      <c r="BG265" s="116"/>
      <c r="BH265" s="124"/>
      <c r="BI265" s="124"/>
      <c r="BJ265" s="116"/>
      <c r="BK265" s="116"/>
      <c r="BL265" s="116"/>
      <c r="BM265" s="116"/>
      <c r="BN265" s="116"/>
      <c r="BO265" s="116"/>
      <c r="BP265" s="125"/>
      <c r="BQ265" s="116"/>
    </row>
    <row r="266">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c r="BC266" s="116"/>
      <c r="BD266" s="116"/>
      <c r="BE266" s="116"/>
      <c r="BF266" s="116"/>
      <c r="BG266" s="116"/>
      <c r="BH266" s="124"/>
      <c r="BI266" s="124"/>
      <c r="BJ266" s="116"/>
      <c r="BK266" s="116"/>
      <c r="BL266" s="116"/>
      <c r="BM266" s="116"/>
      <c r="BN266" s="116"/>
      <c r="BO266" s="116"/>
      <c r="BP266" s="125"/>
      <c r="BQ266" s="116"/>
    </row>
    <row r="267">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c r="BC267" s="116"/>
      <c r="BD267" s="116"/>
      <c r="BE267" s="116"/>
      <c r="BF267" s="116"/>
      <c r="BG267" s="116"/>
      <c r="BH267" s="124"/>
      <c r="BI267" s="124"/>
      <c r="BJ267" s="116"/>
      <c r="BK267" s="116"/>
      <c r="BL267" s="116"/>
      <c r="BM267" s="116"/>
      <c r="BN267" s="116"/>
      <c r="BO267" s="116"/>
      <c r="BP267" s="125"/>
      <c r="BQ267" s="116"/>
    </row>
    <row r="268">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c r="BC268" s="116"/>
      <c r="BD268" s="116"/>
      <c r="BE268" s="116"/>
      <c r="BF268" s="116"/>
      <c r="BG268" s="116"/>
      <c r="BH268" s="124"/>
      <c r="BI268" s="124"/>
      <c r="BJ268" s="116"/>
      <c r="BK268" s="116"/>
      <c r="BL268" s="116"/>
      <c r="BM268" s="116"/>
      <c r="BN268" s="116"/>
      <c r="BO268" s="116"/>
      <c r="BP268" s="125"/>
      <c r="BQ268" s="116"/>
    </row>
    <row r="269">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c r="BC269" s="116"/>
      <c r="BD269" s="116"/>
      <c r="BE269" s="116"/>
      <c r="BF269" s="116"/>
      <c r="BG269" s="116"/>
      <c r="BH269" s="124"/>
      <c r="BI269" s="124"/>
      <c r="BJ269" s="116"/>
      <c r="BK269" s="116"/>
      <c r="BL269" s="116"/>
      <c r="BM269" s="116"/>
      <c r="BN269" s="116"/>
      <c r="BO269" s="116"/>
      <c r="BP269" s="125"/>
      <c r="BQ269" s="116"/>
    </row>
    <row r="270">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c r="BC270" s="116"/>
      <c r="BD270" s="116"/>
      <c r="BE270" s="116"/>
      <c r="BF270" s="116"/>
      <c r="BG270" s="116"/>
      <c r="BH270" s="124"/>
      <c r="BI270" s="124"/>
      <c r="BJ270" s="116"/>
      <c r="BK270" s="116"/>
      <c r="BL270" s="116"/>
      <c r="BM270" s="116"/>
      <c r="BN270" s="116"/>
      <c r="BO270" s="116"/>
      <c r="BP270" s="125"/>
      <c r="BQ270" s="116"/>
    </row>
    <row r="27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c r="BC271" s="116"/>
      <c r="BD271" s="116"/>
      <c r="BE271" s="116"/>
      <c r="BF271" s="116"/>
      <c r="BG271" s="116"/>
      <c r="BH271" s="124"/>
      <c r="BI271" s="124"/>
      <c r="BJ271" s="116"/>
      <c r="BK271" s="116"/>
      <c r="BL271" s="116"/>
      <c r="BM271" s="116"/>
      <c r="BN271" s="116"/>
      <c r="BO271" s="116"/>
      <c r="BP271" s="125"/>
      <c r="BQ271" s="116"/>
    </row>
    <row r="272">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c r="BC272" s="116"/>
      <c r="BD272" s="116"/>
      <c r="BE272" s="116"/>
      <c r="BF272" s="116"/>
      <c r="BG272" s="116"/>
      <c r="BH272" s="124"/>
      <c r="BI272" s="124"/>
      <c r="BJ272" s="116"/>
      <c r="BK272" s="116"/>
      <c r="BL272" s="116"/>
      <c r="BM272" s="116"/>
      <c r="BN272" s="116"/>
      <c r="BO272" s="116"/>
      <c r="BP272" s="125"/>
      <c r="BQ272" s="116"/>
    </row>
    <row r="273">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c r="BC273" s="116"/>
      <c r="BD273" s="116"/>
      <c r="BE273" s="116"/>
      <c r="BF273" s="116"/>
      <c r="BG273" s="116"/>
      <c r="BH273" s="124"/>
      <c r="BI273" s="124"/>
      <c r="BJ273" s="116"/>
      <c r="BK273" s="116"/>
      <c r="BL273" s="116"/>
      <c r="BM273" s="116"/>
      <c r="BN273" s="116"/>
      <c r="BO273" s="116"/>
      <c r="BP273" s="125"/>
      <c r="BQ273" s="116"/>
    </row>
    <row r="274">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c r="BC274" s="116"/>
      <c r="BD274" s="116"/>
      <c r="BE274" s="116"/>
      <c r="BF274" s="116"/>
      <c r="BG274" s="116"/>
      <c r="BH274" s="124"/>
      <c r="BI274" s="124"/>
      <c r="BJ274" s="116"/>
      <c r="BK274" s="116"/>
      <c r="BL274" s="116"/>
      <c r="BM274" s="116"/>
      <c r="BN274" s="116"/>
      <c r="BO274" s="116"/>
      <c r="BP274" s="125"/>
      <c r="BQ274" s="116"/>
    </row>
    <row r="275">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c r="BC275" s="116"/>
      <c r="BD275" s="116"/>
      <c r="BE275" s="116"/>
      <c r="BF275" s="116"/>
      <c r="BG275" s="116"/>
      <c r="BH275" s="124"/>
      <c r="BI275" s="124"/>
      <c r="BJ275" s="116"/>
      <c r="BK275" s="116"/>
      <c r="BL275" s="116"/>
      <c r="BM275" s="116"/>
      <c r="BN275" s="116"/>
      <c r="BO275" s="116"/>
      <c r="BP275" s="125"/>
      <c r="BQ275" s="116"/>
    </row>
    <row r="276">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c r="BC276" s="116"/>
      <c r="BD276" s="116"/>
      <c r="BE276" s="116"/>
      <c r="BF276" s="116"/>
      <c r="BG276" s="116"/>
      <c r="BH276" s="124"/>
      <c r="BI276" s="124"/>
      <c r="BJ276" s="116"/>
      <c r="BK276" s="116"/>
      <c r="BL276" s="116"/>
      <c r="BM276" s="116"/>
      <c r="BN276" s="116"/>
      <c r="BO276" s="116"/>
      <c r="BP276" s="125"/>
      <c r="BQ276" s="116"/>
    </row>
    <row r="277">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c r="BC277" s="116"/>
      <c r="BD277" s="116"/>
      <c r="BE277" s="116"/>
      <c r="BF277" s="116"/>
      <c r="BG277" s="116"/>
      <c r="BH277" s="124"/>
      <c r="BI277" s="124"/>
      <c r="BJ277" s="116"/>
      <c r="BK277" s="116"/>
      <c r="BL277" s="116"/>
      <c r="BM277" s="116"/>
      <c r="BN277" s="116"/>
      <c r="BO277" s="116"/>
      <c r="BP277" s="125"/>
      <c r="BQ277" s="116"/>
    </row>
    <row r="278">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c r="BC278" s="116"/>
      <c r="BD278" s="116"/>
      <c r="BE278" s="116"/>
      <c r="BF278" s="116"/>
      <c r="BG278" s="116"/>
      <c r="BH278" s="124"/>
      <c r="BI278" s="124"/>
      <c r="BJ278" s="116"/>
      <c r="BK278" s="116"/>
      <c r="BL278" s="116"/>
      <c r="BM278" s="116"/>
      <c r="BN278" s="116"/>
      <c r="BO278" s="116"/>
      <c r="BP278" s="125"/>
      <c r="BQ278" s="116"/>
    </row>
    <row r="279">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c r="BC279" s="116"/>
      <c r="BD279" s="116"/>
      <c r="BE279" s="116"/>
      <c r="BF279" s="116"/>
      <c r="BG279" s="116"/>
      <c r="BH279" s="124"/>
      <c r="BI279" s="124"/>
      <c r="BJ279" s="116"/>
      <c r="BK279" s="116"/>
      <c r="BL279" s="116"/>
      <c r="BM279" s="116"/>
      <c r="BN279" s="116"/>
      <c r="BO279" s="116"/>
      <c r="BP279" s="125"/>
      <c r="BQ279" s="116"/>
    </row>
    <row r="280">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c r="BC280" s="116"/>
      <c r="BD280" s="116"/>
      <c r="BE280" s="116"/>
      <c r="BF280" s="116"/>
      <c r="BG280" s="116"/>
      <c r="BH280" s="124"/>
      <c r="BI280" s="124"/>
      <c r="BJ280" s="116"/>
      <c r="BK280" s="116"/>
      <c r="BL280" s="116"/>
      <c r="BM280" s="116"/>
      <c r="BN280" s="116"/>
      <c r="BO280" s="116"/>
      <c r="BP280" s="125"/>
      <c r="BQ280" s="116"/>
    </row>
    <row r="28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c r="BC281" s="116"/>
      <c r="BD281" s="116"/>
      <c r="BE281" s="116"/>
      <c r="BF281" s="116"/>
      <c r="BG281" s="116"/>
      <c r="BH281" s="124"/>
      <c r="BI281" s="124"/>
      <c r="BJ281" s="116"/>
      <c r="BK281" s="116"/>
      <c r="BL281" s="116"/>
      <c r="BM281" s="116"/>
      <c r="BN281" s="116"/>
      <c r="BO281" s="116"/>
      <c r="BP281" s="125"/>
      <c r="BQ281" s="116"/>
    </row>
    <row r="282">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c r="BC282" s="116"/>
      <c r="BD282" s="116"/>
      <c r="BE282" s="116"/>
      <c r="BF282" s="116"/>
      <c r="BG282" s="116"/>
      <c r="BH282" s="124"/>
      <c r="BI282" s="124"/>
      <c r="BJ282" s="116"/>
      <c r="BK282" s="116"/>
      <c r="BL282" s="116"/>
      <c r="BM282" s="116"/>
      <c r="BN282" s="116"/>
      <c r="BO282" s="116"/>
      <c r="BP282" s="125"/>
      <c r="BQ282" s="116"/>
    </row>
    <row r="283">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c r="BC283" s="116"/>
      <c r="BD283" s="116"/>
      <c r="BE283" s="116"/>
      <c r="BF283" s="116"/>
      <c r="BG283" s="116"/>
      <c r="BH283" s="124"/>
      <c r="BI283" s="124"/>
      <c r="BJ283" s="116"/>
      <c r="BK283" s="116"/>
      <c r="BL283" s="116"/>
      <c r="BM283" s="116"/>
      <c r="BN283" s="116"/>
      <c r="BO283" s="116"/>
      <c r="BP283" s="125"/>
      <c r="BQ283" s="116"/>
    </row>
    <row r="284">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c r="BC284" s="116"/>
      <c r="BD284" s="116"/>
      <c r="BE284" s="116"/>
      <c r="BF284" s="116"/>
      <c r="BG284" s="116"/>
      <c r="BH284" s="124"/>
      <c r="BI284" s="124"/>
      <c r="BJ284" s="116"/>
      <c r="BK284" s="116"/>
      <c r="BL284" s="116"/>
      <c r="BM284" s="116"/>
      <c r="BN284" s="116"/>
      <c r="BO284" s="116"/>
      <c r="BP284" s="125"/>
      <c r="BQ284" s="116"/>
    </row>
    <row r="285">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c r="BC285" s="116"/>
      <c r="BD285" s="116"/>
      <c r="BE285" s="116"/>
      <c r="BF285" s="116"/>
      <c r="BG285" s="116"/>
      <c r="BH285" s="124"/>
      <c r="BI285" s="124"/>
      <c r="BJ285" s="116"/>
      <c r="BK285" s="116"/>
      <c r="BL285" s="116"/>
      <c r="BM285" s="116"/>
      <c r="BN285" s="116"/>
      <c r="BO285" s="116"/>
      <c r="BP285" s="125"/>
      <c r="BQ285" s="116"/>
    </row>
    <row r="286">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c r="BC286" s="116"/>
      <c r="BD286" s="116"/>
      <c r="BE286" s="116"/>
      <c r="BF286" s="116"/>
      <c r="BG286" s="116"/>
      <c r="BH286" s="124"/>
      <c r="BI286" s="124"/>
      <c r="BJ286" s="116"/>
      <c r="BK286" s="116"/>
      <c r="BL286" s="116"/>
      <c r="BM286" s="116"/>
      <c r="BN286" s="116"/>
      <c r="BO286" s="116"/>
      <c r="BP286" s="125"/>
      <c r="BQ286" s="116"/>
    </row>
    <row r="287">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c r="BC287" s="116"/>
      <c r="BD287" s="116"/>
      <c r="BE287" s="116"/>
      <c r="BF287" s="116"/>
      <c r="BG287" s="116"/>
      <c r="BH287" s="124"/>
      <c r="BI287" s="124"/>
      <c r="BJ287" s="116"/>
      <c r="BK287" s="116"/>
      <c r="BL287" s="116"/>
      <c r="BM287" s="116"/>
      <c r="BN287" s="116"/>
      <c r="BO287" s="116"/>
      <c r="BP287" s="125"/>
      <c r="BQ287" s="116"/>
    </row>
    <row r="288">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c r="BC288" s="116"/>
      <c r="BD288" s="116"/>
      <c r="BE288" s="116"/>
      <c r="BF288" s="116"/>
      <c r="BG288" s="116"/>
      <c r="BH288" s="124"/>
      <c r="BI288" s="124"/>
      <c r="BJ288" s="116"/>
      <c r="BK288" s="116"/>
      <c r="BL288" s="116"/>
      <c r="BM288" s="116"/>
      <c r="BN288" s="116"/>
      <c r="BO288" s="116"/>
      <c r="BP288" s="125"/>
      <c r="BQ288" s="116"/>
    </row>
    <row r="289">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c r="BC289" s="116"/>
      <c r="BD289" s="116"/>
      <c r="BE289" s="116"/>
      <c r="BF289" s="116"/>
      <c r="BG289" s="116"/>
      <c r="BH289" s="124"/>
      <c r="BI289" s="124"/>
      <c r="BJ289" s="116"/>
      <c r="BK289" s="116"/>
      <c r="BL289" s="116"/>
      <c r="BM289" s="116"/>
      <c r="BN289" s="116"/>
      <c r="BO289" s="116"/>
      <c r="BP289" s="125"/>
      <c r="BQ289" s="116"/>
    </row>
    <row r="290">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c r="BC290" s="116"/>
      <c r="BD290" s="116"/>
      <c r="BE290" s="116"/>
      <c r="BF290" s="116"/>
      <c r="BG290" s="116"/>
      <c r="BH290" s="124"/>
      <c r="BI290" s="124"/>
      <c r="BJ290" s="116"/>
      <c r="BK290" s="116"/>
      <c r="BL290" s="116"/>
      <c r="BM290" s="116"/>
      <c r="BN290" s="116"/>
      <c r="BO290" s="116"/>
      <c r="BP290" s="125"/>
      <c r="BQ290" s="116"/>
    </row>
    <row r="29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c r="BC291" s="116"/>
      <c r="BD291" s="116"/>
      <c r="BE291" s="116"/>
      <c r="BF291" s="116"/>
      <c r="BG291" s="116"/>
      <c r="BH291" s="124"/>
      <c r="BI291" s="124"/>
      <c r="BJ291" s="116"/>
      <c r="BK291" s="116"/>
      <c r="BL291" s="116"/>
      <c r="BM291" s="116"/>
      <c r="BN291" s="116"/>
      <c r="BO291" s="116"/>
      <c r="BP291" s="125"/>
      <c r="BQ291" s="116"/>
    </row>
    <row r="292">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c r="BC292" s="116"/>
      <c r="BD292" s="116"/>
      <c r="BE292" s="116"/>
      <c r="BF292" s="116"/>
      <c r="BG292" s="116"/>
      <c r="BH292" s="124"/>
      <c r="BI292" s="124"/>
      <c r="BJ292" s="116"/>
      <c r="BK292" s="116"/>
      <c r="BL292" s="116"/>
      <c r="BM292" s="116"/>
      <c r="BN292" s="116"/>
      <c r="BO292" s="116"/>
      <c r="BP292" s="125"/>
      <c r="BQ292" s="116"/>
    </row>
    <row r="293">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c r="BC293" s="116"/>
      <c r="BD293" s="116"/>
      <c r="BE293" s="116"/>
      <c r="BF293" s="116"/>
      <c r="BG293" s="116"/>
      <c r="BH293" s="124"/>
      <c r="BI293" s="124"/>
      <c r="BJ293" s="116"/>
      <c r="BK293" s="116"/>
      <c r="BL293" s="116"/>
      <c r="BM293" s="116"/>
      <c r="BN293" s="116"/>
      <c r="BO293" s="116"/>
      <c r="BP293" s="125"/>
      <c r="BQ293" s="116"/>
    </row>
    <row r="294">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c r="BC294" s="116"/>
      <c r="BD294" s="116"/>
      <c r="BE294" s="116"/>
      <c r="BF294" s="116"/>
      <c r="BG294" s="116"/>
      <c r="BH294" s="124"/>
      <c r="BI294" s="124"/>
      <c r="BJ294" s="116"/>
      <c r="BK294" s="116"/>
      <c r="BL294" s="116"/>
      <c r="BM294" s="116"/>
      <c r="BN294" s="116"/>
      <c r="BO294" s="116"/>
      <c r="BP294" s="125"/>
      <c r="BQ294" s="116"/>
    </row>
    <row r="295">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c r="BC295" s="116"/>
      <c r="BD295" s="116"/>
      <c r="BE295" s="116"/>
      <c r="BF295" s="116"/>
      <c r="BG295" s="116"/>
      <c r="BH295" s="124"/>
      <c r="BI295" s="124"/>
      <c r="BJ295" s="116"/>
      <c r="BK295" s="116"/>
      <c r="BL295" s="116"/>
      <c r="BM295" s="116"/>
      <c r="BN295" s="116"/>
      <c r="BO295" s="116"/>
      <c r="BP295" s="125"/>
      <c r="BQ295" s="116"/>
    </row>
    <row r="296">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c r="BC296" s="116"/>
      <c r="BD296" s="116"/>
      <c r="BE296" s="116"/>
      <c r="BF296" s="116"/>
      <c r="BG296" s="116"/>
      <c r="BH296" s="124"/>
      <c r="BI296" s="124"/>
      <c r="BJ296" s="116"/>
      <c r="BK296" s="116"/>
      <c r="BL296" s="116"/>
      <c r="BM296" s="116"/>
      <c r="BN296" s="116"/>
      <c r="BO296" s="116"/>
      <c r="BP296" s="125"/>
      <c r="BQ296" s="116"/>
    </row>
    <row r="297">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c r="BC297" s="116"/>
      <c r="BD297" s="116"/>
      <c r="BE297" s="116"/>
      <c r="BF297" s="116"/>
      <c r="BG297" s="116"/>
      <c r="BH297" s="124"/>
      <c r="BI297" s="124"/>
      <c r="BJ297" s="116"/>
      <c r="BK297" s="116"/>
      <c r="BL297" s="116"/>
      <c r="BM297" s="116"/>
      <c r="BN297" s="116"/>
      <c r="BO297" s="116"/>
      <c r="BP297" s="125"/>
      <c r="BQ297" s="116"/>
    </row>
    <row r="298">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c r="BC298" s="116"/>
      <c r="BD298" s="116"/>
      <c r="BE298" s="116"/>
      <c r="BF298" s="116"/>
      <c r="BG298" s="116"/>
      <c r="BH298" s="124"/>
      <c r="BI298" s="124"/>
      <c r="BJ298" s="116"/>
      <c r="BK298" s="116"/>
      <c r="BL298" s="116"/>
      <c r="BM298" s="116"/>
      <c r="BN298" s="116"/>
      <c r="BO298" s="116"/>
      <c r="BP298" s="125"/>
      <c r="BQ298" s="116"/>
    </row>
    <row r="299">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c r="BC299" s="116"/>
      <c r="BD299" s="116"/>
      <c r="BE299" s="116"/>
      <c r="BF299" s="116"/>
      <c r="BG299" s="116"/>
      <c r="BH299" s="124"/>
      <c r="BI299" s="124"/>
      <c r="BJ299" s="116"/>
      <c r="BK299" s="116"/>
      <c r="BL299" s="116"/>
      <c r="BM299" s="116"/>
      <c r="BN299" s="116"/>
      <c r="BO299" s="116"/>
      <c r="BP299" s="125"/>
      <c r="BQ299" s="116"/>
    </row>
    <row r="300">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c r="BC300" s="116"/>
      <c r="BD300" s="116"/>
      <c r="BE300" s="116"/>
      <c r="BF300" s="116"/>
      <c r="BG300" s="116"/>
      <c r="BH300" s="124"/>
      <c r="BI300" s="124"/>
      <c r="BJ300" s="116"/>
      <c r="BK300" s="116"/>
      <c r="BL300" s="116"/>
      <c r="BM300" s="116"/>
      <c r="BN300" s="116"/>
      <c r="BO300" s="116"/>
      <c r="BP300" s="125"/>
      <c r="BQ300" s="116"/>
    </row>
    <row r="30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c r="BC301" s="116"/>
      <c r="BD301" s="116"/>
      <c r="BE301" s="116"/>
      <c r="BF301" s="116"/>
      <c r="BG301" s="116"/>
      <c r="BH301" s="124"/>
      <c r="BI301" s="124"/>
      <c r="BJ301" s="116"/>
      <c r="BK301" s="116"/>
      <c r="BL301" s="116"/>
      <c r="BM301" s="116"/>
      <c r="BN301" s="116"/>
      <c r="BO301" s="116"/>
      <c r="BP301" s="125"/>
      <c r="BQ301" s="116"/>
    </row>
    <row r="302">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c r="BC302" s="116"/>
      <c r="BD302" s="116"/>
      <c r="BE302" s="116"/>
      <c r="BF302" s="116"/>
      <c r="BG302" s="116"/>
      <c r="BH302" s="124"/>
      <c r="BI302" s="124"/>
      <c r="BJ302" s="116"/>
      <c r="BK302" s="116"/>
      <c r="BL302" s="116"/>
      <c r="BM302" s="116"/>
      <c r="BN302" s="116"/>
      <c r="BO302" s="116"/>
      <c r="BP302" s="125"/>
      <c r="BQ302" s="116"/>
    </row>
    <row r="303">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c r="BC303" s="116"/>
      <c r="BD303" s="116"/>
      <c r="BE303" s="116"/>
      <c r="BF303" s="116"/>
      <c r="BG303" s="116"/>
      <c r="BH303" s="124"/>
      <c r="BI303" s="124"/>
      <c r="BJ303" s="116"/>
      <c r="BK303" s="116"/>
      <c r="BL303" s="116"/>
      <c r="BM303" s="116"/>
      <c r="BN303" s="116"/>
      <c r="BO303" s="116"/>
      <c r="BP303" s="125"/>
      <c r="BQ303" s="116"/>
    </row>
    <row r="304">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c r="BC304" s="116"/>
      <c r="BD304" s="116"/>
      <c r="BE304" s="116"/>
      <c r="BF304" s="116"/>
      <c r="BG304" s="116"/>
      <c r="BH304" s="124"/>
      <c r="BI304" s="124"/>
      <c r="BJ304" s="116"/>
      <c r="BK304" s="116"/>
      <c r="BL304" s="116"/>
      <c r="BM304" s="116"/>
      <c r="BN304" s="116"/>
      <c r="BO304" s="116"/>
      <c r="BP304" s="125"/>
      <c r="BQ304" s="116"/>
    </row>
    <row r="305">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c r="BC305" s="116"/>
      <c r="BD305" s="116"/>
      <c r="BE305" s="116"/>
      <c r="BF305" s="116"/>
      <c r="BG305" s="116"/>
      <c r="BH305" s="124"/>
      <c r="BI305" s="124"/>
      <c r="BJ305" s="116"/>
      <c r="BK305" s="116"/>
      <c r="BL305" s="116"/>
      <c r="BM305" s="116"/>
      <c r="BN305" s="116"/>
      <c r="BO305" s="116"/>
      <c r="BP305" s="125"/>
      <c r="BQ305" s="116"/>
    </row>
    <row r="306">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c r="BC306" s="116"/>
      <c r="BD306" s="116"/>
      <c r="BE306" s="116"/>
      <c r="BF306" s="116"/>
      <c r="BG306" s="116"/>
      <c r="BH306" s="124"/>
      <c r="BI306" s="124"/>
      <c r="BJ306" s="116"/>
      <c r="BK306" s="116"/>
      <c r="BL306" s="116"/>
      <c r="BM306" s="116"/>
      <c r="BN306" s="116"/>
      <c r="BO306" s="116"/>
      <c r="BP306" s="125"/>
      <c r="BQ306" s="116"/>
    </row>
    <row r="307">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c r="BC307" s="116"/>
      <c r="BD307" s="116"/>
      <c r="BE307" s="116"/>
      <c r="BF307" s="116"/>
      <c r="BG307" s="116"/>
      <c r="BH307" s="124"/>
      <c r="BI307" s="124"/>
      <c r="BJ307" s="116"/>
      <c r="BK307" s="116"/>
      <c r="BL307" s="116"/>
      <c r="BM307" s="116"/>
      <c r="BN307" s="116"/>
      <c r="BO307" s="116"/>
      <c r="BP307" s="125"/>
      <c r="BQ307" s="116"/>
    </row>
    <row r="308">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c r="BC308" s="116"/>
      <c r="BD308" s="116"/>
      <c r="BE308" s="116"/>
      <c r="BF308" s="116"/>
      <c r="BG308" s="116"/>
      <c r="BH308" s="124"/>
      <c r="BI308" s="124"/>
      <c r="BJ308" s="116"/>
      <c r="BK308" s="116"/>
      <c r="BL308" s="116"/>
      <c r="BM308" s="116"/>
      <c r="BN308" s="116"/>
      <c r="BO308" s="116"/>
      <c r="BP308" s="125"/>
      <c r="BQ308" s="116"/>
    </row>
    <row r="309">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c r="BC309" s="116"/>
      <c r="BD309" s="116"/>
      <c r="BE309" s="116"/>
      <c r="BF309" s="116"/>
      <c r="BG309" s="116"/>
      <c r="BH309" s="124"/>
      <c r="BI309" s="124"/>
      <c r="BJ309" s="116"/>
      <c r="BK309" s="116"/>
      <c r="BL309" s="116"/>
      <c r="BM309" s="116"/>
      <c r="BN309" s="116"/>
      <c r="BO309" s="116"/>
      <c r="BP309" s="125"/>
      <c r="BQ309" s="116"/>
    </row>
    <row r="310">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c r="BC310" s="116"/>
      <c r="BD310" s="116"/>
      <c r="BE310" s="116"/>
      <c r="BF310" s="116"/>
      <c r="BG310" s="116"/>
      <c r="BH310" s="124"/>
      <c r="BI310" s="124"/>
      <c r="BJ310" s="116"/>
      <c r="BK310" s="116"/>
      <c r="BL310" s="116"/>
      <c r="BM310" s="116"/>
      <c r="BN310" s="116"/>
      <c r="BO310" s="116"/>
      <c r="BP310" s="125"/>
      <c r="BQ310" s="116"/>
    </row>
    <row r="31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c r="BC311" s="116"/>
      <c r="BD311" s="116"/>
      <c r="BE311" s="116"/>
      <c r="BF311" s="116"/>
      <c r="BG311" s="116"/>
      <c r="BH311" s="124"/>
      <c r="BI311" s="124"/>
      <c r="BJ311" s="116"/>
      <c r="BK311" s="116"/>
      <c r="BL311" s="116"/>
      <c r="BM311" s="116"/>
      <c r="BN311" s="116"/>
      <c r="BO311" s="116"/>
      <c r="BP311" s="125"/>
      <c r="BQ311" s="116"/>
    </row>
    <row r="312">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c r="BC312" s="116"/>
      <c r="BD312" s="116"/>
      <c r="BE312" s="116"/>
      <c r="BF312" s="116"/>
      <c r="BG312" s="116"/>
      <c r="BH312" s="124"/>
      <c r="BI312" s="124"/>
      <c r="BJ312" s="116"/>
      <c r="BK312" s="116"/>
      <c r="BL312" s="116"/>
      <c r="BM312" s="116"/>
      <c r="BN312" s="116"/>
      <c r="BO312" s="116"/>
      <c r="BP312" s="125"/>
      <c r="BQ312" s="116"/>
    </row>
    <row r="313">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c r="BC313" s="116"/>
      <c r="BD313" s="116"/>
      <c r="BE313" s="116"/>
      <c r="BF313" s="116"/>
      <c r="BG313" s="116"/>
      <c r="BH313" s="124"/>
      <c r="BI313" s="124"/>
      <c r="BJ313" s="116"/>
      <c r="BK313" s="116"/>
      <c r="BL313" s="116"/>
      <c r="BM313" s="116"/>
      <c r="BN313" s="116"/>
      <c r="BO313" s="116"/>
      <c r="BP313" s="125"/>
      <c r="BQ313" s="116"/>
    </row>
    <row r="314">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c r="BC314" s="116"/>
      <c r="BD314" s="116"/>
      <c r="BE314" s="116"/>
      <c r="BF314" s="116"/>
      <c r="BG314" s="116"/>
      <c r="BH314" s="124"/>
      <c r="BI314" s="124"/>
      <c r="BJ314" s="116"/>
      <c r="BK314" s="116"/>
      <c r="BL314" s="116"/>
      <c r="BM314" s="116"/>
      <c r="BN314" s="116"/>
      <c r="BO314" s="116"/>
      <c r="BP314" s="125"/>
      <c r="BQ314" s="116"/>
    </row>
    <row r="315">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c r="BC315" s="116"/>
      <c r="BD315" s="116"/>
      <c r="BE315" s="116"/>
      <c r="BF315" s="116"/>
      <c r="BG315" s="116"/>
      <c r="BH315" s="124"/>
      <c r="BI315" s="124"/>
      <c r="BJ315" s="116"/>
      <c r="BK315" s="116"/>
      <c r="BL315" s="116"/>
      <c r="BM315" s="116"/>
      <c r="BN315" s="116"/>
      <c r="BO315" s="116"/>
      <c r="BP315" s="125"/>
      <c r="BQ315" s="116"/>
    </row>
    <row r="316">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c r="BC316" s="116"/>
      <c r="BD316" s="116"/>
      <c r="BE316" s="116"/>
      <c r="BF316" s="116"/>
      <c r="BG316" s="116"/>
      <c r="BH316" s="124"/>
      <c r="BI316" s="124"/>
      <c r="BJ316" s="116"/>
      <c r="BK316" s="116"/>
      <c r="BL316" s="116"/>
      <c r="BM316" s="116"/>
      <c r="BN316" s="116"/>
      <c r="BO316" s="116"/>
      <c r="BP316" s="125"/>
      <c r="BQ316" s="116"/>
    </row>
    <row r="317">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c r="BC317" s="116"/>
      <c r="BD317" s="116"/>
      <c r="BE317" s="116"/>
      <c r="BF317" s="116"/>
      <c r="BG317" s="116"/>
      <c r="BH317" s="124"/>
      <c r="BI317" s="124"/>
      <c r="BJ317" s="116"/>
      <c r="BK317" s="116"/>
      <c r="BL317" s="116"/>
      <c r="BM317" s="116"/>
      <c r="BN317" s="116"/>
      <c r="BO317" s="116"/>
      <c r="BP317" s="125"/>
      <c r="BQ317" s="116"/>
    </row>
    <row r="318">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c r="BC318" s="116"/>
      <c r="BD318" s="116"/>
      <c r="BE318" s="116"/>
      <c r="BF318" s="116"/>
      <c r="BG318" s="116"/>
      <c r="BH318" s="124"/>
      <c r="BI318" s="124"/>
      <c r="BJ318" s="116"/>
      <c r="BK318" s="116"/>
      <c r="BL318" s="116"/>
      <c r="BM318" s="116"/>
      <c r="BN318" s="116"/>
      <c r="BO318" s="116"/>
      <c r="BP318" s="125"/>
      <c r="BQ318" s="116"/>
    </row>
    <row r="319">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c r="BC319" s="116"/>
      <c r="BD319" s="116"/>
      <c r="BE319" s="116"/>
      <c r="BF319" s="116"/>
      <c r="BG319" s="116"/>
      <c r="BH319" s="124"/>
      <c r="BI319" s="124"/>
      <c r="BJ319" s="116"/>
      <c r="BK319" s="116"/>
      <c r="BL319" s="116"/>
      <c r="BM319" s="116"/>
      <c r="BN319" s="116"/>
      <c r="BO319" s="116"/>
      <c r="BP319" s="125"/>
      <c r="BQ319" s="116"/>
    </row>
    <row r="320">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c r="BC320" s="116"/>
      <c r="BD320" s="116"/>
      <c r="BE320" s="116"/>
      <c r="BF320" s="116"/>
      <c r="BG320" s="116"/>
      <c r="BH320" s="124"/>
      <c r="BI320" s="124"/>
      <c r="BJ320" s="116"/>
      <c r="BK320" s="116"/>
      <c r="BL320" s="116"/>
      <c r="BM320" s="116"/>
      <c r="BN320" s="116"/>
      <c r="BO320" s="116"/>
      <c r="BP320" s="125"/>
      <c r="BQ320" s="116"/>
    </row>
    <row r="32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c r="BC321" s="116"/>
      <c r="BD321" s="116"/>
      <c r="BE321" s="116"/>
      <c r="BF321" s="116"/>
      <c r="BG321" s="116"/>
      <c r="BH321" s="124"/>
      <c r="BI321" s="124"/>
      <c r="BJ321" s="116"/>
      <c r="BK321" s="116"/>
      <c r="BL321" s="116"/>
      <c r="BM321" s="116"/>
      <c r="BN321" s="116"/>
      <c r="BO321" s="116"/>
      <c r="BP321" s="125"/>
      <c r="BQ321" s="116"/>
    </row>
    <row r="322">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c r="BC322" s="116"/>
      <c r="BD322" s="116"/>
      <c r="BE322" s="116"/>
      <c r="BF322" s="116"/>
      <c r="BG322" s="116"/>
      <c r="BH322" s="124"/>
      <c r="BI322" s="124"/>
      <c r="BJ322" s="116"/>
      <c r="BK322" s="116"/>
      <c r="BL322" s="116"/>
      <c r="BM322" s="116"/>
      <c r="BN322" s="116"/>
      <c r="BO322" s="116"/>
      <c r="BP322" s="125"/>
      <c r="BQ322" s="116"/>
    </row>
    <row r="323">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c r="BC323" s="116"/>
      <c r="BD323" s="116"/>
      <c r="BE323" s="116"/>
      <c r="BF323" s="116"/>
      <c r="BG323" s="116"/>
      <c r="BH323" s="124"/>
      <c r="BI323" s="124"/>
      <c r="BJ323" s="116"/>
      <c r="BK323" s="116"/>
      <c r="BL323" s="116"/>
      <c r="BM323" s="116"/>
      <c r="BN323" s="116"/>
      <c r="BO323" s="116"/>
      <c r="BP323" s="125"/>
      <c r="BQ323" s="116"/>
    </row>
    <row r="324">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c r="BC324" s="116"/>
      <c r="BD324" s="116"/>
      <c r="BE324" s="116"/>
      <c r="BF324" s="116"/>
      <c r="BG324" s="116"/>
      <c r="BH324" s="124"/>
      <c r="BI324" s="124"/>
      <c r="BJ324" s="116"/>
      <c r="BK324" s="116"/>
      <c r="BL324" s="116"/>
      <c r="BM324" s="116"/>
      <c r="BN324" s="116"/>
      <c r="BO324" s="116"/>
      <c r="BP324" s="125"/>
      <c r="BQ324" s="116"/>
    </row>
    <row r="325">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c r="BC325" s="116"/>
      <c r="BD325" s="116"/>
      <c r="BE325" s="116"/>
      <c r="BF325" s="116"/>
      <c r="BG325" s="116"/>
      <c r="BH325" s="124"/>
      <c r="BI325" s="124"/>
      <c r="BJ325" s="116"/>
      <c r="BK325" s="116"/>
      <c r="BL325" s="116"/>
      <c r="BM325" s="116"/>
      <c r="BN325" s="116"/>
      <c r="BO325" s="116"/>
      <c r="BP325" s="125"/>
      <c r="BQ325" s="116"/>
    </row>
    <row r="326">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c r="BC326" s="116"/>
      <c r="BD326" s="116"/>
      <c r="BE326" s="116"/>
      <c r="BF326" s="116"/>
      <c r="BG326" s="116"/>
      <c r="BH326" s="124"/>
      <c r="BI326" s="124"/>
      <c r="BJ326" s="116"/>
      <c r="BK326" s="116"/>
      <c r="BL326" s="116"/>
      <c r="BM326" s="116"/>
      <c r="BN326" s="116"/>
      <c r="BO326" s="116"/>
      <c r="BP326" s="125"/>
      <c r="BQ326" s="116"/>
    </row>
    <row r="327">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c r="BC327" s="116"/>
      <c r="BD327" s="116"/>
      <c r="BE327" s="116"/>
      <c r="BF327" s="116"/>
      <c r="BG327" s="116"/>
      <c r="BH327" s="124"/>
      <c r="BI327" s="124"/>
      <c r="BJ327" s="116"/>
      <c r="BK327" s="116"/>
      <c r="BL327" s="116"/>
      <c r="BM327" s="116"/>
      <c r="BN327" s="116"/>
      <c r="BO327" s="116"/>
      <c r="BP327" s="125"/>
      <c r="BQ327" s="116"/>
    </row>
    <row r="328">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c r="BC328" s="116"/>
      <c r="BD328" s="116"/>
      <c r="BE328" s="116"/>
      <c r="BF328" s="116"/>
      <c r="BG328" s="116"/>
      <c r="BH328" s="124"/>
      <c r="BI328" s="124"/>
      <c r="BJ328" s="116"/>
      <c r="BK328" s="116"/>
      <c r="BL328" s="116"/>
      <c r="BM328" s="116"/>
      <c r="BN328" s="116"/>
      <c r="BO328" s="116"/>
      <c r="BP328" s="125"/>
      <c r="BQ328" s="116"/>
    </row>
    <row r="329">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c r="BC329" s="116"/>
      <c r="BD329" s="116"/>
      <c r="BE329" s="116"/>
      <c r="BF329" s="116"/>
      <c r="BG329" s="116"/>
      <c r="BH329" s="124"/>
      <c r="BI329" s="124"/>
      <c r="BJ329" s="116"/>
      <c r="BK329" s="116"/>
      <c r="BL329" s="116"/>
      <c r="BM329" s="116"/>
      <c r="BN329" s="116"/>
      <c r="BO329" s="116"/>
      <c r="BP329" s="125"/>
      <c r="BQ329" s="116"/>
    </row>
    <row r="330">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c r="BC330" s="116"/>
      <c r="BD330" s="116"/>
      <c r="BE330" s="116"/>
      <c r="BF330" s="116"/>
      <c r="BG330" s="116"/>
      <c r="BH330" s="124"/>
      <c r="BI330" s="124"/>
      <c r="BJ330" s="116"/>
      <c r="BK330" s="116"/>
      <c r="BL330" s="116"/>
      <c r="BM330" s="116"/>
      <c r="BN330" s="116"/>
      <c r="BO330" s="116"/>
      <c r="BP330" s="125"/>
      <c r="BQ330" s="116"/>
    </row>
    <row r="33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c r="BC331" s="116"/>
      <c r="BD331" s="116"/>
      <c r="BE331" s="116"/>
      <c r="BF331" s="116"/>
      <c r="BG331" s="116"/>
      <c r="BH331" s="124"/>
      <c r="BI331" s="124"/>
      <c r="BJ331" s="116"/>
      <c r="BK331" s="116"/>
      <c r="BL331" s="116"/>
      <c r="BM331" s="116"/>
      <c r="BN331" s="116"/>
      <c r="BO331" s="116"/>
      <c r="BP331" s="125"/>
      <c r="BQ331" s="116"/>
    </row>
    <row r="332">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c r="BC332" s="116"/>
      <c r="BD332" s="116"/>
      <c r="BE332" s="116"/>
      <c r="BF332" s="116"/>
      <c r="BG332" s="116"/>
      <c r="BH332" s="124"/>
      <c r="BI332" s="124"/>
      <c r="BJ332" s="116"/>
      <c r="BK332" s="116"/>
      <c r="BL332" s="116"/>
      <c r="BM332" s="116"/>
      <c r="BN332" s="116"/>
      <c r="BO332" s="116"/>
      <c r="BP332" s="125"/>
      <c r="BQ332" s="116"/>
    </row>
    <row r="333">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c r="BC333" s="116"/>
      <c r="BD333" s="116"/>
      <c r="BE333" s="116"/>
      <c r="BF333" s="116"/>
      <c r="BG333" s="116"/>
      <c r="BH333" s="124"/>
      <c r="BI333" s="124"/>
      <c r="BJ333" s="116"/>
      <c r="BK333" s="116"/>
      <c r="BL333" s="116"/>
      <c r="BM333" s="116"/>
      <c r="BN333" s="116"/>
      <c r="BO333" s="116"/>
      <c r="BP333" s="125"/>
      <c r="BQ333" s="116"/>
    </row>
    <row r="334">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c r="BC334" s="116"/>
      <c r="BD334" s="116"/>
      <c r="BE334" s="116"/>
      <c r="BF334" s="116"/>
      <c r="BG334" s="116"/>
      <c r="BH334" s="124"/>
      <c r="BI334" s="124"/>
      <c r="BJ334" s="116"/>
      <c r="BK334" s="116"/>
      <c r="BL334" s="116"/>
      <c r="BM334" s="116"/>
      <c r="BN334" s="116"/>
      <c r="BO334" s="116"/>
      <c r="BP334" s="125"/>
      <c r="BQ334" s="116"/>
    </row>
    <row r="335">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c r="BC335" s="116"/>
      <c r="BD335" s="116"/>
      <c r="BE335" s="116"/>
      <c r="BF335" s="116"/>
      <c r="BG335" s="116"/>
      <c r="BH335" s="124"/>
      <c r="BI335" s="124"/>
      <c r="BJ335" s="116"/>
      <c r="BK335" s="116"/>
      <c r="BL335" s="116"/>
      <c r="BM335" s="116"/>
      <c r="BN335" s="116"/>
      <c r="BO335" s="116"/>
      <c r="BP335" s="125"/>
      <c r="BQ335" s="116"/>
    </row>
    <row r="336">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c r="BC336" s="116"/>
      <c r="BD336" s="116"/>
      <c r="BE336" s="116"/>
      <c r="BF336" s="116"/>
      <c r="BG336" s="116"/>
      <c r="BH336" s="124"/>
      <c r="BI336" s="124"/>
      <c r="BJ336" s="116"/>
      <c r="BK336" s="116"/>
      <c r="BL336" s="116"/>
      <c r="BM336" s="116"/>
      <c r="BN336" s="116"/>
      <c r="BO336" s="116"/>
      <c r="BP336" s="125"/>
      <c r="BQ336" s="116"/>
    </row>
    <row r="337">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c r="BC337" s="116"/>
      <c r="BD337" s="116"/>
      <c r="BE337" s="116"/>
      <c r="BF337" s="116"/>
      <c r="BG337" s="116"/>
      <c r="BH337" s="124"/>
      <c r="BI337" s="124"/>
      <c r="BJ337" s="116"/>
      <c r="BK337" s="116"/>
      <c r="BL337" s="116"/>
      <c r="BM337" s="116"/>
      <c r="BN337" s="116"/>
      <c r="BO337" s="116"/>
      <c r="BP337" s="125"/>
      <c r="BQ337" s="116"/>
    </row>
    <row r="338">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c r="BC338" s="116"/>
      <c r="BD338" s="116"/>
      <c r="BE338" s="116"/>
      <c r="BF338" s="116"/>
      <c r="BG338" s="116"/>
      <c r="BH338" s="124"/>
      <c r="BI338" s="124"/>
      <c r="BJ338" s="116"/>
      <c r="BK338" s="116"/>
      <c r="BL338" s="116"/>
      <c r="BM338" s="116"/>
      <c r="BN338" s="116"/>
      <c r="BO338" s="116"/>
      <c r="BP338" s="125"/>
      <c r="BQ338" s="116"/>
    </row>
    <row r="339">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c r="BC339" s="116"/>
      <c r="BD339" s="116"/>
      <c r="BE339" s="116"/>
      <c r="BF339" s="116"/>
      <c r="BG339" s="116"/>
      <c r="BH339" s="124"/>
      <c r="BI339" s="124"/>
      <c r="BJ339" s="116"/>
      <c r="BK339" s="116"/>
      <c r="BL339" s="116"/>
      <c r="BM339" s="116"/>
      <c r="BN339" s="116"/>
      <c r="BO339" s="116"/>
      <c r="BP339" s="125"/>
      <c r="BQ339" s="116"/>
    </row>
    <row r="340">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c r="BC340" s="116"/>
      <c r="BD340" s="116"/>
      <c r="BE340" s="116"/>
      <c r="BF340" s="116"/>
      <c r="BG340" s="116"/>
      <c r="BH340" s="124"/>
      <c r="BI340" s="124"/>
      <c r="BJ340" s="116"/>
      <c r="BK340" s="116"/>
      <c r="BL340" s="116"/>
      <c r="BM340" s="116"/>
      <c r="BN340" s="116"/>
      <c r="BO340" s="116"/>
      <c r="BP340" s="125"/>
      <c r="BQ340" s="116"/>
    </row>
    <row r="34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c r="AX341" s="116"/>
      <c r="AY341" s="116"/>
      <c r="AZ341" s="116"/>
      <c r="BA341" s="116"/>
      <c r="BB341" s="116"/>
      <c r="BC341" s="116"/>
      <c r="BD341" s="116"/>
      <c r="BE341" s="116"/>
      <c r="BF341" s="116"/>
      <c r="BG341" s="116"/>
      <c r="BH341" s="124"/>
      <c r="BI341" s="124"/>
      <c r="BJ341" s="116"/>
      <c r="BK341" s="116"/>
      <c r="BL341" s="116"/>
      <c r="BM341" s="116"/>
      <c r="BN341" s="116"/>
      <c r="BO341" s="116"/>
      <c r="BP341" s="125"/>
      <c r="BQ341" s="116"/>
    </row>
    <row r="342">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c r="AX342" s="116"/>
      <c r="AY342" s="116"/>
      <c r="AZ342" s="116"/>
      <c r="BA342" s="116"/>
      <c r="BB342" s="116"/>
      <c r="BC342" s="116"/>
      <c r="BD342" s="116"/>
      <c r="BE342" s="116"/>
      <c r="BF342" s="116"/>
      <c r="BG342" s="116"/>
      <c r="BH342" s="124"/>
      <c r="BI342" s="124"/>
      <c r="BJ342" s="116"/>
      <c r="BK342" s="116"/>
      <c r="BL342" s="116"/>
      <c r="BM342" s="116"/>
      <c r="BN342" s="116"/>
      <c r="BO342" s="116"/>
      <c r="BP342" s="125"/>
      <c r="BQ342" s="116"/>
    </row>
    <row r="343">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c r="AX343" s="116"/>
      <c r="AY343" s="116"/>
      <c r="AZ343" s="116"/>
      <c r="BA343" s="116"/>
      <c r="BB343" s="116"/>
      <c r="BC343" s="116"/>
      <c r="BD343" s="116"/>
      <c r="BE343" s="116"/>
      <c r="BF343" s="116"/>
      <c r="BG343" s="116"/>
      <c r="BH343" s="124"/>
      <c r="BI343" s="124"/>
      <c r="BJ343" s="116"/>
      <c r="BK343" s="116"/>
      <c r="BL343" s="116"/>
      <c r="BM343" s="116"/>
      <c r="BN343" s="116"/>
      <c r="BO343" s="116"/>
      <c r="BP343" s="125"/>
      <c r="BQ343" s="116"/>
    </row>
    <row r="344">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c r="AX344" s="116"/>
      <c r="AY344" s="116"/>
      <c r="AZ344" s="116"/>
      <c r="BA344" s="116"/>
      <c r="BB344" s="116"/>
      <c r="BC344" s="116"/>
      <c r="BD344" s="116"/>
      <c r="BE344" s="116"/>
      <c r="BF344" s="116"/>
      <c r="BG344" s="116"/>
      <c r="BH344" s="124"/>
      <c r="BI344" s="124"/>
      <c r="BJ344" s="116"/>
      <c r="BK344" s="116"/>
      <c r="BL344" s="116"/>
      <c r="BM344" s="116"/>
      <c r="BN344" s="116"/>
      <c r="BO344" s="116"/>
      <c r="BP344" s="125"/>
      <c r="BQ344" s="116"/>
    </row>
    <row r="345">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c r="AX345" s="116"/>
      <c r="AY345" s="116"/>
      <c r="AZ345" s="116"/>
      <c r="BA345" s="116"/>
      <c r="BB345" s="116"/>
      <c r="BC345" s="116"/>
      <c r="BD345" s="116"/>
      <c r="BE345" s="116"/>
      <c r="BF345" s="116"/>
      <c r="BG345" s="116"/>
      <c r="BH345" s="124"/>
      <c r="BI345" s="124"/>
      <c r="BJ345" s="116"/>
      <c r="BK345" s="116"/>
      <c r="BL345" s="116"/>
      <c r="BM345" s="116"/>
      <c r="BN345" s="116"/>
      <c r="BO345" s="116"/>
      <c r="BP345" s="125"/>
      <c r="BQ345" s="116"/>
    </row>
    <row r="346">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c r="AT346" s="116"/>
      <c r="AU346" s="116"/>
      <c r="AV346" s="116"/>
      <c r="AW346" s="116"/>
      <c r="AX346" s="116"/>
      <c r="AY346" s="116"/>
      <c r="AZ346" s="116"/>
      <c r="BA346" s="116"/>
      <c r="BB346" s="116"/>
      <c r="BC346" s="116"/>
      <c r="BD346" s="116"/>
      <c r="BE346" s="116"/>
      <c r="BF346" s="116"/>
      <c r="BG346" s="116"/>
      <c r="BH346" s="124"/>
      <c r="BI346" s="124"/>
      <c r="BJ346" s="116"/>
      <c r="BK346" s="116"/>
      <c r="BL346" s="116"/>
      <c r="BM346" s="116"/>
      <c r="BN346" s="116"/>
      <c r="BO346" s="116"/>
      <c r="BP346" s="125"/>
      <c r="BQ346" s="116"/>
    </row>
    <row r="347">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c r="AT347" s="116"/>
      <c r="AU347" s="116"/>
      <c r="AV347" s="116"/>
      <c r="AW347" s="116"/>
      <c r="AX347" s="116"/>
      <c r="AY347" s="116"/>
      <c r="AZ347" s="116"/>
      <c r="BA347" s="116"/>
      <c r="BB347" s="116"/>
      <c r="BC347" s="116"/>
      <c r="BD347" s="116"/>
      <c r="BE347" s="116"/>
      <c r="BF347" s="116"/>
      <c r="BG347" s="116"/>
      <c r="BH347" s="124"/>
      <c r="BI347" s="124"/>
      <c r="BJ347" s="116"/>
      <c r="BK347" s="116"/>
      <c r="BL347" s="116"/>
      <c r="BM347" s="116"/>
      <c r="BN347" s="116"/>
      <c r="BO347" s="116"/>
      <c r="BP347" s="125"/>
      <c r="BQ347" s="116"/>
    </row>
    <row r="348">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16"/>
      <c r="AV348" s="116"/>
      <c r="AW348" s="116"/>
      <c r="AX348" s="116"/>
      <c r="AY348" s="116"/>
      <c r="AZ348" s="116"/>
      <c r="BA348" s="116"/>
      <c r="BB348" s="116"/>
      <c r="BC348" s="116"/>
      <c r="BD348" s="116"/>
      <c r="BE348" s="116"/>
      <c r="BF348" s="116"/>
      <c r="BG348" s="116"/>
      <c r="BH348" s="124"/>
      <c r="BI348" s="124"/>
      <c r="BJ348" s="116"/>
      <c r="BK348" s="116"/>
      <c r="BL348" s="116"/>
      <c r="BM348" s="116"/>
      <c r="BN348" s="116"/>
      <c r="BO348" s="116"/>
      <c r="BP348" s="125"/>
      <c r="BQ348" s="116"/>
    </row>
    <row r="349">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c r="AT349" s="116"/>
      <c r="AU349" s="116"/>
      <c r="AV349" s="116"/>
      <c r="AW349" s="116"/>
      <c r="AX349" s="116"/>
      <c r="AY349" s="116"/>
      <c r="AZ349" s="116"/>
      <c r="BA349" s="116"/>
      <c r="BB349" s="116"/>
      <c r="BC349" s="116"/>
      <c r="BD349" s="116"/>
      <c r="BE349" s="116"/>
      <c r="BF349" s="116"/>
      <c r="BG349" s="116"/>
      <c r="BH349" s="124"/>
      <c r="BI349" s="124"/>
      <c r="BJ349" s="116"/>
      <c r="BK349" s="116"/>
      <c r="BL349" s="116"/>
      <c r="BM349" s="116"/>
      <c r="BN349" s="116"/>
      <c r="BO349" s="116"/>
      <c r="BP349" s="125"/>
      <c r="BQ349" s="116"/>
    </row>
    <row r="350">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c r="AT350" s="116"/>
      <c r="AU350" s="116"/>
      <c r="AV350" s="116"/>
      <c r="AW350" s="116"/>
      <c r="AX350" s="116"/>
      <c r="AY350" s="116"/>
      <c r="AZ350" s="116"/>
      <c r="BA350" s="116"/>
      <c r="BB350" s="116"/>
      <c r="BC350" s="116"/>
      <c r="BD350" s="116"/>
      <c r="BE350" s="116"/>
      <c r="BF350" s="116"/>
      <c r="BG350" s="116"/>
      <c r="BH350" s="124"/>
      <c r="BI350" s="124"/>
      <c r="BJ350" s="116"/>
      <c r="BK350" s="116"/>
      <c r="BL350" s="116"/>
      <c r="BM350" s="116"/>
      <c r="BN350" s="116"/>
      <c r="BO350" s="116"/>
      <c r="BP350" s="125"/>
      <c r="BQ350" s="116"/>
    </row>
    <row r="35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c r="AT351" s="116"/>
      <c r="AU351" s="116"/>
      <c r="AV351" s="116"/>
      <c r="AW351" s="116"/>
      <c r="AX351" s="116"/>
      <c r="AY351" s="116"/>
      <c r="AZ351" s="116"/>
      <c r="BA351" s="116"/>
      <c r="BB351" s="116"/>
      <c r="BC351" s="116"/>
      <c r="BD351" s="116"/>
      <c r="BE351" s="116"/>
      <c r="BF351" s="116"/>
      <c r="BG351" s="116"/>
      <c r="BH351" s="124"/>
      <c r="BI351" s="124"/>
      <c r="BJ351" s="116"/>
      <c r="BK351" s="116"/>
      <c r="BL351" s="116"/>
      <c r="BM351" s="116"/>
      <c r="BN351" s="116"/>
      <c r="BO351" s="116"/>
      <c r="BP351" s="125"/>
      <c r="BQ351" s="116"/>
    </row>
    <row r="352">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c r="AT352" s="116"/>
      <c r="AU352" s="116"/>
      <c r="AV352" s="116"/>
      <c r="AW352" s="116"/>
      <c r="AX352" s="116"/>
      <c r="AY352" s="116"/>
      <c r="AZ352" s="116"/>
      <c r="BA352" s="116"/>
      <c r="BB352" s="116"/>
      <c r="BC352" s="116"/>
      <c r="BD352" s="116"/>
      <c r="BE352" s="116"/>
      <c r="BF352" s="116"/>
      <c r="BG352" s="116"/>
      <c r="BH352" s="124"/>
      <c r="BI352" s="124"/>
      <c r="BJ352" s="116"/>
      <c r="BK352" s="116"/>
      <c r="BL352" s="116"/>
      <c r="BM352" s="116"/>
      <c r="BN352" s="116"/>
      <c r="BO352" s="116"/>
      <c r="BP352" s="125"/>
      <c r="BQ352" s="116"/>
    </row>
    <row r="353">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c r="AT353" s="116"/>
      <c r="AU353" s="116"/>
      <c r="AV353" s="116"/>
      <c r="AW353" s="116"/>
      <c r="AX353" s="116"/>
      <c r="AY353" s="116"/>
      <c r="AZ353" s="116"/>
      <c r="BA353" s="116"/>
      <c r="BB353" s="116"/>
      <c r="BC353" s="116"/>
      <c r="BD353" s="116"/>
      <c r="BE353" s="116"/>
      <c r="BF353" s="116"/>
      <c r="BG353" s="116"/>
      <c r="BH353" s="124"/>
      <c r="BI353" s="124"/>
      <c r="BJ353" s="116"/>
      <c r="BK353" s="116"/>
      <c r="BL353" s="116"/>
      <c r="BM353" s="116"/>
      <c r="BN353" s="116"/>
      <c r="BO353" s="116"/>
      <c r="BP353" s="125"/>
      <c r="BQ353" s="116"/>
    </row>
    <row r="354">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c r="AT354" s="116"/>
      <c r="AU354" s="116"/>
      <c r="AV354" s="116"/>
      <c r="AW354" s="116"/>
      <c r="AX354" s="116"/>
      <c r="AY354" s="116"/>
      <c r="AZ354" s="116"/>
      <c r="BA354" s="116"/>
      <c r="BB354" s="116"/>
      <c r="BC354" s="116"/>
      <c r="BD354" s="116"/>
      <c r="BE354" s="116"/>
      <c r="BF354" s="116"/>
      <c r="BG354" s="116"/>
      <c r="BH354" s="124"/>
      <c r="BI354" s="124"/>
      <c r="BJ354" s="116"/>
      <c r="BK354" s="116"/>
      <c r="BL354" s="116"/>
      <c r="BM354" s="116"/>
      <c r="BN354" s="116"/>
      <c r="BO354" s="116"/>
      <c r="BP354" s="125"/>
      <c r="BQ354" s="116"/>
    </row>
    <row r="355">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c r="AT355" s="116"/>
      <c r="AU355" s="116"/>
      <c r="AV355" s="116"/>
      <c r="AW355" s="116"/>
      <c r="AX355" s="116"/>
      <c r="AY355" s="116"/>
      <c r="AZ355" s="116"/>
      <c r="BA355" s="116"/>
      <c r="BB355" s="116"/>
      <c r="BC355" s="116"/>
      <c r="BD355" s="116"/>
      <c r="BE355" s="116"/>
      <c r="BF355" s="116"/>
      <c r="BG355" s="116"/>
      <c r="BH355" s="124"/>
      <c r="BI355" s="124"/>
      <c r="BJ355" s="116"/>
      <c r="BK355" s="116"/>
      <c r="BL355" s="116"/>
      <c r="BM355" s="116"/>
      <c r="BN355" s="116"/>
      <c r="BO355" s="116"/>
      <c r="BP355" s="125"/>
      <c r="BQ355" s="116"/>
    </row>
    <row r="356">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c r="AT356" s="116"/>
      <c r="AU356" s="116"/>
      <c r="AV356" s="116"/>
      <c r="AW356" s="116"/>
      <c r="AX356" s="116"/>
      <c r="AY356" s="116"/>
      <c r="AZ356" s="116"/>
      <c r="BA356" s="116"/>
      <c r="BB356" s="116"/>
      <c r="BC356" s="116"/>
      <c r="BD356" s="116"/>
      <c r="BE356" s="116"/>
      <c r="BF356" s="116"/>
      <c r="BG356" s="116"/>
      <c r="BH356" s="124"/>
      <c r="BI356" s="124"/>
      <c r="BJ356" s="116"/>
      <c r="BK356" s="116"/>
      <c r="BL356" s="116"/>
      <c r="BM356" s="116"/>
      <c r="BN356" s="116"/>
      <c r="BO356" s="116"/>
      <c r="BP356" s="125"/>
      <c r="BQ356" s="116"/>
    </row>
    <row r="357">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16"/>
      <c r="AV357" s="116"/>
      <c r="AW357" s="116"/>
      <c r="AX357" s="116"/>
      <c r="AY357" s="116"/>
      <c r="AZ357" s="116"/>
      <c r="BA357" s="116"/>
      <c r="BB357" s="116"/>
      <c r="BC357" s="116"/>
      <c r="BD357" s="116"/>
      <c r="BE357" s="116"/>
      <c r="BF357" s="116"/>
      <c r="BG357" s="116"/>
      <c r="BH357" s="124"/>
      <c r="BI357" s="124"/>
      <c r="BJ357" s="116"/>
      <c r="BK357" s="116"/>
      <c r="BL357" s="116"/>
      <c r="BM357" s="116"/>
      <c r="BN357" s="116"/>
      <c r="BO357" s="116"/>
      <c r="BP357" s="125"/>
      <c r="BQ357" s="116"/>
    </row>
    <row r="358">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16"/>
      <c r="AV358" s="116"/>
      <c r="AW358" s="116"/>
      <c r="AX358" s="116"/>
      <c r="AY358" s="116"/>
      <c r="AZ358" s="116"/>
      <c r="BA358" s="116"/>
      <c r="BB358" s="116"/>
      <c r="BC358" s="116"/>
      <c r="BD358" s="116"/>
      <c r="BE358" s="116"/>
      <c r="BF358" s="116"/>
      <c r="BG358" s="116"/>
      <c r="BH358" s="124"/>
      <c r="BI358" s="124"/>
      <c r="BJ358" s="116"/>
      <c r="BK358" s="116"/>
      <c r="BL358" s="116"/>
      <c r="BM358" s="116"/>
      <c r="BN358" s="116"/>
      <c r="BO358" s="116"/>
      <c r="BP358" s="125"/>
      <c r="BQ358" s="116"/>
    </row>
    <row r="359">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c r="AT359" s="116"/>
      <c r="AU359" s="116"/>
      <c r="AV359" s="116"/>
      <c r="AW359" s="116"/>
      <c r="AX359" s="116"/>
      <c r="AY359" s="116"/>
      <c r="AZ359" s="116"/>
      <c r="BA359" s="116"/>
      <c r="BB359" s="116"/>
      <c r="BC359" s="116"/>
      <c r="BD359" s="116"/>
      <c r="BE359" s="116"/>
      <c r="BF359" s="116"/>
      <c r="BG359" s="116"/>
      <c r="BH359" s="124"/>
      <c r="BI359" s="124"/>
      <c r="BJ359" s="116"/>
      <c r="BK359" s="116"/>
      <c r="BL359" s="116"/>
      <c r="BM359" s="116"/>
      <c r="BN359" s="116"/>
      <c r="BO359" s="116"/>
      <c r="BP359" s="125"/>
      <c r="BQ359" s="116"/>
    </row>
    <row r="360">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16"/>
      <c r="AV360" s="116"/>
      <c r="AW360" s="116"/>
      <c r="AX360" s="116"/>
      <c r="AY360" s="116"/>
      <c r="AZ360" s="116"/>
      <c r="BA360" s="116"/>
      <c r="BB360" s="116"/>
      <c r="BC360" s="116"/>
      <c r="BD360" s="116"/>
      <c r="BE360" s="116"/>
      <c r="BF360" s="116"/>
      <c r="BG360" s="116"/>
      <c r="BH360" s="124"/>
      <c r="BI360" s="124"/>
      <c r="BJ360" s="116"/>
      <c r="BK360" s="116"/>
      <c r="BL360" s="116"/>
      <c r="BM360" s="116"/>
      <c r="BN360" s="116"/>
      <c r="BO360" s="116"/>
      <c r="BP360" s="125"/>
      <c r="BQ360" s="116"/>
    </row>
    <row r="36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16"/>
      <c r="AV361" s="116"/>
      <c r="AW361" s="116"/>
      <c r="AX361" s="116"/>
      <c r="AY361" s="116"/>
      <c r="AZ361" s="116"/>
      <c r="BA361" s="116"/>
      <c r="BB361" s="116"/>
      <c r="BC361" s="116"/>
      <c r="BD361" s="116"/>
      <c r="BE361" s="116"/>
      <c r="BF361" s="116"/>
      <c r="BG361" s="116"/>
      <c r="BH361" s="124"/>
      <c r="BI361" s="124"/>
      <c r="BJ361" s="116"/>
      <c r="BK361" s="116"/>
      <c r="BL361" s="116"/>
      <c r="BM361" s="116"/>
      <c r="BN361" s="116"/>
      <c r="BO361" s="116"/>
      <c r="BP361" s="125"/>
      <c r="BQ361" s="116"/>
    </row>
    <row r="362">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c r="AT362" s="116"/>
      <c r="AU362" s="116"/>
      <c r="AV362" s="116"/>
      <c r="AW362" s="116"/>
      <c r="AX362" s="116"/>
      <c r="AY362" s="116"/>
      <c r="AZ362" s="116"/>
      <c r="BA362" s="116"/>
      <c r="BB362" s="116"/>
      <c r="BC362" s="116"/>
      <c r="BD362" s="116"/>
      <c r="BE362" s="116"/>
      <c r="BF362" s="116"/>
      <c r="BG362" s="116"/>
      <c r="BH362" s="124"/>
      <c r="BI362" s="124"/>
      <c r="BJ362" s="116"/>
      <c r="BK362" s="116"/>
      <c r="BL362" s="116"/>
      <c r="BM362" s="116"/>
      <c r="BN362" s="116"/>
      <c r="BO362" s="116"/>
      <c r="BP362" s="125"/>
      <c r="BQ362" s="116"/>
    </row>
    <row r="363">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c r="AT363" s="116"/>
      <c r="AU363" s="116"/>
      <c r="AV363" s="116"/>
      <c r="AW363" s="116"/>
      <c r="AX363" s="116"/>
      <c r="AY363" s="116"/>
      <c r="AZ363" s="116"/>
      <c r="BA363" s="116"/>
      <c r="BB363" s="116"/>
      <c r="BC363" s="116"/>
      <c r="BD363" s="116"/>
      <c r="BE363" s="116"/>
      <c r="BF363" s="116"/>
      <c r="BG363" s="116"/>
      <c r="BH363" s="124"/>
      <c r="BI363" s="124"/>
      <c r="BJ363" s="116"/>
      <c r="BK363" s="116"/>
      <c r="BL363" s="116"/>
      <c r="BM363" s="116"/>
      <c r="BN363" s="116"/>
      <c r="BO363" s="116"/>
      <c r="BP363" s="125"/>
      <c r="BQ363" s="116"/>
    </row>
    <row r="364">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c r="AT364" s="116"/>
      <c r="AU364" s="116"/>
      <c r="AV364" s="116"/>
      <c r="AW364" s="116"/>
      <c r="AX364" s="116"/>
      <c r="AY364" s="116"/>
      <c r="AZ364" s="116"/>
      <c r="BA364" s="116"/>
      <c r="BB364" s="116"/>
      <c r="BC364" s="116"/>
      <c r="BD364" s="116"/>
      <c r="BE364" s="116"/>
      <c r="BF364" s="116"/>
      <c r="BG364" s="116"/>
      <c r="BH364" s="124"/>
      <c r="BI364" s="124"/>
      <c r="BJ364" s="116"/>
      <c r="BK364" s="116"/>
      <c r="BL364" s="116"/>
      <c r="BM364" s="116"/>
      <c r="BN364" s="116"/>
      <c r="BO364" s="116"/>
      <c r="BP364" s="125"/>
      <c r="BQ364" s="116"/>
    </row>
    <row r="365">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c r="AT365" s="116"/>
      <c r="AU365" s="116"/>
      <c r="AV365" s="116"/>
      <c r="AW365" s="116"/>
      <c r="AX365" s="116"/>
      <c r="AY365" s="116"/>
      <c r="AZ365" s="116"/>
      <c r="BA365" s="116"/>
      <c r="BB365" s="116"/>
      <c r="BC365" s="116"/>
      <c r="BD365" s="116"/>
      <c r="BE365" s="116"/>
      <c r="BF365" s="116"/>
      <c r="BG365" s="116"/>
      <c r="BH365" s="124"/>
      <c r="BI365" s="124"/>
      <c r="BJ365" s="116"/>
      <c r="BK365" s="116"/>
      <c r="BL365" s="116"/>
      <c r="BM365" s="116"/>
      <c r="BN365" s="116"/>
      <c r="BO365" s="116"/>
      <c r="BP365" s="125"/>
      <c r="BQ365" s="116"/>
    </row>
    <row r="366">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c r="AT366" s="116"/>
      <c r="AU366" s="116"/>
      <c r="AV366" s="116"/>
      <c r="AW366" s="116"/>
      <c r="AX366" s="116"/>
      <c r="AY366" s="116"/>
      <c r="AZ366" s="116"/>
      <c r="BA366" s="116"/>
      <c r="BB366" s="116"/>
      <c r="BC366" s="116"/>
      <c r="BD366" s="116"/>
      <c r="BE366" s="116"/>
      <c r="BF366" s="116"/>
      <c r="BG366" s="116"/>
      <c r="BH366" s="124"/>
      <c r="BI366" s="124"/>
      <c r="BJ366" s="116"/>
      <c r="BK366" s="116"/>
      <c r="BL366" s="116"/>
      <c r="BM366" s="116"/>
      <c r="BN366" s="116"/>
      <c r="BO366" s="116"/>
      <c r="BP366" s="125"/>
      <c r="BQ366" s="116"/>
    </row>
    <row r="367">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c r="AT367" s="116"/>
      <c r="AU367" s="116"/>
      <c r="AV367" s="116"/>
      <c r="AW367" s="116"/>
      <c r="AX367" s="116"/>
      <c r="AY367" s="116"/>
      <c r="AZ367" s="116"/>
      <c r="BA367" s="116"/>
      <c r="BB367" s="116"/>
      <c r="BC367" s="116"/>
      <c r="BD367" s="116"/>
      <c r="BE367" s="116"/>
      <c r="BF367" s="116"/>
      <c r="BG367" s="116"/>
      <c r="BH367" s="124"/>
      <c r="BI367" s="124"/>
      <c r="BJ367" s="116"/>
      <c r="BK367" s="116"/>
      <c r="BL367" s="116"/>
      <c r="BM367" s="116"/>
      <c r="BN367" s="116"/>
      <c r="BO367" s="116"/>
      <c r="BP367" s="125"/>
      <c r="BQ367" s="116"/>
    </row>
    <row r="368">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c r="AT368" s="116"/>
      <c r="AU368" s="116"/>
      <c r="AV368" s="116"/>
      <c r="AW368" s="116"/>
      <c r="AX368" s="116"/>
      <c r="AY368" s="116"/>
      <c r="AZ368" s="116"/>
      <c r="BA368" s="116"/>
      <c r="BB368" s="116"/>
      <c r="BC368" s="116"/>
      <c r="BD368" s="116"/>
      <c r="BE368" s="116"/>
      <c r="BF368" s="116"/>
      <c r="BG368" s="116"/>
      <c r="BH368" s="124"/>
      <c r="BI368" s="124"/>
      <c r="BJ368" s="116"/>
      <c r="BK368" s="116"/>
      <c r="BL368" s="116"/>
      <c r="BM368" s="116"/>
      <c r="BN368" s="116"/>
      <c r="BO368" s="116"/>
      <c r="BP368" s="125"/>
      <c r="BQ368" s="116"/>
    </row>
    <row r="369">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c r="AT369" s="116"/>
      <c r="AU369" s="116"/>
      <c r="AV369" s="116"/>
      <c r="AW369" s="116"/>
      <c r="AX369" s="116"/>
      <c r="AY369" s="116"/>
      <c r="AZ369" s="116"/>
      <c r="BA369" s="116"/>
      <c r="BB369" s="116"/>
      <c r="BC369" s="116"/>
      <c r="BD369" s="116"/>
      <c r="BE369" s="116"/>
      <c r="BF369" s="116"/>
      <c r="BG369" s="116"/>
      <c r="BH369" s="124"/>
      <c r="BI369" s="124"/>
      <c r="BJ369" s="116"/>
      <c r="BK369" s="116"/>
      <c r="BL369" s="116"/>
      <c r="BM369" s="116"/>
      <c r="BN369" s="116"/>
      <c r="BO369" s="116"/>
      <c r="BP369" s="125"/>
      <c r="BQ369" s="116"/>
    </row>
    <row r="370">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c r="AT370" s="116"/>
      <c r="AU370" s="116"/>
      <c r="AV370" s="116"/>
      <c r="AW370" s="116"/>
      <c r="AX370" s="116"/>
      <c r="AY370" s="116"/>
      <c r="AZ370" s="116"/>
      <c r="BA370" s="116"/>
      <c r="BB370" s="116"/>
      <c r="BC370" s="116"/>
      <c r="BD370" s="116"/>
      <c r="BE370" s="116"/>
      <c r="BF370" s="116"/>
      <c r="BG370" s="116"/>
      <c r="BH370" s="124"/>
      <c r="BI370" s="124"/>
      <c r="BJ370" s="116"/>
      <c r="BK370" s="116"/>
      <c r="BL370" s="116"/>
      <c r="BM370" s="116"/>
      <c r="BN370" s="116"/>
      <c r="BO370" s="116"/>
      <c r="BP370" s="125"/>
      <c r="BQ370" s="116"/>
    </row>
    <row r="37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c r="AT371" s="116"/>
      <c r="AU371" s="116"/>
      <c r="AV371" s="116"/>
      <c r="AW371" s="116"/>
      <c r="AX371" s="116"/>
      <c r="AY371" s="116"/>
      <c r="AZ371" s="116"/>
      <c r="BA371" s="116"/>
      <c r="BB371" s="116"/>
      <c r="BC371" s="116"/>
      <c r="BD371" s="116"/>
      <c r="BE371" s="116"/>
      <c r="BF371" s="116"/>
      <c r="BG371" s="116"/>
      <c r="BH371" s="124"/>
      <c r="BI371" s="124"/>
      <c r="BJ371" s="116"/>
      <c r="BK371" s="116"/>
      <c r="BL371" s="116"/>
      <c r="BM371" s="116"/>
      <c r="BN371" s="116"/>
      <c r="BO371" s="116"/>
      <c r="BP371" s="125"/>
      <c r="BQ371" s="116"/>
    </row>
    <row r="372">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c r="AT372" s="116"/>
      <c r="AU372" s="116"/>
      <c r="AV372" s="116"/>
      <c r="AW372" s="116"/>
      <c r="AX372" s="116"/>
      <c r="AY372" s="116"/>
      <c r="AZ372" s="116"/>
      <c r="BA372" s="116"/>
      <c r="BB372" s="116"/>
      <c r="BC372" s="116"/>
      <c r="BD372" s="116"/>
      <c r="BE372" s="116"/>
      <c r="BF372" s="116"/>
      <c r="BG372" s="116"/>
      <c r="BH372" s="124"/>
      <c r="BI372" s="124"/>
      <c r="BJ372" s="116"/>
      <c r="BK372" s="116"/>
      <c r="BL372" s="116"/>
      <c r="BM372" s="116"/>
      <c r="BN372" s="116"/>
      <c r="BO372" s="116"/>
      <c r="BP372" s="125"/>
      <c r="BQ372" s="116"/>
    </row>
    <row r="373">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c r="AT373" s="116"/>
      <c r="AU373" s="116"/>
      <c r="AV373" s="116"/>
      <c r="AW373" s="116"/>
      <c r="AX373" s="116"/>
      <c r="AY373" s="116"/>
      <c r="AZ373" s="116"/>
      <c r="BA373" s="116"/>
      <c r="BB373" s="116"/>
      <c r="BC373" s="116"/>
      <c r="BD373" s="116"/>
      <c r="BE373" s="116"/>
      <c r="BF373" s="116"/>
      <c r="BG373" s="116"/>
      <c r="BH373" s="124"/>
      <c r="BI373" s="124"/>
      <c r="BJ373" s="116"/>
      <c r="BK373" s="116"/>
      <c r="BL373" s="116"/>
      <c r="BM373" s="116"/>
      <c r="BN373" s="116"/>
      <c r="BO373" s="116"/>
      <c r="BP373" s="125"/>
      <c r="BQ373" s="116"/>
    </row>
    <row r="374">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16"/>
      <c r="AV374" s="116"/>
      <c r="AW374" s="116"/>
      <c r="AX374" s="116"/>
      <c r="AY374" s="116"/>
      <c r="AZ374" s="116"/>
      <c r="BA374" s="116"/>
      <c r="BB374" s="116"/>
      <c r="BC374" s="116"/>
      <c r="BD374" s="116"/>
      <c r="BE374" s="116"/>
      <c r="BF374" s="116"/>
      <c r="BG374" s="116"/>
      <c r="BH374" s="124"/>
      <c r="BI374" s="124"/>
      <c r="BJ374" s="116"/>
      <c r="BK374" s="116"/>
      <c r="BL374" s="116"/>
      <c r="BM374" s="116"/>
      <c r="BN374" s="116"/>
      <c r="BO374" s="116"/>
      <c r="BP374" s="125"/>
      <c r="BQ374" s="116"/>
    </row>
    <row r="375">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16"/>
      <c r="AV375" s="116"/>
      <c r="AW375" s="116"/>
      <c r="AX375" s="116"/>
      <c r="AY375" s="116"/>
      <c r="AZ375" s="116"/>
      <c r="BA375" s="116"/>
      <c r="BB375" s="116"/>
      <c r="BC375" s="116"/>
      <c r="BD375" s="116"/>
      <c r="BE375" s="116"/>
      <c r="BF375" s="116"/>
      <c r="BG375" s="116"/>
      <c r="BH375" s="124"/>
      <c r="BI375" s="124"/>
      <c r="BJ375" s="116"/>
      <c r="BK375" s="116"/>
      <c r="BL375" s="116"/>
      <c r="BM375" s="116"/>
      <c r="BN375" s="116"/>
      <c r="BO375" s="116"/>
      <c r="BP375" s="125"/>
      <c r="BQ375" s="116"/>
    </row>
    <row r="376">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16"/>
      <c r="AV376" s="116"/>
      <c r="AW376" s="116"/>
      <c r="AX376" s="116"/>
      <c r="AY376" s="116"/>
      <c r="AZ376" s="116"/>
      <c r="BA376" s="116"/>
      <c r="BB376" s="116"/>
      <c r="BC376" s="116"/>
      <c r="BD376" s="116"/>
      <c r="BE376" s="116"/>
      <c r="BF376" s="116"/>
      <c r="BG376" s="116"/>
      <c r="BH376" s="124"/>
      <c r="BI376" s="124"/>
      <c r="BJ376" s="116"/>
      <c r="BK376" s="116"/>
      <c r="BL376" s="116"/>
      <c r="BM376" s="116"/>
      <c r="BN376" s="116"/>
      <c r="BO376" s="116"/>
      <c r="BP376" s="125"/>
      <c r="BQ376" s="116"/>
    </row>
    <row r="377">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16"/>
      <c r="AV377" s="116"/>
      <c r="AW377" s="116"/>
      <c r="AX377" s="116"/>
      <c r="AY377" s="116"/>
      <c r="AZ377" s="116"/>
      <c r="BA377" s="116"/>
      <c r="BB377" s="116"/>
      <c r="BC377" s="116"/>
      <c r="BD377" s="116"/>
      <c r="BE377" s="116"/>
      <c r="BF377" s="116"/>
      <c r="BG377" s="116"/>
      <c r="BH377" s="124"/>
      <c r="BI377" s="124"/>
      <c r="BJ377" s="116"/>
      <c r="BK377" s="116"/>
      <c r="BL377" s="116"/>
      <c r="BM377" s="116"/>
      <c r="BN377" s="116"/>
      <c r="BO377" s="116"/>
      <c r="BP377" s="125"/>
      <c r="BQ377" s="116"/>
    </row>
    <row r="378">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16"/>
      <c r="AV378" s="116"/>
      <c r="AW378" s="116"/>
      <c r="AX378" s="116"/>
      <c r="AY378" s="116"/>
      <c r="AZ378" s="116"/>
      <c r="BA378" s="116"/>
      <c r="BB378" s="116"/>
      <c r="BC378" s="116"/>
      <c r="BD378" s="116"/>
      <c r="BE378" s="116"/>
      <c r="BF378" s="116"/>
      <c r="BG378" s="116"/>
      <c r="BH378" s="124"/>
      <c r="BI378" s="124"/>
      <c r="BJ378" s="116"/>
      <c r="BK378" s="116"/>
      <c r="BL378" s="116"/>
      <c r="BM378" s="116"/>
      <c r="BN378" s="116"/>
      <c r="BO378" s="116"/>
      <c r="BP378" s="125"/>
      <c r="BQ378" s="116"/>
    </row>
    <row r="379">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c r="BC379" s="116"/>
      <c r="BD379" s="116"/>
      <c r="BE379" s="116"/>
      <c r="BF379" s="116"/>
      <c r="BG379" s="116"/>
      <c r="BH379" s="124"/>
      <c r="BI379" s="124"/>
      <c r="BJ379" s="116"/>
      <c r="BK379" s="116"/>
      <c r="BL379" s="116"/>
      <c r="BM379" s="116"/>
      <c r="BN379" s="116"/>
      <c r="BO379" s="116"/>
      <c r="BP379" s="125"/>
      <c r="BQ379" s="116"/>
    </row>
    <row r="380">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c r="BC380" s="116"/>
      <c r="BD380" s="116"/>
      <c r="BE380" s="116"/>
      <c r="BF380" s="116"/>
      <c r="BG380" s="116"/>
      <c r="BH380" s="124"/>
      <c r="BI380" s="124"/>
      <c r="BJ380" s="116"/>
      <c r="BK380" s="116"/>
      <c r="BL380" s="116"/>
      <c r="BM380" s="116"/>
      <c r="BN380" s="116"/>
      <c r="BO380" s="116"/>
      <c r="BP380" s="125"/>
      <c r="BQ380" s="116"/>
    </row>
    <row r="38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c r="BC381" s="116"/>
      <c r="BD381" s="116"/>
      <c r="BE381" s="116"/>
      <c r="BF381" s="116"/>
      <c r="BG381" s="116"/>
      <c r="BH381" s="124"/>
      <c r="BI381" s="124"/>
      <c r="BJ381" s="116"/>
      <c r="BK381" s="116"/>
      <c r="BL381" s="116"/>
      <c r="BM381" s="116"/>
      <c r="BN381" s="116"/>
      <c r="BO381" s="116"/>
      <c r="BP381" s="125"/>
      <c r="BQ381" s="116"/>
    </row>
    <row r="382">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16"/>
      <c r="AV382" s="116"/>
      <c r="AW382" s="116"/>
      <c r="AX382" s="116"/>
      <c r="AY382" s="116"/>
      <c r="AZ382" s="116"/>
      <c r="BA382" s="116"/>
      <c r="BB382" s="116"/>
      <c r="BC382" s="116"/>
      <c r="BD382" s="116"/>
      <c r="BE382" s="116"/>
      <c r="BF382" s="116"/>
      <c r="BG382" s="116"/>
      <c r="BH382" s="124"/>
      <c r="BI382" s="124"/>
      <c r="BJ382" s="116"/>
      <c r="BK382" s="116"/>
      <c r="BL382" s="116"/>
      <c r="BM382" s="116"/>
      <c r="BN382" s="116"/>
      <c r="BO382" s="116"/>
      <c r="BP382" s="125"/>
      <c r="BQ382" s="116"/>
    </row>
    <row r="383">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c r="BC383" s="116"/>
      <c r="BD383" s="116"/>
      <c r="BE383" s="116"/>
      <c r="BF383" s="116"/>
      <c r="BG383" s="116"/>
      <c r="BH383" s="124"/>
      <c r="BI383" s="124"/>
      <c r="BJ383" s="116"/>
      <c r="BK383" s="116"/>
      <c r="BL383" s="116"/>
      <c r="BM383" s="116"/>
      <c r="BN383" s="116"/>
      <c r="BO383" s="116"/>
      <c r="BP383" s="125"/>
      <c r="BQ383" s="116"/>
    </row>
    <row r="384">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c r="BC384" s="116"/>
      <c r="BD384" s="116"/>
      <c r="BE384" s="116"/>
      <c r="BF384" s="116"/>
      <c r="BG384" s="116"/>
      <c r="BH384" s="124"/>
      <c r="BI384" s="124"/>
      <c r="BJ384" s="116"/>
      <c r="BK384" s="116"/>
      <c r="BL384" s="116"/>
      <c r="BM384" s="116"/>
      <c r="BN384" s="116"/>
      <c r="BO384" s="116"/>
      <c r="BP384" s="125"/>
      <c r="BQ384" s="116"/>
    </row>
    <row r="385">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c r="BC385" s="116"/>
      <c r="BD385" s="116"/>
      <c r="BE385" s="116"/>
      <c r="BF385" s="116"/>
      <c r="BG385" s="116"/>
      <c r="BH385" s="124"/>
      <c r="BI385" s="124"/>
      <c r="BJ385" s="116"/>
      <c r="BK385" s="116"/>
      <c r="BL385" s="116"/>
      <c r="BM385" s="116"/>
      <c r="BN385" s="116"/>
      <c r="BO385" s="116"/>
      <c r="BP385" s="125"/>
      <c r="BQ385" s="116"/>
    </row>
    <row r="386">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c r="BC386" s="116"/>
      <c r="BD386" s="116"/>
      <c r="BE386" s="116"/>
      <c r="BF386" s="116"/>
      <c r="BG386" s="116"/>
      <c r="BH386" s="124"/>
      <c r="BI386" s="124"/>
      <c r="BJ386" s="116"/>
      <c r="BK386" s="116"/>
      <c r="BL386" s="116"/>
      <c r="BM386" s="116"/>
      <c r="BN386" s="116"/>
      <c r="BO386" s="116"/>
      <c r="BP386" s="125"/>
      <c r="BQ386" s="116"/>
    </row>
    <row r="387">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6"/>
      <c r="BC387" s="116"/>
      <c r="BD387" s="116"/>
      <c r="BE387" s="116"/>
      <c r="BF387" s="116"/>
      <c r="BG387" s="116"/>
      <c r="BH387" s="124"/>
      <c r="BI387" s="124"/>
      <c r="BJ387" s="116"/>
      <c r="BK387" s="116"/>
      <c r="BL387" s="116"/>
      <c r="BM387" s="116"/>
      <c r="BN387" s="116"/>
      <c r="BO387" s="116"/>
      <c r="BP387" s="125"/>
      <c r="BQ387" s="116"/>
    </row>
    <row r="388">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c r="BC388" s="116"/>
      <c r="BD388" s="116"/>
      <c r="BE388" s="116"/>
      <c r="BF388" s="116"/>
      <c r="BG388" s="116"/>
      <c r="BH388" s="124"/>
      <c r="BI388" s="124"/>
      <c r="BJ388" s="116"/>
      <c r="BK388" s="116"/>
      <c r="BL388" s="116"/>
      <c r="BM388" s="116"/>
      <c r="BN388" s="116"/>
      <c r="BO388" s="116"/>
      <c r="BP388" s="125"/>
      <c r="BQ388" s="116"/>
    </row>
    <row r="389">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c r="BC389" s="116"/>
      <c r="BD389" s="116"/>
      <c r="BE389" s="116"/>
      <c r="BF389" s="116"/>
      <c r="BG389" s="116"/>
      <c r="BH389" s="124"/>
      <c r="BI389" s="124"/>
      <c r="BJ389" s="116"/>
      <c r="BK389" s="116"/>
      <c r="BL389" s="116"/>
      <c r="BM389" s="116"/>
      <c r="BN389" s="116"/>
      <c r="BO389" s="116"/>
      <c r="BP389" s="125"/>
      <c r="BQ389" s="116"/>
    </row>
    <row r="390">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c r="BC390" s="116"/>
      <c r="BD390" s="116"/>
      <c r="BE390" s="116"/>
      <c r="BF390" s="116"/>
      <c r="BG390" s="116"/>
      <c r="BH390" s="124"/>
      <c r="BI390" s="124"/>
      <c r="BJ390" s="116"/>
      <c r="BK390" s="116"/>
      <c r="BL390" s="116"/>
      <c r="BM390" s="116"/>
      <c r="BN390" s="116"/>
      <c r="BO390" s="116"/>
      <c r="BP390" s="125"/>
      <c r="BQ390" s="116"/>
    </row>
    <row r="39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c r="BC391" s="116"/>
      <c r="BD391" s="116"/>
      <c r="BE391" s="116"/>
      <c r="BF391" s="116"/>
      <c r="BG391" s="116"/>
      <c r="BH391" s="124"/>
      <c r="BI391" s="124"/>
      <c r="BJ391" s="116"/>
      <c r="BK391" s="116"/>
      <c r="BL391" s="116"/>
      <c r="BM391" s="116"/>
      <c r="BN391" s="116"/>
      <c r="BO391" s="116"/>
      <c r="BP391" s="125"/>
      <c r="BQ391" s="116"/>
    </row>
    <row r="392">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c r="BC392" s="116"/>
      <c r="BD392" s="116"/>
      <c r="BE392" s="116"/>
      <c r="BF392" s="116"/>
      <c r="BG392" s="116"/>
      <c r="BH392" s="124"/>
      <c r="BI392" s="124"/>
      <c r="BJ392" s="116"/>
      <c r="BK392" s="116"/>
      <c r="BL392" s="116"/>
      <c r="BM392" s="116"/>
      <c r="BN392" s="116"/>
      <c r="BO392" s="116"/>
      <c r="BP392" s="125"/>
      <c r="BQ392" s="116"/>
    </row>
    <row r="393">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c r="BC393" s="116"/>
      <c r="BD393" s="116"/>
      <c r="BE393" s="116"/>
      <c r="BF393" s="116"/>
      <c r="BG393" s="116"/>
      <c r="BH393" s="124"/>
      <c r="BI393" s="124"/>
      <c r="BJ393" s="116"/>
      <c r="BK393" s="116"/>
      <c r="BL393" s="116"/>
      <c r="BM393" s="116"/>
      <c r="BN393" s="116"/>
      <c r="BO393" s="116"/>
      <c r="BP393" s="125"/>
      <c r="BQ393" s="116"/>
    </row>
    <row r="394">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c r="BC394" s="116"/>
      <c r="BD394" s="116"/>
      <c r="BE394" s="116"/>
      <c r="BF394" s="116"/>
      <c r="BG394" s="116"/>
      <c r="BH394" s="124"/>
      <c r="BI394" s="124"/>
      <c r="BJ394" s="116"/>
      <c r="BK394" s="116"/>
      <c r="BL394" s="116"/>
      <c r="BM394" s="116"/>
      <c r="BN394" s="116"/>
      <c r="BO394" s="116"/>
      <c r="BP394" s="125"/>
      <c r="BQ394" s="116"/>
    </row>
    <row r="395">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c r="BC395" s="116"/>
      <c r="BD395" s="116"/>
      <c r="BE395" s="116"/>
      <c r="BF395" s="116"/>
      <c r="BG395" s="116"/>
      <c r="BH395" s="124"/>
      <c r="BI395" s="124"/>
      <c r="BJ395" s="116"/>
      <c r="BK395" s="116"/>
      <c r="BL395" s="116"/>
      <c r="BM395" s="116"/>
      <c r="BN395" s="116"/>
      <c r="BO395" s="116"/>
      <c r="BP395" s="125"/>
      <c r="BQ395" s="116"/>
    </row>
    <row r="396">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c r="BC396" s="116"/>
      <c r="BD396" s="116"/>
      <c r="BE396" s="116"/>
      <c r="BF396" s="116"/>
      <c r="BG396" s="116"/>
      <c r="BH396" s="124"/>
      <c r="BI396" s="124"/>
      <c r="BJ396" s="116"/>
      <c r="BK396" s="116"/>
      <c r="BL396" s="116"/>
      <c r="BM396" s="116"/>
      <c r="BN396" s="116"/>
      <c r="BO396" s="116"/>
      <c r="BP396" s="125"/>
      <c r="BQ396" s="116"/>
    </row>
    <row r="397">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c r="BC397" s="116"/>
      <c r="BD397" s="116"/>
      <c r="BE397" s="116"/>
      <c r="BF397" s="116"/>
      <c r="BG397" s="116"/>
      <c r="BH397" s="124"/>
      <c r="BI397" s="124"/>
      <c r="BJ397" s="116"/>
      <c r="BK397" s="116"/>
      <c r="BL397" s="116"/>
      <c r="BM397" s="116"/>
      <c r="BN397" s="116"/>
      <c r="BO397" s="116"/>
      <c r="BP397" s="125"/>
      <c r="BQ397" s="116"/>
    </row>
    <row r="398">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c r="BC398" s="116"/>
      <c r="BD398" s="116"/>
      <c r="BE398" s="116"/>
      <c r="BF398" s="116"/>
      <c r="BG398" s="116"/>
      <c r="BH398" s="124"/>
      <c r="BI398" s="124"/>
      <c r="BJ398" s="116"/>
      <c r="BK398" s="116"/>
      <c r="BL398" s="116"/>
      <c r="BM398" s="116"/>
      <c r="BN398" s="116"/>
      <c r="BO398" s="116"/>
      <c r="BP398" s="125"/>
      <c r="BQ398" s="116"/>
    </row>
    <row r="399">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c r="BC399" s="116"/>
      <c r="BD399" s="116"/>
      <c r="BE399" s="116"/>
      <c r="BF399" s="116"/>
      <c r="BG399" s="116"/>
      <c r="BH399" s="124"/>
      <c r="BI399" s="124"/>
      <c r="BJ399" s="116"/>
      <c r="BK399" s="116"/>
      <c r="BL399" s="116"/>
      <c r="BM399" s="116"/>
      <c r="BN399" s="116"/>
      <c r="BO399" s="116"/>
      <c r="BP399" s="125"/>
      <c r="BQ399" s="116"/>
    </row>
    <row r="400">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c r="BC400" s="116"/>
      <c r="BD400" s="116"/>
      <c r="BE400" s="116"/>
      <c r="BF400" s="116"/>
      <c r="BG400" s="116"/>
      <c r="BH400" s="124"/>
      <c r="BI400" s="124"/>
      <c r="BJ400" s="116"/>
      <c r="BK400" s="116"/>
      <c r="BL400" s="116"/>
      <c r="BM400" s="116"/>
      <c r="BN400" s="116"/>
      <c r="BO400" s="116"/>
      <c r="BP400" s="125"/>
      <c r="BQ400" s="116"/>
    </row>
    <row r="40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c r="BC401" s="116"/>
      <c r="BD401" s="116"/>
      <c r="BE401" s="116"/>
      <c r="BF401" s="116"/>
      <c r="BG401" s="116"/>
      <c r="BH401" s="124"/>
      <c r="BI401" s="124"/>
      <c r="BJ401" s="116"/>
      <c r="BK401" s="116"/>
      <c r="BL401" s="116"/>
      <c r="BM401" s="116"/>
      <c r="BN401" s="116"/>
      <c r="BO401" s="116"/>
      <c r="BP401" s="125"/>
      <c r="BQ401" s="116"/>
    </row>
    <row r="402">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c r="BC402" s="116"/>
      <c r="BD402" s="116"/>
      <c r="BE402" s="116"/>
      <c r="BF402" s="116"/>
      <c r="BG402" s="116"/>
      <c r="BH402" s="124"/>
      <c r="BI402" s="124"/>
      <c r="BJ402" s="116"/>
      <c r="BK402" s="116"/>
      <c r="BL402" s="116"/>
      <c r="BM402" s="116"/>
      <c r="BN402" s="116"/>
      <c r="BO402" s="116"/>
      <c r="BP402" s="125"/>
      <c r="BQ402" s="116"/>
    </row>
    <row r="403">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c r="BC403" s="116"/>
      <c r="BD403" s="116"/>
      <c r="BE403" s="116"/>
      <c r="BF403" s="116"/>
      <c r="BG403" s="116"/>
      <c r="BH403" s="124"/>
      <c r="BI403" s="124"/>
      <c r="BJ403" s="116"/>
      <c r="BK403" s="116"/>
      <c r="BL403" s="116"/>
      <c r="BM403" s="116"/>
      <c r="BN403" s="116"/>
      <c r="BO403" s="116"/>
      <c r="BP403" s="125"/>
      <c r="BQ403" s="116"/>
    </row>
    <row r="404">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c r="BC404" s="116"/>
      <c r="BD404" s="116"/>
      <c r="BE404" s="116"/>
      <c r="BF404" s="116"/>
      <c r="BG404" s="116"/>
      <c r="BH404" s="124"/>
      <c r="BI404" s="124"/>
      <c r="BJ404" s="116"/>
      <c r="BK404" s="116"/>
      <c r="BL404" s="116"/>
      <c r="BM404" s="116"/>
      <c r="BN404" s="116"/>
      <c r="BO404" s="116"/>
      <c r="BP404" s="125"/>
      <c r="BQ404" s="116"/>
    </row>
    <row r="405">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c r="BC405" s="116"/>
      <c r="BD405" s="116"/>
      <c r="BE405" s="116"/>
      <c r="BF405" s="116"/>
      <c r="BG405" s="116"/>
      <c r="BH405" s="124"/>
      <c r="BI405" s="124"/>
      <c r="BJ405" s="116"/>
      <c r="BK405" s="116"/>
      <c r="BL405" s="116"/>
      <c r="BM405" s="116"/>
      <c r="BN405" s="116"/>
      <c r="BO405" s="116"/>
      <c r="BP405" s="125"/>
      <c r="BQ405" s="116"/>
    </row>
    <row r="406">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c r="BC406" s="116"/>
      <c r="BD406" s="116"/>
      <c r="BE406" s="116"/>
      <c r="BF406" s="116"/>
      <c r="BG406" s="116"/>
      <c r="BH406" s="124"/>
      <c r="BI406" s="124"/>
      <c r="BJ406" s="116"/>
      <c r="BK406" s="116"/>
      <c r="BL406" s="116"/>
      <c r="BM406" s="116"/>
      <c r="BN406" s="116"/>
      <c r="BO406" s="116"/>
      <c r="BP406" s="125"/>
      <c r="BQ406" s="116"/>
    </row>
    <row r="407">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c r="BC407" s="116"/>
      <c r="BD407" s="116"/>
      <c r="BE407" s="116"/>
      <c r="BF407" s="116"/>
      <c r="BG407" s="116"/>
      <c r="BH407" s="124"/>
      <c r="BI407" s="124"/>
      <c r="BJ407" s="116"/>
      <c r="BK407" s="116"/>
      <c r="BL407" s="116"/>
      <c r="BM407" s="116"/>
      <c r="BN407" s="116"/>
      <c r="BO407" s="116"/>
      <c r="BP407" s="125"/>
      <c r="BQ407" s="116"/>
    </row>
    <row r="408">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c r="BC408" s="116"/>
      <c r="BD408" s="116"/>
      <c r="BE408" s="116"/>
      <c r="BF408" s="116"/>
      <c r="BG408" s="116"/>
      <c r="BH408" s="124"/>
      <c r="BI408" s="124"/>
      <c r="BJ408" s="116"/>
      <c r="BK408" s="116"/>
      <c r="BL408" s="116"/>
      <c r="BM408" s="116"/>
      <c r="BN408" s="116"/>
      <c r="BO408" s="116"/>
      <c r="BP408" s="125"/>
      <c r="BQ408" s="116"/>
    </row>
    <row r="409">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c r="BC409" s="116"/>
      <c r="BD409" s="116"/>
      <c r="BE409" s="116"/>
      <c r="BF409" s="116"/>
      <c r="BG409" s="116"/>
      <c r="BH409" s="124"/>
      <c r="BI409" s="124"/>
      <c r="BJ409" s="116"/>
      <c r="BK409" s="116"/>
      <c r="BL409" s="116"/>
      <c r="BM409" s="116"/>
      <c r="BN409" s="116"/>
      <c r="BO409" s="116"/>
      <c r="BP409" s="125"/>
      <c r="BQ409" s="116"/>
    </row>
    <row r="410">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c r="BC410" s="116"/>
      <c r="BD410" s="116"/>
      <c r="BE410" s="116"/>
      <c r="BF410" s="116"/>
      <c r="BG410" s="116"/>
      <c r="BH410" s="124"/>
      <c r="BI410" s="124"/>
      <c r="BJ410" s="116"/>
      <c r="BK410" s="116"/>
      <c r="BL410" s="116"/>
      <c r="BM410" s="116"/>
      <c r="BN410" s="116"/>
      <c r="BO410" s="116"/>
      <c r="BP410" s="125"/>
      <c r="BQ410" s="116"/>
    </row>
    <row r="41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c r="BC411" s="116"/>
      <c r="BD411" s="116"/>
      <c r="BE411" s="116"/>
      <c r="BF411" s="116"/>
      <c r="BG411" s="116"/>
      <c r="BH411" s="124"/>
      <c r="BI411" s="124"/>
      <c r="BJ411" s="116"/>
      <c r="BK411" s="116"/>
      <c r="BL411" s="116"/>
      <c r="BM411" s="116"/>
      <c r="BN411" s="116"/>
      <c r="BO411" s="116"/>
      <c r="BP411" s="125"/>
      <c r="BQ411" s="116"/>
    </row>
    <row r="412">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c r="BC412" s="116"/>
      <c r="BD412" s="116"/>
      <c r="BE412" s="116"/>
      <c r="BF412" s="116"/>
      <c r="BG412" s="116"/>
      <c r="BH412" s="124"/>
      <c r="BI412" s="124"/>
      <c r="BJ412" s="116"/>
      <c r="BK412" s="116"/>
      <c r="BL412" s="116"/>
      <c r="BM412" s="116"/>
      <c r="BN412" s="116"/>
      <c r="BO412" s="116"/>
      <c r="BP412" s="125"/>
      <c r="BQ412" s="116"/>
    </row>
    <row r="413">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c r="BC413" s="116"/>
      <c r="BD413" s="116"/>
      <c r="BE413" s="116"/>
      <c r="BF413" s="116"/>
      <c r="BG413" s="116"/>
      <c r="BH413" s="124"/>
      <c r="BI413" s="124"/>
      <c r="BJ413" s="116"/>
      <c r="BK413" s="116"/>
      <c r="BL413" s="116"/>
      <c r="BM413" s="116"/>
      <c r="BN413" s="116"/>
      <c r="BO413" s="116"/>
      <c r="BP413" s="125"/>
      <c r="BQ413" s="116"/>
    </row>
    <row r="414">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c r="BC414" s="116"/>
      <c r="BD414" s="116"/>
      <c r="BE414" s="116"/>
      <c r="BF414" s="116"/>
      <c r="BG414" s="116"/>
      <c r="BH414" s="124"/>
      <c r="BI414" s="124"/>
      <c r="BJ414" s="116"/>
      <c r="BK414" s="116"/>
      <c r="BL414" s="116"/>
      <c r="BM414" s="116"/>
      <c r="BN414" s="116"/>
      <c r="BO414" s="116"/>
      <c r="BP414" s="125"/>
      <c r="BQ414" s="116"/>
    </row>
    <row r="415">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c r="BC415" s="116"/>
      <c r="BD415" s="116"/>
      <c r="BE415" s="116"/>
      <c r="BF415" s="116"/>
      <c r="BG415" s="116"/>
      <c r="BH415" s="124"/>
      <c r="BI415" s="124"/>
      <c r="BJ415" s="116"/>
      <c r="BK415" s="116"/>
      <c r="BL415" s="116"/>
      <c r="BM415" s="116"/>
      <c r="BN415" s="116"/>
      <c r="BO415" s="116"/>
      <c r="BP415" s="125"/>
      <c r="BQ415" s="116"/>
    </row>
    <row r="416">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c r="BC416" s="116"/>
      <c r="BD416" s="116"/>
      <c r="BE416" s="116"/>
      <c r="BF416" s="116"/>
      <c r="BG416" s="116"/>
      <c r="BH416" s="124"/>
      <c r="BI416" s="124"/>
      <c r="BJ416" s="116"/>
      <c r="BK416" s="116"/>
      <c r="BL416" s="116"/>
      <c r="BM416" s="116"/>
      <c r="BN416" s="116"/>
      <c r="BO416" s="116"/>
      <c r="BP416" s="125"/>
      <c r="BQ416" s="116"/>
    </row>
    <row r="417">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c r="BC417" s="116"/>
      <c r="BD417" s="116"/>
      <c r="BE417" s="116"/>
      <c r="BF417" s="116"/>
      <c r="BG417" s="116"/>
      <c r="BH417" s="124"/>
      <c r="BI417" s="124"/>
      <c r="BJ417" s="116"/>
      <c r="BK417" s="116"/>
      <c r="BL417" s="116"/>
      <c r="BM417" s="116"/>
      <c r="BN417" s="116"/>
      <c r="BO417" s="116"/>
      <c r="BP417" s="125"/>
      <c r="BQ417" s="116"/>
    </row>
    <row r="418">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c r="BC418" s="116"/>
      <c r="BD418" s="116"/>
      <c r="BE418" s="116"/>
      <c r="BF418" s="116"/>
      <c r="BG418" s="116"/>
      <c r="BH418" s="124"/>
      <c r="BI418" s="124"/>
      <c r="BJ418" s="116"/>
      <c r="BK418" s="116"/>
      <c r="BL418" s="116"/>
      <c r="BM418" s="116"/>
      <c r="BN418" s="116"/>
      <c r="BO418" s="116"/>
      <c r="BP418" s="125"/>
      <c r="BQ418" s="116"/>
    </row>
    <row r="419">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c r="BC419" s="116"/>
      <c r="BD419" s="116"/>
      <c r="BE419" s="116"/>
      <c r="BF419" s="116"/>
      <c r="BG419" s="116"/>
      <c r="BH419" s="124"/>
      <c r="BI419" s="124"/>
      <c r="BJ419" s="116"/>
      <c r="BK419" s="116"/>
      <c r="BL419" s="116"/>
      <c r="BM419" s="116"/>
      <c r="BN419" s="116"/>
      <c r="BO419" s="116"/>
      <c r="BP419" s="125"/>
      <c r="BQ419" s="116"/>
    </row>
    <row r="420">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c r="BC420" s="116"/>
      <c r="BD420" s="116"/>
      <c r="BE420" s="116"/>
      <c r="BF420" s="116"/>
      <c r="BG420" s="116"/>
      <c r="BH420" s="124"/>
      <c r="BI420" s="124"/>
      <c r="BJ420" s="116"/>
      <c r="BK420" s="116"/>
      <c r="BL420" s="116"/>
      <c r="BM420" s="116"/>
      <c r="BN420" s="116"/>
      <c r="BO420" s="116"/>
      <c r="BP420" s="125"/>
      <c r="BQ420" s="116"/>
    </row>
    <row r="42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c r="BC421" s="116"/>
      <c r="BD421" s="116"/>
      <c r="BE421" s="116"/>
      <c r="BF421" s="116"/>
      <c r="BG421" s="116"/>
      <c r="BH421" s="124"/>
      <c r="BI421" s="124"/>
      <c r="BJ421" s="116"/>
      <c r="BK421" s="116"/>
      <c r="BL421" s="116"/>
      <c r="BM421" s="116"/>
      <c r="BN421" s="116"/>
      <c r="BO421" s="116"/>
      <c r="BP421" s="125"/>
      <c r="BQ421" s="116"/>
    </row>
    <row r="422">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c r="BC422" s="116"/>
      <c r="BD422" s="116"/>
      <c r="BE422" s="116"/>
      <c r="BF422" s="116"/>
      <c r="BG422" s="116"/>
      <c r="BH422" s="124"/>
      <c r="BI422" s="124"/>
      <c r="BJ422" s="116"/>
      <c r="BK422" s="116"/>
      <c r="BL422" s="116"/>
      <c r="BM422" s="116"/>
      <c r="BN422" s="116"/>
      <c r="BO422" s="116"/>
      <c r="BP422" s="125"/>
      <c r="BQ422" s="116"/>
    </row>
    <row r="423">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c r="BC423" s="116"/>
      <c r="BD423" s="116"/>
      <c r="BE423" s="116"/>
      <c r="BF423" s="116"/>
      <c r="BG423" s="116"/>
      <c r="BH423" s="124"/>
      <c r="BI423" s="124"/>
      <c r="BJ423" s="116"/>
      <c r="BK423" s="116"/>
      <c r="BL423" s="116"/>
      <c r="BM423" s="116"/>
      <c r="BN423" s="116"/>
      <c r="BO423" s="116"/>
      <c r="BP423" s="125"/>
      <c r="BQ423" s="116"/>
    </row>
    <row r="424">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c r="BC424" s="116"/>
      <c r="BD424" s="116"/>
      <c r="BE424" s="116"/>
      <c r="BF424" s="116"/>
      <c r="BG424" s="116"/>
      <c r="BH424" s="124"/>
      <c r="BI424" s="124"/>
      <c r="BJ424" s="116"/>
      <c r="BK424" s="116"/>
      <c r="BL424" s="116"/>
      <c r="BM424" s="116"/>
      <c r="BN424" s="116"/>
      <c r="BO424" s="116"/>
      <c r="BP424" s="125"/>
      <c r="BQ424" s="116"/>
    </row>
    <row r="425">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c r="BC425" s="116"/>
      <c r="BD425" s="116"/>
      <c r="BE425" s="116"/>
      <c r="BF425" s="116"/>
      <c r="BG425" s="116"/>
      <c r="BH425" s="124"/>
      <c r="BI425" s="124"/>
      <c r="BJ425" s="116"/>
      <c r="BK425" s="116"/>
      <c r="BL425" s="116"/>
      <c r="BM425" s="116"/>
      <c r="BN425" s="116"/>
      <c r="BO425" s="116"/>
      <c r="BP425" s="125"/>
      <c r="BQ425" s="116"/>
    </row>
    <row r="426">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c r="BC426" s="116"/>
      <c r="BD426" s="116"/>
      <c r="BE426" s="116"/>
      <c r="BF426" s="116"/>
      <c r="BG426" s="116"/>
      <c r="BH426" s="124"/>
      <c r="BI426" s="124"/>
      <c r="BJ426" s="116"/>
      <c r="BK426" s="116"/>
      <c r="BL426" s="116"/>
      <c r="BM426" s="116"/>
      <c r="BN426" s="116"/>
      <c r="BO426" s="116"/>
      <c r="BP426" s="125"/>
      <c r="BQ426" s="116"/>
    </row>
    <row r="427">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c r="BC427" s="116"/>
      <c r="BD427" s="116"/>
      <c r="BE427" s="116"/>
      <c r="BF427" s="116"/>
      <c r="BG427" s="116"/>
      <c r="BH427" s="124"/>
      <c r="BI427" s="124"/>
      <c r="BJ427" s="116"/>
      <c r="BK427" s="116"/>
      <c r="BL427" s="116"/>
      <c r="BM427" s="116"/>
      <c r="BN427" s="116"/>
      <c r="BO427" s="116"/>
      <c r="BP427" s="125"/>
      <c r="BQ427" s="116"/>
    </row>
    <row r="428">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c r="BC428" s="116"/>
      <c r="BD428" s="116"/>
      <c r="BE428" s="116"/>
      <c r="BF428" s="116"/>
      <c r="BG428" s="116"/>
      <c r="BH428" s="124"/>
      <c r="BI428" s="124"/>
      <c r="BJ428" s="116"/>
      <c r="BK428" s="116"/>
      <c r="BL428" s="116"/>
      <c r="BM428" s="116"/>
      <c r="BN428" s="116"/>
      <c r="BO428" s="116"/>
      <c r="BP428" s="125"/>
      <c r="BQ428" s="116"/>
    </row>
    <row r="429">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c r="BC429" s="116"/>
      <c r="BD429" s="116"/>
      <c r="BE429" s="116"/>
      <c r="BF429" s="116"/>
      <c r="BG429" s="116"/>
      <c r="BH429" s="124"/>
      <c r="BI429" s="124"/>
      <c r="BJ429" s="116"/>
      <c r="BK429" s="116"/>
      <c r="BL429" s="116"/>
      <c r="BM429" s="116"/>
      <c r="BN429" s="116"/>
      <c r="BO429" s="116"/>
      <c r="BP429" s="125"/>
      <c r="BQ429" s="116"/>
    </row>
    <row r="430">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c r="BC430" s="116"/>
      <c r="BD430" s="116"/>
      <c r="BE430" s="116"/>
      <c r="BF430" s="116"/>
      <c r="BG430" s="116"/>
      <c r="BH430" s="124"/>
      <c r="BI430" s="124"/>
      <c r="BJ430" s="116"/>
      <c r="BK430" s="116"/>
      <c r="BL430" s="116"/>
      <c r="BM430" s="116"/>
      <c r="BN430" s="116"/>
      <c r="BO430" s="116"/>
      <c r="BP430" s="125"/>
      <c r="BQ430" s="116"/>
    </row>
    <row r="43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c r="BC431" s="116"/>
      <c r="BD431" s="116"/>
      <c r="BE431" s="116"/>
      <c r="BF431" s="116"/>
      <c r="BG431" s="116"/>
      <c r="BH431" s="124"/>
      <c r="BI431" s="124"/>
      <c r="BJ431" s="116"/>
      <c r="BK431" s="116"/>
      <c r="BL431" s="116"/>
      <c r="BM431" s="116"/>
      <c r="BN431" s="116"/>
      <c r="BO431" s="116"/>
      <c r="BP431" s="125"/>
      <c r="BQ431" s="116"/>
    </row>
    <row r="432">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c r="BC432" s="116"/>
      <c r="BD432" s="116"/>
      <c r="BE432" s="116"/>
      <c r="BF432" s="116"/>
      <c r="BG432" s="116"/>
      <c r="BH432" s="124"/>
      <c r="BI432" s="124"/>
      <c r="BJ432" s="116"/>
      <c r="BK432" s="116"/>
      <c r="BL432" s="116"/>
      <c r="BM432" s="116"/>
      <c r="BN432" s="116"/>
      <c r="BO432" s="116"/>
      <c r="BP432" s="125"/>
      <c r="BQ432" s="116"/>
    </row>
    <row r="433">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c r="BC433" s="116"/>
      <c r="BD433" s="116"/>
      <c r="BE433" s="116"/>
      <c r="BF433" s="116"/>
      <c r="BG433" s="116"/>
      <c r="BH433" s="124"/>
      <c r="BI433" s="124"/>
      <c r="BJ433" s="116"/>
      <c r="BK433" s="116"/>
      <c r="BL433" s="116"/>
      <c r="BM433" s="116"/>
      <c r="BN433" s="116"/>
      <c r="BO433" s="116"/>
      <c r="BP433" s="125"/>
      <c r="BQ433" s="116"/>
    </row>
    <row r="434">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c r="BC434" s="116"/>
      <c r="BD434" s="116"/>
      <c r="BE434" s="116"/>
      <c r="BF434" s="116"/>
      <c r="BG434" s="116"/>
      <c r="BH434" s="124"/>
      <c r="BI434" s="124"/>
      <c r="BJ434" s="116"/>
      <c r="BK434" s="116"/>
      <c r="BL434" s="116"/>
      <c r="BM434" s="116"/>
      <c r="BN434" s="116"/>
      <c r="BO434" s="116"/>
      <c r="BP434" s="125"/>
      <c r="BQ434" s="116"/>
    </row>
    <row r="435">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c r="BC435" s="116"/>
      <c r="BD435" s="116"/>
      <c r="BE435" s="116"/>
      <c r="BF435" s="116"/>
      <c r="BG435" s="116"/>
      <c r="BH435" s="124"/>
      <c r="BI435" s="124"/>
      <c r="BJ435" s="116"/>
      <c r="BK435" s="116"/>
      <c r="BL435" s="116"/>
      <c r="BM435" s="116"/>
      <c r="BN435" s="116"/>
      <c r="BO435" s="116"/>
      <c r="BP435" s="125"/>
      <c r="BQ435" s="116"/>
    </row>
    <row r="436">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c r="BC436" s="116"/>
      <c r="BD436" s="116"/>
      <c r="BE436" s="116"/>
      <c r="BF436" s="116"/>
      <c r="BG436" s="116"/>
      <c r="BH436" s="124"/>
      <c r="BI436" s="124"/>
      <c r="BJ436" s="116"/>
      <c r="BK436" s="116"/>
      <c r="BL436" s="116"/>
      <c r="BM436" s="116"/>
      <c r="BN436" s="116"/>
      <c r="BO436" s="116"/>
      <c r="BP436" s="125"/>
      <c r="BQ436" s="116"/>
    </row>
    <row r="437">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c r="BC437" s="116"/>
      <c r="BD437" s="116"/>
      <c r="BE437" s="116"/>
      <c r="BF437" s="116"/>
      <c r="BG437" s="116"/>
      <c r="BH437" s="124"/>
      <c r="BI437" s="124"/>
      <c r="BJ437" s="116"/>
      <c r="BK437" s="116"/>
      <c r="BL437" s="116"/>
      <c r="BM437" s="116"/>
      <c r="BN437" s="116"/>
      <c r="BO437" s="116"/>
      <c r="BP437" s="125"/>
      <c r="BQ437" s="116"/>
    </row>
    <row r="438">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c r="BC438" s="116"/>
      <c r="BD438" s="116"/>
      <c r="BE438" s="116"/>
      <c r="BF438" s="116"/>
      <c r="BG438" s="116"/>
      <c r="BH438" s="124"/>
      <c r="BI438" s="124"/>
      <c r="BJ438" s="116"/>
      <c r="BK438" s="116"/>
      <c r="BL438" s="116"/>
      <c r="BM438" s="116"/>
      <c r="BN438" s="116"/>
      <c r="BO438" s="116"/>
      <c r="BP438" s="125"/>
      <c r="BQ438" s="116"/>
    </row>
    <row r="439">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c r="BC439" s="116"/>
      <c r="BD439" s="116"/>
      <c r="BE439" s="116"/>
      <c r="BF439" s="116"/>
      <c r="BG439" s="116"/>
      <c r="BH439" s="124"/>
      <c r="BI439" s="124"/>
      <c r="BJ439" s="116"/>
      <c r="BK439" s="116"/>
      <c r="BL439" s="116"/>
      <c r="BM439" s="116"/>
      <c r="BN439" s="116"/>
      <c r="BO439" s="116"/>
      <c r="BP439" s="125"/>
      <c r="BQ439" s="116"/>
    </row>
    <row r="440">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c r="BC440" s="116"/>
      <c r="BD440" s="116"/>
      <c r="BE440" s="116"/>
      <c r="BF440" s="116"/>
      <c r="BG440" s="116"/>
      <c r="BH440" s="124"/>
      <c r="BI440" s="124"/>
      <c r="BJ440" s="116"/>
      <c r="BK440" s="116"/>
      <c r="BL440" s="116"/>
      <c r="BM440" s="116"/>
      <c r="BN440" s="116"/>
      <c r="BO440" s="116"/>
      <c r="BP440" s="125"/>
      <c r="BQ440" s="116"/>
    </row>
    <row r="44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c r="BC441" s="116"/>
      <c r="BD441" s="116"/>
      <c r="BE441" s="116"/>
      <c r="BF441" s="116"/>
      <c r="BG441" s="116"/>
      <c r="BH441" s="124"/>
      <c r="BI441" s="124"/>
      <c r="BJ441" s="116"/>
      <c r="BK441" s="116"/>
      <c r="BL441" s="116"/>
      <c r="BM441" s="116"/>
      <c r="BN441" s="116"/>
      <c r="BO441" s="116"/>
      <c r="BP441" s="125"/>
      <c r="BQ441" s="116"/>
    </row>
    <row r="442">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c r="BC442" s="116"/>
      <c r="BD442" s="116"/>
      <c r="BE442" s="116"/>
      <c r="BF442" s="116"/>
      <c r="BG442" s="116"/>
      <c r="BH442" s="124"/>
      <c r="BI442" s="124"/>
      <c r="BJ442" s="116"/>
      <c r="BK442" s="116"/>
      <c r="BL442" s="116"/>
      <c r="BM442" s="116"/>
      <c r="BN442" s="116"/>
      <c r="BO442" s="116"/>
      <c r="BP442" s="125"/>
      <c r="BQ442" s="116"/>
    </row>
    <row r="443">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c r="BC443" s="116"/>
      <c r="BD443" s="116"/>
      <c r="BE443" s="116"/>
      <c r="BF443" s="116"/>
      <c r="BG443" s="116"/>
      <c r="BH443" s="124"/>
      <c r="BI443" s="124"/>
      <c r="BJ443" s="116"/>
      <c r="BK443" s="116"/>
      <c r="BL443" s="116"/>
      <c r="BM443" s="116"/>
      <c r="BN443" s="116"/>
      <c r="BO443" s="116"/>
      <c r="BP443" s="125"/>
      <c r="BQ443" s="116"/>
    </row>
    <row r="444">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c r="BC444" s="116"/>
      <c r="BD444" s="116"/>
      <c r="BE444" s="116"/>
      <c r="BF444" s="116"/>
      <c r="BG444" s="116"/>
      <c r="BH444" s="124"/>
      <c r="BI444" s="124"/>
      <c r="BJ444" s="116"/>
      <c r="BK444" s="116"/>
      <c r="BL444" s="116"/>
      <c r="BM444" s="116"/>
      <c r="BN444" s="116"/>
      <c r="BO444" s="116"/>
      <c r="BP444" s="125"/>
      <c r="BQ444" s="116"/>
    </row>
    <row r="445">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c r="BC445" s="116"/>
      <c r="BD445" s="116"/>
      <c r="BE445" s="116"/>
      <c r="BF445" s="116"/>
      <c r="BG445" s="116"/>
      <c r="BH445" s="124"/>
      <c r="BI445" s="124"/>
      <c r="BJ445" s="116"/>
      <c r="BK445" s="116"/>
      <c r="BL445" s="116"/>
      <c r="BM445" s="116"/>
      <c r="BN445" s="116"/>
      <c r="BO445" s="116"/>
      <c r="BP445" s="125"/>
      <c r="BQ445" s="116"/>
    </row>
    <row r="446">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c r="BC446" s="116"/>
      <c r="BD446" s="116"/>
      <c r="BE446" s="116"/>
      <c r="BF446" s="116"/>
      <c r="BG446" s="116"/>
      <c r="BH446" s="124"/>
      <c r="BI446" s="124"/>
      <c r="BJ446" s="116"/>
      <c r="BK446" s="116"/>
      <c r="BL446" s="116"/>
      <c r="BM446" s="116"/>
      <c r="BN446" s="116"/>
      <c r="BO446" s="116"/>
      <c r="BP446" s="125"/>
      <c r="BQ446" s="116"/>
    </row>
    <row r="447">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c r="BC447" s="116"/>
      <c r="BD447" s="116"/>
      <c r="BE447" s="116"/>
      <c r="BF447" s="116"/>
      <c r="BG447" s="116"/>
      <c r="BH447" s="124"/>
      <c r="BI447" s="124"/>
      <c r="BJ447" s="116"/>
      <c r="BK447" s="116"/>
      <c r="BL447" s="116"/>
      <c r="BM447" s="116"/>
      <c r="BN447" s="116"/>
      <c r="BO447" s="116"/>
      <c r="BP447" s="125"/>
      <c r="BQ447" s="116"/>
    </row>
    <row r="448">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c r="BC448" s="116"/>
      <c r="BD448" s="116"/>
      <c r="BE448" s="116"/>
      <c r="BF448" s="116"/>
      <c r="BG448" s="116"/>
      <c r="BH448" s="124"/>
      <c r="BI448" s="124"/>
      <c r="BJ448" s="116"/>
      <c r="BK448" s="116"/>
      <c r="BL448" s="116"/>
      <c r="BM448" s="116"/>
      <c r="BN448" s="116"/>
      <c r="BO448" s="116"/>
      <c r="BP448" s="125"/>
      <c r="BQ448" s="116"/>
    </row>
    <row r="449">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16"/>
      <c r="AV449" s="116"/>
      <c r="AW449" s="116"/>
      <c r="AX449" s="116"/>
      <c r="AY449" s="116"/>
      <c r="AZ449" s="116"/>
      <c r="BA449" s="116"/>
      <c r="BB449" s="116"/>
      <c r="BC449" s="116"/>
      <c r="BD449" s="116"/>
      <c r="BE449" s="116"/>
      <c r="BF449" s="116"/>
      <c r="BG449" s="116"/>
      <c r="BH449" s="124"/>
      <c r="BI449" s="124"/>
      <c r="BJ449" s="116"/>
      <c r="BK449" s="116"/>
      <c r="BL449" s="116"/>
      <c r="BM449" s="116"/>
      <c r="BN449" s="116"/>
      <c r="BO449" s="116"/>
      <c r="BP449" s="125"/>
      <c r="BQ449" s="116"/>
    </row>
    <row r="450">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c r="BC450" s="116"/>
      <c r="BD450" s="116"/>
      <c r="BE450" s="116"/>
      <c r="BF450" s="116"/>
      <c r="BG450" s="116"/>
      <c r="BH450" s="124"/>
      <c r="BI450" s="124"/>
      <c r="BJ450" s="116"/>
      <c r="BK450" s="116"/>
      <c r="BL450" s="116"/>
      <c r="BM450" s="116"/>
      <c r="BN450" s="116"/>
      <c r="BO450" s="116"/>
      <c r="BP450" s="125"/>
      <c r="BQ450" s="116"/>
    </row>
    <row r="45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16"/>
      <c r="AV451" s="116"/>
      <c r="AW451" s="116"/>
      <c r="AX451" s="116"/>
      <c r="AY451" s="116"/>
      <c r="AZ451" s="116"/>
      <c r="BA451" s="116"/>
      <c r="BB451" s="116"/>
      <c r="BC451" s="116"/>
      <c r="BD451" s="116"/>
      <c r="BE451" s="116"/>
      <c r="BF451" s="116"/>
      <c r="BG451" s="116"/>
      <c r="BH451" s="124"/>
      <c r="BI451" s="124"/>
      <c r="BJ451" s="116"/>
      <c r="BK451" s="116"/>
      <c r="BL451" s="116"/>
      <c r="BM451" s="116"/>
      <c r="BN451" s="116"/>
      <c r="BO451" s="116"/>
      <c r="BP451" s="125"/>
      <c r="BQ451" s="116"/>
    </row>
    <row r="452">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c r="BC452" s="116"/>
      <c r="BD452" s="116"/>
      <c r="BE452" s="116"/>
      <c r="BF452" s="116"/>
      <c r="BG452" s="116"/>
      <c r="BH452" s="124"/>
      <c r="BI452" s="124"/>
      <c r="BJ452" s="116"/>
      <c r="BK452" s="116"/>
      <c r="BL452" s="116"/>
      <c r="BM452" s="116"/>
      <c r="BN452" s="116"/>
      <c r="BO452" s="116"/>
      <c r="BP452" s="125"/>
      <c r="BQ452" s="116"/>
    </row>
    <row r="453">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c r="BC453" s="116"/>
      <c r="BD453" s="116"/>
      <c r="BE453" s="116"/>
      <c r="BF453" s="116"/>
      <c r="BG453" s="116"/>
      <c r="BH453" s="124"/>
      <c r="BI453" s="124"/>
      <c r="BJ453" s="116"/>
      <c r="BK453" s="116"/>
      <c r="BL453" s="116"/>
      <c r="BM453" s="116"/>
      <c r="BN453" s="116"/>
      <c r="BO453" s="116"/>
      <c r="BP453" s="125"/>
      <c r="BQ453" s="116"/>
    </row>
    <row r="454">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c r="AT454" s="116"/>
      <c r="AU454" s="116"/>
      <c r="AV454" s="116"/>
      <c r="AW454" s="116"/>
      <c r="AX454" s="116"/>
      <c r="AY454" s="116"/>
      <c r="AZ454" s="116"/>
      <c r="BA454" s="116"/>
      <c r="BB454" s="116"/>
      <c r="BC454" s="116"/>
      <c r="BD454" s="116"/>
      <c r="BE454" s="116"/>
      <c r="BF454" s="116"/>
      <c r="BG454" s="116"/>
      <c r="BH454" s="124"/>
      <c r="BI454" s="124"/>
      <c r="BJ454" s="116"/>
      <c r="BK454" s="116"/>
      <c r="BL454" s="116"/>
      <c r="BM454" s="116"/>
      <c r="BN454" s="116"/>
      <c r="BO454" s="116"/>
      <c r="BP454" s="125"/>
      <c r="BQ454" s="116"/>
    </row>
    <row r="455">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c r="BC455" s="116"/>
      <c r="BD455" s="116"/>
      <c r="BE455" s="116"/>
      <c r="BF455" s="116"/>
      <c r="BG455" s="116"/>
      <c r="BH455" s="124"/>
      <c r="BI455" s="124"/>
      <c r="BJ455" s="116"/>
      <c r="BK455" s="116"/>
      <c r="BL455" s="116"/>
      <c r="BM455" s="116"/>
      <c r="BN455" s="116"/>
      <c r="BO455" s="116"/>
      <c r="BP455" s="125"/>
      <c r="BQ455" s="116"/>
    </row>
    <row r="456">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16"/>
      <c r="AV456" s="116"/>
      <c r="AW456" s="116"/>
      <c r="AX456" s="116"/>
      <c r="AY456" s="116"/>
      <c r="AZ456" s="116"/>
      <c r="BA456" s="116"/>
      <c r="BB456" s="116"/>
      <c r="BC456" s="116"/>
      <c r="BD456" s="116"/>
      <c r="BE456" s="116"/>
      <c r="BF456" s="116"/>
      <c r="BG456" s="116"/>
      <c r="BH456" s="124"/>
      <c r="BI456" s="124"/>
      <c r="BJ456" s="116"/>
      <c r="BK456" s="116"/>
      <c r="BL456" s="116"/>
      <c r="BM456" s="116"/>
      <c r="BN456" s="116"/>
      <c r="BO456" s="116"/>
      <c r="BP456" s="125"/>
      <c r="BQ456" s="116"/>
    </row>
    <row r="457">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16"/>
      <c r="AV457" s="116"/>
      <c r="AW457" s="116"/>
      <c r="AX457" s="116"/>
      <c r="AY457" s="116"/>
      <c r="AZ457" s="116"/>
      <c r="BA457" s="116"/>
      <c r="BB457" s="116"/>
      <c r="BC457" s="116"/>
      <c r="BD457" s="116"/>
      <c r="BE457" s="116"/>
      <c r="BF457" s="116"/>
      <c r="BG457" s="116"/>
      <c r="BH457" s="124"/>
      <c r="BI457" s="124"/>
      <c r="BJ457" s="116"/>
      <c r="BK457" s="116"/>
      <c r="BL457" s="116"/>
      <c r="BM457" s="116"/>
      <c r="BN457" s="116"/>
      <c r="BO457" s="116"/>
      <c r="BP457" s="125"/>
      <c r="BQ457" s="116"/>
    </row>
    <row r="458">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c r="BC458" s="116"/>
      <c r="BD458" s="116"/>
      <c r="BE458" s="116"/>
      <c r="BF458" s="116"/>
      <c r="BG458" s="116"/>
      <c r="BH458" s="124"/>
      <c r="BI458" s="124"/>
      <c r="BJ458" s="116"/>
      <c r="BK458" s="116"/>
      <c r="BL458" s="116"/>
      <c r="BM458" s="116"/>
      <c r="BN458" s="116"/>
      <c r="BO458" s="116"/>
      <c r="BP458" s="125"/>
      <c r="BQ458" s="116"/>
    </row>
    <row r="459">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16"/>
      <c r="AV459" s="116"/>
      <c r="AW459" s="116"/>
      <c r="AX459" s="116"/>
      <c r="AY459" s="116"/>
      <c r="AZ459" s="116"/>
      <c r="BA459" s="116"/>
      <c r="BB459" s="116"/>
      <c r="BC459" s="116"/>
      <c r="BD459" s="116"/>
      <c r="BE459" s="116"/>
      <c r="BF459" s="116"/>
      <c r="BG459" s="116"/>
      <c r="BH459" s="124"/>
      <c r="BI459" s="124"/>
      <c r="BJ459" s="116"/>
      <c r="BK459" s="116"/>
      <c r="BL459" s="116"/>
      <c r="BM459" s="116"/>
      <c r="BN459" s="116"/>
      <c r="BO459" s="116"/>
      <c r="BP459" s="125"/>
      <c r="BQ459" s="116"/>
    </row>
    <row r="460">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16"/>
      <c r="AV460" s="116"/>
      <c r="AW460" s="116"/>
      <c r="AX460" s="116"/>
      <c r="AY460" s="116"/>
      <c r="AZ460" s="116"/>
      <c r="BA460" s="116"/>
      <c r="BB460" s="116"/>
      <c r="BC460" s="116"/>
      <c r="BD460" s="116"/>
      <c r="BE460" s="116"/>
      <c r="BF460" s="116"/>
      <c r="BG460" s="116"/>
      <c r="BH460" s="124"/>
      <c r="BI460" s="124"/>
      <c r="BJ460" s="116"/>
      <c r="BK460" s="116"/>
      <c r="BL460" s="116"/>
      <c r="BM460" s="116"/>
      <c r="BN460" s="116"/>
      <c r="BO460" s="116"/>
      <c r="BP460" s="125"/>
      <c r="BQ460" s="116"/>
    </row>
    <row r="46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c r="BC461" s="116"/>
      <c r="BD461" s="116"/>
      <c r="BE461" s="116"/>
      <c r="BF461" s="116"/>
      <c r="BG461" s="116"/>
      <c r="BH461" s="124"/>
      <c r="BI461" s="124"/>
      <c r="BJ461" s="116"/>
      <c r="BK461" s="116"/>
      <c r="BL461" s="116"/>
      <c r="BM461" s="116"/>
      <c r="BN461" s="116"/>
      <c r="BO461" s="116"/>
      <c r="BP461" s="125"/>
      <c r="BQ461" s="116"/>
    </row>
    <row r="462">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16"/>
      <c r="AV462" s="116"/>
      <c r="AW462" s="116"/>
      <c r="AX462" s="116"/>
      <c r="AY462" s="116"/>
      <c r="AZ462" s="116"/>
      <c r="BA462" s="116"/>
      <c r="BB462" s="116"/>
      <c r="BC462" s="116"/>
      <c r="BD462" s="116"/>
      <c r="BE462" s="116"/>
      <c r="BF462" s="116"/>
      <c r="BG462" s="116"/>
      <c r="BH462" s="124"/>
      <c r="BI462" s="124"/>
      <c r="BJ462" s="116"/>
      <c r="BK462" s="116"/>
      <c r="BL462" s="116"/>
      <c r="BM462" s="116"/>
      <c r="BN462" s="116"/>
      <c r="BO462" s="116"/>
      <c r="BP462" s="125"/>
      <c r="BQ462" s="116"/>
    </row>
    <row r="463">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c r="BC463" s="116"/>
      <c r="BD463" s="116"/>
      <c r="BE463" s="116"/>
      <c r="BF463" s="116"/>
      <c r="BG463" s="116"/>
      <c r="BH463" s="124"/>
      <c r="BI463" s="124"/>
      <c r="BJ463" s="116"/>
      <c r="BK463" s="116"/>
      <c r="BL463" s="116"/>
      <c r="BM463" s="116"/>
      <c r="BN463" s="116"/>
      <c r="BO463" s="116"/>
      <c r="BP463" s="125"/>
      <c r="BQ463" s="116"/>
    </row>
    <row r="464">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c r="BC464" s="116"/>
      <c r="BD464" s="116"/>
      <c r="BE464" s="116"/>
      <c r="BF464" s="116"/>
      <c r="BG464" s="116"/>
      <c r="BH464" s="124"/>
      <c r="BI464" s="124"/>
      <c r="BJ464" s="116"/>
      <c r="BK464" s="116"/>
      <c r="BL464" s="116"/>
      <c r="BM464" s="116"/>
      <c r="BN464" s="116"/>
      <c r="BO464" s="116"/>
      <c r="BP464" s="125"/>
      <c r="BQ464" s="116"/>
    </row>
    <row r="465">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16"/>
      <c r="AV465" s="116"/>
      <c r="AW465" s="116"/>
      <c r="AX465" s="116"/>
      <c r="AY465" s="116"/>
      <c r="AZ465" s="116"/>
      <c r="BA465" s="116"/>
      <c r="BB465" s="116"/>
      <c r="BC465" s="116"/>
      <c r="BD465" s="116"/>
      <c r="BE465" s="116"/>
      <c r="BF465" s="116"/>
      <c r="BG465" s="116"/>
      <c r="BH465" s="124"/>
      <c r="BI465" s="124"/>
      <c r="BJ465" s="116"/>
      <c r="BK465" s="116"/>
      <c r="BL465" s="116"/>
      <c r="BM465" s="116"/>
      <c r="BN465" s="116"/>
      <c r="BO465" s="116"/>
      <c r="BP465" s="125"/>
      <c r="BQ465" s="116"/>
    </row>
    <row r="466">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16"/>
      <c r="AV466" s="116"/>
      <c r="AW466" s="116"/>
      <c r="AX466" s="116"/>
      <c r="AY466" s="116"/>
      <c r="AZ466" s="116"/>
      <c r="BA466" s="116"/>
      <c r="BB466" s="116"/>
      <c r="BC466" s="116"/>
      <c r="BD466" s="116"/>
      <c r="BE466" s="116"/>
      <c r="BF466" s="116"/>
      <c r="BG466" s="116"/>
      <c r="BH466" s="124"/>
      <c r="BI466" s="124"/>
      <c r="BJ466" s="116"/>
      <c r="BK466" s="116"/>
      <c r="BL466" s="116"/>
      <c r="BM466" s="116"/>
      <c r="BN466" s="116"/>
      <c r="BO466" s="116"/>
      <c r="BP466" s="125"/>
      <c r="BQ466" s="116"/>
    </row>
    <row r="467">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c r="BC467" s="116"/>
      <c r="BD467" s="116"/>
      <c r="BE467" s="116"/>
      <c r="BF467" s="116"/>
      <c r="BG467" s="116"/>
      <c r="BH467" s="124"/>
      <c r="BI467" s="124"/>
      <c r="BJ467" s="116"/>
      <c r="BK467" s="116"/>
      <c r="BL467" s="116"/>
      <c r="BM467" s="116"/>
      <c r="BN467" s="116"/>
      <c r="BO467" s="116"/>
      <c r="BP467" s="125"/>
      <c r="BQ467" s="116"/>
    </row>
    <row r="468">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c r="BC468" s="116"/>
      <c r="BD468" s="116"/>
      <c r="BE468" s="116"/>
      <c r="BF468" s="116"/>
      <c r="BG468" s="116"/>
      <c r="BH468" s="124"/>
      <c r="BI468" s="124"/>
      <c r="BJ468" s="116"/>
      <c r="BK468" s="116"/>
      <c r="BL468" s="116"/>
      <c r="BM468" s="116"/>
      <c r="BN468" s="116"/>
      <c r="BO468" s="116"/>
      <c r="BP468" s="125"/>
      <c r="BQ468" s="116"/>
    </row>
    <row r="469">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16"/>
      <c r="AV469" s="116"/>
      <c r="AW469" s="116"/>
      <c r="AX469" s="116"/>
      <c r="AY469" s="116"/>
      <c r="AZ469" s="116"/>
      <c r="BA469" s="116"/>
      <c r="BB469" s="116"/>
      <c r="BC469" s="116"/>
      <c r="BD469" s="116"/>
      <c r="BE469" s="116"/>
      <c r="BF469" s="116"/>
      <c r="BG469" s="116"/>
      <c r="BH469" s="124"/>
      <c r="BI469" s="124"/>
      <c r="BJ469" s="116"/>
      <c r="BK469" s="116"/>
      <c r="BL469" s="116"/>
      <c r="BM469" s="116"/>
      <c r="BN469" s="116"/>
      <c r="BO469" s="116"/>
      <c r="BP469" s="125"/>
      <c r="BQ469" s="116"/>
    </row>
    <row r="470">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c r="BC470" s="116"/>
      <c r="BD470" s="116"/>
      <c r="BE470" s="116"/>
      <c r="BF470" s="116"/>
      <c r="BG470" s="116"/>
      <c r="BH470" s="124"/>
      <c r="BI470" s="124"/>
      <c r="BJ470" s="116"/>
      <c r="BK470" s="116"/>
      <c r="BL470" s="116"/>
      <c r="BM470" s="116"/>
      <c r="BN470" s="116"/>
      <c r="BO470" s="116"/>
      <c r="BP470" s="125"/>
      <c r="BQ470" s="116"/>
    </row>
    <row r="47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16"/>
      <c r="AV471" s="116"/>
      <c r="AW471" s="116"/>
      <c r="AX471" s="116"/>
      <c r="AY471" s="116"/>
      <c r="AZ471" s="116"/>
      <c r="BA471" s="116"/>
      <c r="BB471" s="116"/>
      <c r="BC471" s="116"/>
      <c r="BD471" s="116"/>
      <c r="BE471" s="116"/>
      <c r="BF471" s="116"/>
      <c r="BG471" s="116"/>
      <c r="BH471" s="124"/>
      <c r="BI471" s="124"/>
      <c r="BJ471" s="116"/>
      <c r="BK471" s="116"/>
      <c r="BL471" s="116"/>
      <c r="BM471" s="116"/>
      <c r="BN471" s="116"/>
      <c r="BO471" s="116"/>
      <c r="BP471" s="125"/>
      <c r="BQ471" s="116"/>
    </row>
    <row r="472">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16"/>
      <c r="AV472" s="116"/>
      <c r="AW472" s="116"/>
      <c r="AX472" s="116"/>
      <c r="AY472" s="116"/>
      <c r="AZ472" s="116"/>
      <c r="BA472" s="116"/>
      <c r="BB472" s="116"/>
      <c r="BC472" s="116"/>
      <c r="BD472" s="116"/>
      <c r="BE472" s="116"/>
      <c r="BF472" s="116"/>
      <c r="BG472" s="116"/>
      <c r="BH472" s="124"/>
      <c r="BI472" s="124"/>
      <c r="BJ472" s="116"/>
      <c r="BK472" s="116"/>
      <c r="BL472" s="116"/>
      <c r="BM472" s="116"/>
      <c r="BN472" s="116"/>
      <c r="BO472" s="116"/>
      <c r="BP472" s="125"/>
      <c r="BQ472" s="116"/>
    </row>
    <row r="473">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c r="BC473" s="116"/>
      <c r="BD473" s="116"/>
      <c r="BE473" s="116"/>
      <c r="BF473" s="116"/>
      <c r="BG473" s="116"/>
      <c r="BH473" s="124"/>
      <c r="BI473" s="124"/>
      <c r="BJ473" s="116"/>
      <c r="BK473" s="116"/>
      <c r="BL473" s="116"/>
      <c r="BM473" s="116"/>
      <c r="BN473" s="116"/>
      <c r="BO473" s="116"/>
      <c r="BP473" s="125"/>
      <c r="BQ473" s="116"/>
    </row>
    <row r="474">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c r="AZ474" s="116"/>
      <c r="BA474" s="116"/>
      <c r="BB474" s="116"/>
      <c r="BC474" s="116"/>
      <c r="BD474" s="116"/>
      <c r="BE474" s="116"/>
      <c r="BF474" s="116"/>
      <c r="BG474" s="116"/>
      <c r="BH474" s="124"/>
      <c r="BI474" s="124"/>
      <c r="BJ474" s="116"/>
      <c r="BK474" s="116"/>
      <c r="BL474" s="116"/>
      <c r="BM474" s="116"/>
      <c r="BN474" s="116"/>
      <c r="BO474" s="116"/>
      <c r="BP474" s="125"/>
      <c r="BQ474" s="116"/>
    </row>
    <row r="475">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c r="BC475" s="116"/>
      <c r="BD475" s="116"/>
      <c r="BE475" s="116"/>
      <c r="BF475" s="116"/>
      <c r="BG475" s="116"/>
      <c r="BH475" s="124"/>
      <c r="BI475" s="124"/>
      <c r="BJ475" s="116"/>
      <c r="BK475" s="116"/>
      <c r="BL475" s="116"/>
      <c r="BM475" s="116"/>
      <c r="BN475" s="116"/>
      <c r="BO475" s="116"/>
      <c r="BP475" s="125"/>
      <c r="BQ475" s="116"/>
    </row>
    <row r="476">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c r="BC476" s="116"/>
      <c r="BD476" s="116"/>
      <c r="BE476" s="116"/>
      <c r="BF476" s="116"/>
      <c r="BG476" s="116"/>
      <c r="BH476" s="124"/>
      <c r="BI476" s="124"/>
      <c r="BJ476" s="116"/>
      <c r="BK476" s="116"/>
      <c r="BL476" s="116"/>
      <c r="BM476" s="116"/>
      <c r="BN476" s="116"/>
      <c r="BO476" s="116"/>
      <c r="BP476" s="125"/>
      <c r="BQ476" s="116"/>
    </row>
    <row r="477">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16"/>
      <c r="AV477" s="116"/>
      <c r="AW477" s="116"/>
      <c r="AX477" s="116"/>
      <c r="AY477" s="116"/>
      <c r="AZ477" s="116"/>
      <c r="BA477" s="116"/>
      <c r="BB477" s="116"/>
      <c r="BC477" s="116"/>
      <c r="BD477" s="116"/>
      <c r="BE477" s="116"/>
      <c r="BF477" s="116"/>
      <c r="BG477" s="116"/>
      <c r="BH477" s="124"/>
      <c r="BI477" s="124"/>
      <c r="BJ477" s="116"/>
      <c r="BK477" s="116"/>
      <c r="BL477" s="116"/>
      <c r="BM477" s="116"/>
      <c r="BN477" s="116"/>
      <c r="BO477" s="116"/>
      <c r="BP477" s="125"/>
      <c r="BQ477" s="116"/>
    </row>
    <row r="478">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16"/>
      <c r="AV478" s="116"/>
      <c r="AW478" s="116"/>
      <c r="AX478" s="116"/>
      <c r="AY478" s="116"/>
      <c r="AZ478" s="116"/>
      <c r="BA478" s="116"/>
      <c r="BB478" s="116"/>
      <c r="BC478" s="116"/>
      <c r="BD478" s="116"/>
      <c r="BE478" s="116"/>
      <c r="BF478" s="116"/>
      <c r="BG478" s="116"/>
      <c r="BH478" s="124"/>
      <c r="BI478" s="124"/>
      <c r="BJ478" s="116"/>
      <c r="BK478" s="116"/>
      <c r="BL478" s="116"/>
      <c r="BM478" s="116"/>
      <c r="BN478" s="116"/>
      <c r="BO478" s="116"/>
      <c r="BP478" s="125"/>
      <c r="BQ478" s="116"/>
    </row>
    <row r="479">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c r="BC479" s="116"/>
      <c r="BD479" s="116"/>
      <c r="BE479" s="116"/>
      <c r="BF479" s="116"/>
      <c r="BG479" s="116"/>
      <c r="BH479" s="124"/>
      <c r="BI479" s="124"/>
      <c r="BJ479" s="116"/>
      <c r="BK479" s="116"/>
      <c r="BL479" s="116"/>
      <c r="BM479" s="116"/>
      <c r="BN479" s="116"/>
      <c r="BO479" s="116"/>
      <c r="BP479" s="125"/>
      <c r="BQ479" s="116"/>
    </row>
    <row r="480">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16"/>
      <c r="AV480" s="116"/>
      <c r="AW480" s="116"/>
      <c r="AX480" s="116"/>
      <c r="AY480" s="116"/>
      <c r="AZ480" s="116"/>
      <c r="BA480" s="116"/>
      <c r="BB480" s="116"/>
      <c r="BC480" s="116"/>
      <c r="BD480" s="116"/>
      <c r="BE480" s="116"/>
      <c r="BF480" s="116"/>
      <c r="BG480" s="116"/>
      <c r="BH480" s="124"/>
      <c r="BI480" s="124"/>
      <c r="BJ480" s="116"/>
      <c r="BK480" s="116"/>
      <c r="BL480" s="116"/>
      <c r="BM480" s="116"/>
      <c r="BN480" s="116"/>
      <c r="BO480" s="116"/>
      <c r="BP480" s="125"/>
      <c r="BQ480" s="116"/>
    </row>
    <row r="48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16"/>
      <c r="AV481" s="116"/>
      <c r="AW481" s="116"/>
      <c r="AX481" s="116"/>
      <c r="AY481" s="116"/>
      <c r="AZ481" s="116"/>
      <c r="BA481" s="116"/>
      <c r="BB481" s="116"/>
      <c r="BC481" s="116"/>
      <c r="BD481" s="116"/>
      <c r="BE481" s="116"/>
      <c r="BF481" s="116"/>
      <c r="BG481" s="116"/>
      <c r="BH481" s="124"/>
      <c r="BI481" s="124"/>
      <c r="BJ481" s="116"/>
      <c r="BK481" s="116"/>
      <c r="BL481" s="116"/>
      <c r="BM481" s="116"/>
      <c r="BN481" s="116"/>
      <c r="BO481" s="116"/>
      <c r="BP481" s="125"/>
      <c r="BQ481" s="116"/>
    </row>
    <row r="482">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c r="BC482" s="116"/>
      <c r="BD482" s="116"/>
      <c r="BE482" s="116"/>
      <c r="BF482" s="116"/>
      <c r="BG482" s="116"/>
      <c r="BH482" s="124"/>
      <c r="BI482" s="124"/>
      <c r="BJ482" s="116"/>
      <c r="BK482" s="116"/>
      <c r="BL482" s="116"/>
      <c r="BM482" s="116"/>
      <c r="BN482" s="116"/>
      <c r="BO482" s="116"/>
      <c r="BP482" s="125"/>
      <c r="BQ482" s="116"/>
    </row>
    <row r="483">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16"/>
      <c r="AV483" s="116"/>
      <c r="AW483" s="116"/>
      <c r="AX483" s="116"/>
      <c r="AY483" s="116"/>
      <c r="AZ483" s="116"/>
      <c r="BA483" s="116"/>
      <c r="BB483" s="116"/>
      <c r="BC483" s="116"/>
      <c r="BD483" s="116"/>
      <c r="BE483" s="116"/>
      <c r="BF483" s="116"/>
      <c r="BG483" s="116"/>
      <c r="BH483" s="124"/>
      <c r="BI483" s="124"/>
      <c r="BJ483" s="116"/>
      <c r="BK483" s="116"/>
      <c r="BL483" s="116"/>
      <c r="BM483" s="116"/>
      <c r="BN483" s="116"/>
      <c r="BO483" s="116"/>
      <c r="BP483" s="125"/>
      <c r="BQ483" s="116"/>
    </row>
    <row r="484">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c r="BC484" s="116"/>
      <c r="BD484" s="116"/>
      <c r="BE484" s="116"/>
      <c r="BF484" s="116"/>
      <c r="BG484" s="116"/>
      <c r="BH484" s="124"/>
      <c r="BI484" s="124"/>
      <c r="BJ484" s="116"/>
      <c r="BK484" s="116"/>
      <c r="BL484" s="116"/>
      <c r="BM484" s="116"/>
      <c r="BN484" s="116"/>
      <c r="BO484" s="116"/>
      <c r="BP484" s="125"/>
      <c r="BQ484" s="116"/>
    </row>
    <row r="485">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16"/>
      <c r="AV485" s="116"/>
      <c r="AW485" s="116"/>
      <c r="AX485" s="116"/>
      <c r="AY485" s="116"/>
      <c r="AZ485" s="116"/>
      <c r="BA485" s="116"/>
      <c r="BB485" s="116"/>
      <c r="BC485" s="116"/>
      <c r="BD485" s="116"/>
      <c r="BE485" s="116"/>
      <c r="BF485" s="116"/>
      <c r="BG485" s="116"/>
      <c r="BH485" s="124"/>
      <c r="BI485" s="124"/>
      <c r="BJ485" s="116"/>
      <c r="BK485" s="116"/>
      <c r="BL485" s="116"/>
      <c r="BM485" s="116"/>
      <c r="BN485" s="116"/>
      <c r="BO485" s="116"/>
      <c r="BP485" s="125"/>
      <c r="BQ485" s="116"/>
    </row>
    <row r="486">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16"/>
      <c r="AV486" s="116"/>
      <c r="AW486" s="116"/>
      <c r="AX486" s="116"/>
      <c r="AY486" s="116"/>
      <c r="AZ486" s="116"/>
      <c r="BA486" s="116"/>
      <c r="BB486" s="116"/>
      <c r="BC486" s="116"/>
      <c r="BD486" s="116"/>
      <c r="BE486" s="116"/>
      <c r="BF486" s="116"/>
      <c r="BG486" s="116"/>
      <c r="BH486" s="124"/>
      <c r="BI486" s="124"/>
      <c r="BJ486" s="116"/>
      <c r="BK486" s="116"/>
      <c r="BL486" s="116"/>
      <c r="BM486" s="116"/>
      <c r="BN486" s="116"/>
      <c r="BO486" s="116"/>
      <c r="BP486" s="125"/>
      <c r="BQ486" s="116"/>
    </row>
    <row r="487">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c r="BC487" s="116"/>
      <c r="BD487" s="116"/>
      <c r="BE487" s="116"/>
      <c r="BF487" s="116"/>
      <c r="BG487" s="116"/>
      <c r="BH487" s="124"/>
      <c r="BI487" s="124"/>
      <c r="BJ487" s="116"/>
      <c r="BK487" s="116"/>
      <c r="BL487" s="116"/>
      <c r="BM487" s="116"/>
      <c r="BN487" s="116"/>
      <c r="BO487" s="116"/>
      <c r="BP487" s="125"/>
      <c r="BQ487" s="116"/>
    </row>
    <row r="488">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c r="BC488" s="116"/>
      <c r="BD488" s="116"/>
      <c r="BE488" s="116"/>
      <c r="BF488" s="116"/>
      <c r="BG488" s="116"/>
      <c r="BH488" s="124"/>
      <c r="BI488" s="124"/>
      <c r="BJ488" s="116"/>
      <c r="BK488" s="116"/>
      <c r="BL488" s="116"/>
      <c r="BM488" s="116"/>
      <c r="BN488" s="116"/>
      <c r="BO488" s="116"/>
      <c r="BP488" s="125"/>
      <c r="BQ488" s="116"/>
    </row>
    <row r="489">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c r="BC489" s="116"/>
      <c r="BD489" s="116"/>
      <c r="BE489" s="116"/>
      <c r="BF489" s="116"/>
      <c r="BG489" s="116"/>
      <c r="BH489" s="124"/>
      <c r="BI489" s="124"/>
      <c r="BJ489" s="116"/>
      <c r="BK489" s="116"/>
      <c r="BL489" s="116"/>
      <c r="BM489" s="116"/>
      <c r="BN489" s="116"/>
      <c r="BO489" s="116"/>
      <c r="BP489" s="125"/>
      <c r="BQ489" s="116"/>
    </row>
    <row r="490">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c r="BC490" s="116"/>
      <c r="BD490" s="116"/>
      <c r="BE490" s="116"/>
      <c r="BF490" s="116"/>
      <c r="BG490" s="116"/>
      <c r="BH490" s="124"/>
      <c r="BI490" s="124"/>
      <c r="BJ490" s="116"/>
      <c r="BK490" s="116"/>
      <c r="BL490" s="116"/>
      <c r="BM490" s="116"/>
      <c r="BN490" s="116"/>
      <c r="BO490" s="116"/>
      <c r="BP490" s="125"/>
      <c r="BQ490" s="116"/>
    </row>
    <row r="49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c r="BC491" s="116"/>
      <c r="BD491" s="116"/>
      <c r="BE491" s="116"/>
      <c r="BF491" s="116"/>
      <c r="BG491" s="116"/>
      <c r="BH491" s="124"/>
      <c r="BI491" s="124"/>
      <c r="BJ491" s="116"/>
      <c r="BK491" s="116"/>
      <c r="BL491" s="116"/>
      <c r="BM491" s="116"/>
      <c r="BN491" s="116"/>
      <c r="BO491" s="116"/>
      <c r="BP491" s="125"/>
      <c r="BQ491" s="116"/>
    </row>
    <row r="492">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c r="BC492" s="116"/>
      <c r="BD492" s="116"/>
      <c r="BE492" s="116"/>
      <c r="BF492" s="116"/>
      <c r="BG492" s="116"/>
      <c r="BH492" s="124"/>
      <c r="BI492" s="124"/>
      <c r="BJ492" s="116"/>
      <c r="BK492" s="116"/>
      <c r="BL492" s="116"/>
      <c r="BM492" s="116"/>
      <c r="BN492" s="116"/>
      <c r="BO492" s="116"/>
      <c r="BP492" s="125"/>
      <c r="BQ492" s="116"/>
    </row>
    <row r="493">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16"/>
      <c r="AV493" s="116"/>
      <c r="AW493" s="116"/>
      <c r="AX493" s="116"/>
      <c r="AY493" s="116"/>
      <c r="AZ493" s="116"/>
      <c r="BA493" s="116"/>
      <c r="BB493" s="116"/>
      <c r="BC493" s="116"/>
      <c r="BD493" s="116"/>
      <c r="BE493" s="116"/>
      <c r="BF493" s="116"/>
      <c r="BG493" s="116"/>
      <c r="BH493" s="124"/>
      <c r="BI493" s="124"/>
      <c r="BJ493" s="116"/>
      <c r="BK493" s="116"/>
      <c r="BL493" s="116"/>
      <c r="BM493" s="116"/>
      <c r="BN493" s="116"/>
      <c r="BO493" s="116"/>
      <c r="BP493" s="125"/>
      <c r="BQ493" s="116"/>
    </row>
    <row r="494">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c r="BC494" s="116"/>
      <c r="BD494" s="116"/>
      <c r="BE494" s="116"/>
      <c r="BF494" s="116"/>
      <c r="BG494" s="116"/>
      <c r="BH494" s="124"/>
      <c r="BI494" s="124"/>
      <c r="BJ494" s="116"/>
      <c r="BK494" s="116"/>
      <c r="BL494" s="116"/>
      <c r="BM494" s="116"/>
      <c r="BN494" s="116"/>
      <c r="BO494" s="116"/>
      <c r="BP494" s="125"/>
      <c r="BQ494" s="116"/>
    </row>
    <row r="495">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c r="BC495" s="116"/>
      <c r="BD495" s="116"/>
      <c r="BE495" s="116"/>
      <c r="BF495" s="116"/>
      <c r="BG495" s="116"/>
      <c r="BH495" s="124"/>
      <c r="BI495" s="124"/>
      <c r="BJ495" s="116"/>
      <c r="BK495" s="116"/>
      <c r="BL495" s="116"/>
      <c r="BM495" s="116"/>
      <c r="BN495" s="116"/>
      <c r="BO495" s="116"/>
      <c r="BP495" s="125"/>
      <c r="BQ495" s="116"/>
    </row>
    <row r="496">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c r="BC496" s="116"/>
      <c r="BD496" s="116"/>
      <c r="BE496" s="116"/>
      <c r="BF496" s="116"/>
      <c r="BG496" s="116"/>
      <c r="BH496" s="124"/>
      <c r="BI496" s="124"/>
      <c r="BJ496" s="116"/>
      <c r="BK496" s="116"/>
      <c r="BL496" s="116"/>
      <c r="BM496" s="116"/>
      <c r="BN496" s="116"/>
      <c r="BO496" s="116"/>
      <c r="BP496" s="125"/>
      <c r="BQ496" s="116"/>
    </row>
    <row r="497">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c r="BC497" s="116"/>
      <c r="BD497" s="116"/>
      <c r="BE497" s="116"/>
      <c r="BF497" s="116"/>
      <c r="BG497" s="116"/>
      <c r="BH497" s="124"/>
      <c r="BI497" s="124"/>
      <c r="BJ497" s="116"/>
      <c r="BK497" s="116"/>
      <c r="BL497" s="116"/>
      <c r="BM497" s="116"/>
      <c r="BN497" s="116"/>
      <c r="BO497" s="116"/>
      <c r="BP497" s="125"/>
      <c r="BQ497" s="116"/>
    </row>
    <row r="498">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c r="BC498" s="116"/>
      <c r="BD498" s="116"/>
      <c r="BE498" s="116"/>
      <c r="BF498" s="116"/>
      <c r="BG498" s="116"/>
      <c r="BH498" s="124"/>
      <c r="BI498" s="124"/>
      <c r="BJ498" s="116"/>
      <c r="BK498" s="116"/>
      <c r="BL498" s="116"/>
      <c r="BM498" s="116"/>
      <c r="BN498" s="116"/>
      <c r="BO498" s="116"/>
      <c r="BP498" s="125"/>
      <c r="BQ498" s="116"/>
    </row>
    <row r="499">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c r="BC499" s="116"/>
      <c r="BD499" s="116"/>
      <c r="BE499" s="116"/>
      <c r="BF499" s="116"/>
      <c r="BG499" s="116"/>
      <c r="BH499" s="124"/>
      <c r="BI499" s="124"/>
      <c r="BJ499" s="116"/>
      <c r="BK499" s="116"/>
      <c r="BL499" s="116"/>
      <c r="BM499" s="116"/>
      <c r="BN499" s="116"/>
      <c r="BO499" s="116"/>
      <c r="BP499" s="125"/>
      <c r="BQ499" s="116"/>
    </row>
    <row r="500">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c r="BC500" s="116"/>
      <c r="BD500" s="116"/>
      <c r="BE500" s="116"/>
      <c r="BF500" s="116"/>
      <c r="BG500" s="116"/>
      <c r="BH500" s="124"/>
      <c r="BI500" s="124"/>
      <c r="BJ500" s="116"/>
      <c r="BK500" s="116"/>
      <c r="BL500" s="116"/>
      <c r="BM500" s="116"/>
      <c r="BN500" s="116"/>
      <c r="BO500" s="116"/>
      <c r="BP500" s="125"/>
      <c r="BQ500" s="116"/>
    </row>
    <row r="50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c r="BC501" s="116"/>
      <c r="BD501" s="116"/>
      <c r="BE501" s="116"/>
      <c r="BF501" s="116"/>
      <c r="BG501" s="116"/>
      <c r="BH501" s="124"/>
      <c r="BI501" s="124"/>
      <c r="BJ501" s="116"/>
      <c r="BK501" s="116"/>
      <c r="BL501" s="116"/>
      <c r="BM501" s="116"/>
      <c r="BN501" s="116"/>
      <c r="BO501" s="116"/>
      <c r="BP501" s="125"/>
      <c r="BQ501" s="116"/>
    </row>
    <row r="502">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c r="BC502" s="116"/>
      <c r="BD502" s="116"/>
      <c r="BE502" s="116"/>
      <c r="BF502" s="116"/>
      <c r="BG502" s="116"/>
      <c r="BH502" s="124"/>
      <c r="BI502" s="124"/>
      <c r="BJ502" s="116"/>
      <c r="BK502" s="116"/>
      <c r="BL502" s="116"/>
      <c r="BM502" s="116"/>
      <c r="BN502" s="116"/>
      <c r="BO502" s="116"/>
      <c r="BP502" s="125"/>
      <c r="BQ502" s="116"/>
    </row>
    <row r="503">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c r="BC503" s="116"/>
      <c r="BD503" s="116"/>
      <c r="BE503" s="116"/>
      <c r="BF503" s="116"/>
      <c r="BG503" s="116"/>
      <c r="BH503" s="124"/>
      <c r="BI503" s="124"/>
      <c r="BJ503" s="116"/>
      <c r="BK503" s="116"/>
      <c r="BL503" s="116"/>
      <c r="BM503" s="116"/>
      <c r="BN503" s="116"/>
      <c r="BO503" s="116"/>
      <c r="BP503" s="125"/>
      <c r="BQ503" s="116"/>
    </row>
    <row r="504">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c r="BC504" s="116"/>
      <c r="BD504" s="116"/>
      <c r="BE504" s="116"/>
      <c r="BF504" s="116"/>
      <c r="BG504" s="116"/>
      <c r="BH504" s="124"/>
      <c r="BI504" s="124"/>
      <c r="BJ504" s="116"/>
      <c r="BK504" s="116"/>
      <c r="BL504" s="116"/>
      <c r="BM504" s="116"/>
      <c r="BN504" s="116"/>
      <c r="BO504" s="116"/>
      <c r="BP504" s="125"/>
      <c r="BQ504" s="116"/>
    </row>
    <row r="505">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c r="BC505" s="116"/>
      <c r="BD505" s="116"/>
      <c r="BE505" s="116"/>
      <c r="BF505" s="116"/>
      <c r="BG505" s="116"/>
      <c r="BH505" s="124"/>
      <c r="BI505" s="124"/>
      <c r="BJ505" s="116"/>
      <c r="BK505" s="116"/>
      <c r="BL505" s="116"/>
      <c r="BM505" s="116"/>
      <c r="BN505" s="116"/>
      <c r="BO505" s="116"/>
      <c r="BP505" s="125"/>
      <c r="BQ505" s="116"/>
    </row>
    <row r="506">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c r="BC506" s="116"/>
      <c r="BD506" s="116"/>
      <c r="BE506" s="116"/>
      <c r="BF506" s="116"/>
      <c r="BG506" s="116"/>
      <c r="BH506" s="124"/>
      <c r="BI506" s="124"/>
      <c r="BJ506" s="116"/>
      <c r="BK506" s="116"/>
      <c r="BL506" s="116"/>
      <c r="BM506" s="116"/>
      <c r="BN506" s="116"/>
      <c r="BO506" s="116"/>
      <c r="BP506" s="125"/>
      <c r="BQ506" s="116"/>
    </row>
    <row r="507">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c r="BC507" s="116"/>
      <c r="BD507" s="116"/>
      <c r="BE507" s="116"/>
      <c r="BF507" s="116"/>
      <c r="BG507" s="116"/>
      <c r="BH507" s="124"/>
      <c r="BI507" s="124"/>
      <c r="BJ507" s="116"/>
      <c r="BK507" s="116"/>
      <c r="BL507" s="116"/>
      <c r="BM507" s="116"/>
      <c r="BN507" s="116"/>
      <c r="BO507" s="116"/>
      <c r="BP507" s="125"/>
      <c r="BQ507" s="116"/>
    </row>
    <row r="508">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c r="BC508" s="116"/>
      <c r="BD508" s="116"/>
      <c r="BE508" s="116"/>
      <c r="BF508" s="116"/>
      <c r="BG508" s="116"/>
      <c r="BH508" s="124"/>
      <c r="BI508" s="124"/>
      <c r="BJ508" s="116"/>
      <c r="BK508" s="116"/>
      <c r="BL508" s="116"/>
      <c r="BM508" s="116"/>
      <c r="BN508" s="116"/>
      <c r="BO508" s="116"/>
      <c r="BP508" s="125"/>
      <c r="BQ508" s="116"/>
    </row>
    <row r="509">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c r="BC509" s="116"/>
      <c r="BD509" s="116"/>
      <c r="BE509" s="116"/>
      <c r="BF509" s="116"/>
      <c r="BG509" s="116"/>
      <c r="BH509" s="124"/>
      <c r="BI509" s="124"/>
      <c r="BJ509" s="116"/>
      <c r="BK509" s="116"/>
      <c r="BL509" s="116"/>
      <c r="BM509" s="116"/>
      <c r="BN509" s="116"/>
      <c r="BO509" s="116"/>
      <c r="BP509" s="125"/>
      <c r="BQ509" s="116"/>
    </row>
    <row r="510">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c r="BC510" s="116"/>
      <c r="BD510" s="116"/>
      <c r="BE510" s="116"/>
      <c r="BF510" s="116"/>
      <c r="BG510" s="116"/>
      <c r="BH510" s="124"/>
      <c r="BI510" s="124"/>
      <c r="BJ510" s="116"/>
      <c r="BK510" s="116"/>
      <c r="BL510" s="116"/>
      <c r="BM510" s="116"/>
      <c r="BN510" s="116"/>
      <c r="BO510" s="116"/>
      <c r="BP510" s="125"/>
      <c r="BQ510" s="116"/>
    </row>
    <row r="51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c r="BC511" s="116"/>
      <c r="BD511" s="116"/>
      <c r="BE511" s="116"/>
      <c r="BF511" s="116"/>
      <c r="BG511" s="116"/>
      <c r="BH511" s="124"/>
      <c r="BI511" s="124"/>
      <c r="BJ511" s="116"/>
      <c r="BK511" s="116"/>
      <c r="BL511" s="116"/>
      <c r="BM511" s="116"/>
      <c r="BN511" s="116"/>
      <c r="BO511" s="116"/>
      <c r="BP511" s="125"/>
      <c r="BQ511" s="116"/>
    </row>
    <row r="512">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c r="BC512" s="116"/>
      <c r="BD512" s="116"/>
      <c r="BE512" s="116"/>
      <c r="BF512" s="116"/>
      <c r="BG512" s="116"/>
      <c r="BH512" s="124"/>
      <c r="BI512" s="124"/>
      <c r="BJ512" s="116"/>
      <c r="BK512" s="116"/>
      <c r="BL512" s="116"/>
      <c r="BM512" s="116"/>
      <c r="BN512" s="116"/>
      <c r="BO512" s="116"/>
      <c r="BP512" s="125"/>
      <c r="BQ512" s="116"/>
    </row>
    <row r="513">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c r="BC513" s="116"/>
      <c r="BD513" s="116"/>
      <c r="BE513" s="116"/>
      <c r="BF513" s="116"/>
      <c r="BG513" s="116"/>
      <c r="BH513" s="124"/>
      <c r="BI513" s="124"/>
      <c r="BJ513" s="116"/>
      <c r="BK513" s="116"/>
      <c r="BL513" s="116"/>
      <c r="BM513" s="116"/>
      <c r="BN513" s="116"/>
      <c r="BO513" s="116"/>
      <c r="BP513" s="125"/>
      <c r="BQ513" s="116"/>
    </row>
    <row r="514">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c r="BC514" s="116"/>
      <c r="BD514" s="116"/>
      <c r="BE514" s="116"/>
      <c r="BF514" s="116"/>
      <c r="BG514" s="116"/>
      <c r="BH514" s="124"/>
      <c r="BI514" s="124"/>
      <c r="BJ514" s="116"/>
      <c r="BK514" s="116"/>
      <c r="BL514" s="116"/>
      <c r="BM514" s="116"/>
      <c r="BN514" s="116"/>
      <c r="BO514" s="116"/>
      <c r="BP514" s="125"/>
      <c r="BQ514" s="116"/>
    </row>
    <row r="515">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c r="BC515" s="116"/>
      <c r="BD515" s="116"/>
      <c r="BE515" s="116"/>
      <c r="BF515" s="116"/>
      <c r="BG515" s="116"/>
      <c r="BH515" s="124"/>
      <c r="BI515" s="124"/>
      <c r="BJ515" s="116"/>
      <c r="BK515" s="116"/>
      <c r="BL515" s="116"/>
      <c r="BM515" s="116"/>
      <c r="BN515" s="116"/>
      <c r="BO515" s="116"/>
      <c r="BP515" s="125"/>
      <c r="BQ515" s="116"/>
    </row>
    <row r="516">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c r="BC516" s="116"/>
      <c r="BD516" s="116"/>
      <c r="BE516" s="116"/>
      <c r="BF516" s="116"/>
      <c r="BG516" s="116"/>
      <c r="BH516" s="124"/>
      <c r="BI516" s="124"/>
      <c r="BJ516" s="116"/>
      <c r="BK516" s="116"/>
      <c r="BL516" s="116"/>
      <c r="BM516" s="116"/>
      <c r="BN516" s="116"/>
      <c r="BO516" s="116"/>
      <c r="BP516" s="125"/>
      <c r="BQ516" s="116"/>
    </row>
    <row r="517">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c r="BC517" s="116"/>
      <c r="BD517" s="116"/>
      <c r="BE517" s="116"/>
      <c r="BF517" s="116"/>
      <c r="BG517" s="116"/>
      <c r="BH517" s="124"/>
      <c r="BI517" s="124"/>
      <c r="BJ517" s="116"/>
      <c r="BK517" s="116"/>
      <c r="BL517" s="116"/>
      <c r="BM517" s="116"/>
      <c r="BN517" s="116"/>
      <c r="BO517" s="116"/>
      <c r="BP517" s="125"/>
      <c r="BQ517" s="116"/>
    </row>
    <row r="518">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c r="BC518" s="116"/>
      <c r="BD518" s="116"/>
      <c r="BE518" s="116"/>
      <c r="BF518" s="116"/>
      <c r="BG518" s="116"/>
      <c r="BH518" s="124"/>
      <c r="BI518" s="124"/>
      <c r="BJ518" s="116"/>
      <c r="BK518" s="116"/>
      <c r="BL518" s="116"/>
      <c r="BM518" s="116"/>
      <c r="BN518" s="116"/>
      <c r="BO518" s="116"/>
      <c r="BP518" s="125"/>
      <c r="BQ518" s="116"/>
    </row>
    <row r="519">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c r="BC519" s="116"/>
      <c r="BD519" s="116"/>
      <c r="BE519" s="116"/>
      <c r="BF519" s="116"/>
      <c r="BG519" s="116"/>
      <c r="BH519" s="124"/>
      <c r="BI519" s="124"/>
      <c r="BJ519" s="116"/>
      <c r="BK519" s="116"/>
      <c r="BL519" s="116"/>
      <c r="BM519" s="116"/>
      <c r="BN519" s="116"/>
      <c r="BO519" s="116"/>
      <c r="BP519" s="125"/>
      <c r="BQ519" s="116"/>
    </row>
    <row r="520">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c r="BC520" s="116"/>
      <c r="BD520" s="116"/>
      <c r="BE520" s="116"/>
      <c r="BF520" s="116"/>
      <c r="BG520" s="116"/>
      <c r="BH520" s="124"/>
      <c r="BI520" s="124"/>
      <c r="BJ520" s="116"/>
      <c r="BK520" s="116"/>
      <c r="BL520" s="116"/>
      <c r="BM520" s="116"/>
      <c r="BN520" s="116"/>
      <c r="BO520" s="116"/>
      <c r="BP520" s="125"/>
      <c r="BQ520" s="116"/>
    </row>
    <row r="52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c r="BC521" s="116"/>
      <c r="BD521" s="116"/>
      <c r="BE521" s="116"/>
      <c r="BF521" s="116"/>
      <c r="BG521" s="116"/>
      <c r="BH521" s="124"/>
      <c r="BI521" s="124"/>
      <c r="BJ521" s="116"/>
      <c r="BK521" s="116"/>
      <c r="BL521" s="116"/>
      <c r="BM521" s="116"/>
      <c r="BN521" s="116"/>
      <c r="BO521" s="116"/>
      <c r="BP521" s="125"/>
      <c r="BQ521" s="116"/>
    </row>
    <row r="522">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c r="BC522" s="116"/>
      <c r="BD522" s="116"/>
      <c r="BE522" s="116"/>
      <c r="BF522" s="116"/>
      <c r="BG522" s="116"/>
      <c r="BH522" s="124"/>
      <c r="BI522" s="124"/>
      <c r="BJ522" s="116"/>
      <c r="BK522" s="116"/>
      <c r="BL522" s="116"/>
      <c r="BM522" s="116"/>
      <c r="BN522" s="116"/>
      <c r="BO522" s="116"/>
      <c r="BP522" s="125"/>
      <c r="BQ522" s="116"/>
    </row>
    <row r="523">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c r="BC523" s="116"/>
      <c r="BD523" s="116"/>
      <c r="BE523" s="116"/>
      <c r="BF523" s="116"/>
      <c r="BG523" s="116"/>
      <c r="BH523" s="124"/>
      <c r="BI523" s="124"/>
      <c r="BJ523" s="116"/>
      <c r="BK523" s="116"/>
      <c r="BL523" s="116"/>
      <c r="BM523" s="116"/>
      <c r="BN523" s="116"/>
      <c r="BO523" s="116"/>
      <c r="BP523" s="125"/>
      <c r="BQ523" s="116"/>
    </row>
    <row r="524">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c r="BC524" s="116"/>
      <c r="BD524" s="116"/>
      <c r="BE524" s="116"/>
      <c r="BF524" s="116"/>
      <c r="BG524" s="116"/>
      <c r="BH524" s="124"/>
      <c r="BI524" s="124"/>
      <c r="BJ524" s="116"/>
      <c r="BK524" s="116"/>
      <c r="BL524" s="116"/>
      <c r="BM524" s="116"/>
      <c r="BN524" s="116"/>
      <c r="BO524" s="116"/>
      <c r="BP524" s="125"/>
      <c r="BQ524" s="116"/>
    </row>
    <row r="525">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c r="BC525" s="116"/>
      <c r="BD525" s="116"/>
      <c r="BE525" s="116"/>
      <c r="BF525" s="116"/>
      <c r="BG525" s="116"/>
      <c r="BH525" s="124"/>
      <c r="BI525" s="124"/>
      <c r="BJ525" s="116"/>
      <c r="BK525" s="116"/>
      <c r="BL525" s="116"/>
      <c r="BM525" s="116"/>
      <c r="BN525" s="116"/>
      <c r="BO525" s="116"/>
      <c r="BP525" s="125"/>
      <c r="BQ525" s="116"/>
    </row>
    <row r="526">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c r="BC526" s="116"/>
      <c r="BD526" s="116"/>
      <c r="BE526" s="116"/>
      <c r="BF526" s="116"/>
      <c r="BG526" s="116"/>
      <c r="BH526" s="124"/>
      <c r="BI526" s="124"/>
      <c r="BJ526" s="116"/>
      <c r="BK526" s="116"/>
      <c r="BL526" s="116"/>
      <c r="BM526" s="116"/>
      <c r="BN526" s="116"/>
      <c r="BO526" s="116"/>
      <c r="BP526" s="125"/>
      <c r="BQ526" s="116"/>
    </row>
    <row r="527">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c r="BC527" s="116"/>
      <c r="BD527" s="116"/>
      <c r="BE527" s="116"/>
      <c r="BF527" s="116"/>
      <c r="BG527" s="116"/>
      <c r="BH527" s="124"/>
      <c r="BI527" s="124"/>
      <c r="BJ527" s="116"/>
      <c r="BK527" s="116"/>
      <c r="BL527" s="116"/>
      <c r="BM527" s="116"/>
      <c r="BN527" s="116"/>
      <c r="BO527" s="116"/>
      <c r="BP527" s="125"/>
      <c r="BQ527" s="116"/>
    </row>
    <row r="528">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c r="BC528" s="116"/>
      <c r="BD528" s="116"/>
      <c r="BE528" s="116"/>
      <c r="BF528" s="116"/>
      <c r="BG528" s="116"/>
      <c r="BH528" s="124"/>
      <c r="BI528" s="124"/>
      <c r="BJ528" s="116"/>
      <c r="BK528" s="116"/>
      <c r="BL528" s="116"/>
      <c r="BM528" s="116"/>
      <c r="BN528" s="116"/>
      <c r="BO528" s="116"/>
      <c r="BP528" s="125"/>
      <c r="BQ528" s="116"/>
    </row>
    <row r="529">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c r="BC529" s="116"/>
      <c r="BD529" s="116"/>
      <c r="BE529" s="116"/>
      <c r="BF529" s="116"/>
      <c r="BG529" s="116"/>
      <c r="BH529" s="124"/>
      <c r="BI529" s="124"/>
      <c r="BJ529" s="116"/>
      <c r="BK529" s="116"/>
      <c r="BL529" s="116"/>
      <c r="BM529" s="116"/>
      <c r="BN529" s="116"/>
      <c r="BO529" s="116"/>
      <c r="BP529" s="125"/>
      <c r="BQ529" s="116"/>
    </row>
    <row r="530">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c r="BC530" s="116"/>
      <c r="BD530" s="116"/>
      <c r="BE530" s="116"/>
      <c r="BF530" s="116"/>
      <c r="BG530" s="116"/>
      <c r="BH530" s="124"/>
      <c r="BI530" s="124"/>
      <c r="BJ530" s="116"/>
      <c r="BK530" s="116"/>
      <c r="BL530" s="116"/>
      <c r="BM530" s="116"/>
      <c r="BN530" s="116"/>
      <c r="BO530" s="116"/>
      <c r="BP530" s="125"/>
      <c r="BQ530" s="116"/>
    </row>
    <row r="53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c r="BC531" s="116"/>
      <c r="BD531" s="116"/>
      <c r="BE531" s="116"/>
      <c r="BF531" s="116"/>
      <c r="BG531" s="116"/>
      <c r="BH531" s="124"/>
      <c r="BI531" s="124"/>
      <c r="BJ531" s="116"/>
      <c r="BK531" s="116"/>
      <c r="BL531" s="116"/>
      <c r="BM531" s="116"/>
      <c r="BN531" s="116"/>
      <c r="BO531" s="116"/>
      <c r="BP531" s="125"/>
      <c r="BQ531" s="116"/>
    </row>
    <row r="532">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c r="BC532" s="116"/>
      <c r="BD532" s="116"/>
      <c r="BE532" s="116"/>
      <c r="BF532" s="116"/>
      <c r="BG532" s="116"/>
      <c r="BH532" s="124"/>
      <c r="BI532" s="124"/>
      <c r="BJ532" s="116"/>
      <c r="BK532" s="116"/>
      <c r="BL532" s="116"/>
      <c r="BM532" s="116"/>
      <c r="BN532" s="116"/>
      <c r="BO532" s="116"/>
      <c r="BP532" s="125"/>
      <c r="BQ532" s="116"/>
    </row>
    <row r="533">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c r="BC533" s="116"/>
      <c r="BD533" s="116"/>
      <c r="BE533" s="116"/>
      <c r="BF533" s="116"/>
      <c r="BG533" s="116"/>
      <c r="BH533" s="124"/>
      <c r="BI533" s="124"/>
      <c r="BJ533" s="116"/>
      <c r="BK533" s="116"/>
      <c r="BL533" s="116"/>
      <c r="BM533" s="116"/>
      <c r="BN533" s="116"/>
      <c r="BO533" s="116"/>
      <c r="BP533" s="125"/>
      <c r="BQ533" s="116"/>
    </row>
    <row r="534">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c r="BC534" s="116"/>
      <c r="BD534" s="116"/>
      <c r="BE534" s="116"/>
      <c r="BF534" s="116"/>
      <c r="BG534" s="116"/>
      <c r="BH534" s="124"/>
      <c r="BI534" s="124"/>
      <c r="BJ534" s="116"/>
      <c r="BK534" s="116"/>
      <c r="BL534" s="116"/>
      <c r="BM534" s="116"/>
      <c r="BN534" s="116"/>
      <c r="BO534" s="116"/>
      <c r="BP534" s="125"/>
      <c r="BQ534" s="116"/>
    </row>
    <row r="535">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c r="BC535" s="116"/>
      <c r="BD535" s="116"/>
      <c r="BE535" s="116"/>
      <c r="BF535" s="116"/>
      <c r="BG535" s="116"/>
      <c r="BH535" s="124"/>
      <c r="BI535" s="124"/>
      <c r="BJ535" s="116"/>
      <c r="BK535" s="116"/>
      <c r="BL535" s="116"/>
      <c r="BM535" s="116"/>
      <c r="BN535" s="116"/>
      <c r="BO535" s="116"/>
      <c r="BP535" s="125"/>
      <c r="BQ535" s="116"/>
    </row>
    <row r="536">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c r="BC536" s="116"/>
      <c r="BD536" s="116"/>
      <c r="BE536" s="116"/>
      <c r="BF536" s="116"/>
      <c r="BG536" s="116"/>
      <c r="BH536" s="124"/>
      <c r="BI536" s="124"/>
      <c r="BJ536" s="116"/>
      <c r="BK536" s="116"/>
      <c r="BL536" s="116"/>
      <c r="BM536" s="116"/>
      <c r="BN536" s="116"/>
      <c r="BO536" s="116"/>
      <c r="BP536" s="125"/>
      <c r="BQ536" s="116"/>
    </row>
    <row r="537">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c r="BC537" s="116"/>
      <c r="BD537" s="116"/>
      <c r="BE537" s="116"/>
      <c r="BF537" s="116"/>
      <c r="BG537" s="116"/>
      <c r="BH537" s="124"/>
      <c r="BI537" s="124"/>
      <c r="BJ537" s="116"/>
      <c r="BK537" s="116"/>
      <c r="BL537" s="116"/>
      <c r="BM537" s="116"/>
      <c r="BN537" s="116"/>
      <c r="BO537" s="116"/>
      <c r="BP537" s="125"/>
      <c r="BQ537" s="116"/>
    </row>
    <row r="538">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c r="BC538" s="116"/>
      <c r="BD538" s="116"/>
      <c r="BE538" s="116"/>
      <c r="BF538" s="116"/>
      <c r="BG538" s="116"/>
      <c r="BH538" s="124"/>
      <c r="BI538" s="124"/>
      <c r="BJ538" s="116"/>
      <c r="BK538" s="116"/>
      <c r="BL538" s="116"/>
      <c r="BM538" s="116"/>
      <c r="BN538" s="116"/>
      <c r="BO538" s="116"/>
      <c r="BP538" s="125"/>
      <c r="BQ538" s="116"/>
    </row>
    <row r="539">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c r="BC539" s="116"/>
      <c r="BD539" s="116"/>
      <c r="BE539" s="116"/>
      <c r="BF539" s="116"/>
      <c r="BG539" s="116"/>
      <c r="BH539" s="124"/>
      <c r="BI539" s="124"/>
      <c r="BJ539" s="116"/>
      <c r="BK539" s="116"/>
      <c r="BL539" s="116"/>
      <c r="BM539" s="116"/>
      <c r="BN539" s="116"/>
      <c r="BO539" s="116"/>
      <c r="BP539" s="125"/>
      <c r="BQ539" s="116"/>
    </row>
    <row r="540">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c r="BC540" s="116"/>
      <c r="BD540" s="116"/>
      <c r="BE540" s="116"/>
      <c r="BF540" s="116"/>
      <c r="BG540" s="116"/>
      <c r="BH540" s="124"/>
      <c r="BI540" s="124"/>
      <c r="BJ540" s="116"/>
      <c r="BK540" s="116"/>
      <c r="BL540" s="116"/>
      <c r="BM540" s="116"/>
      <c r="BN540" s="116"/>
      <c r="BO540" s="116"/>
      <c r="BP540" s="125"/>
      <c r="BQ540" s="116"/>
    </row>
    <row r="54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c r="BC541" s="116"/>
      <c r="BD541" s="116"/>
      <c r="BE541" s="116"/>
      <c r="BF541" s="116"/>
      <c r="BG541" s="116"/>
      <c r="BH541" s="124"/>
      <c r="BI541" s="124"/>
      <c r="BJ541" s="116"/>
      <c r="BK541" s="116"/>
      <c r="BL541" s="116"/>
      <c r="BM541" s="116"/>
      <c r="BN541" s="116"/>
      <c r="BO541" s="116"/>
      <c r="BP541" s="125"/>
      <c r="BQ541" s="116"/>
    </row>
    <row r="542">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c r="BC542" s="116"/>
      <c r="BD542" s="116"/>
      <c r="BE542" s="116"/>
      <c r="BF542" s="116"/>
      <c r="BG542" s="116"/>
      <c r="BH542" s="124"/>
      <c r="BI542" s="124"/>
      <c r="BJ542" s="116"/>
      <c r="BK542" s="116"/>
      <c r="BL542" s="116"/>
      <c r="BM542" s="116"/>
      <c r="BN542" s="116"/>
      <c r="BO542" s="116"/>
      <c r="BP542" s="125"/>
      <c r="BQ542" s="116"/>
    </row>
    <row r="543">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c r="BC543" s="116"/>
      <c r="BD543" s="116"/>
      <c r="BE543" s="116"/>
      <c r="BF543" s="116"/>
      <c r="BG543" s="116"/>
      <c r="BH543" s="124"/>
      <c r="BI543" s="124"/>
      <c r="BJ543" s="116"/>
      <c r="BK543" s="116"/>
      <c r="BL543" s="116"/>
      <c r="BM543" s="116"/>
      <c r="BN543" s="116"/>
      <c r="BO543" s="116"/>
      <c r="BP543" s="125"/>
      <c r="BQ543" s="116"/>
    </row>
    <row r="544">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c r="BC544" s="116"/>
      <c r="BD544" s="116"/>
      <c r="BE544" s="116"/>
      <c r="BF544" s="116"/>
      <c r="BG544" s="116"/>
      <c r="BH544" s="124"/>
      <c r="BI544" s="124"/>
      <c r="BJ544" s="116"/>
      <c r="BK544" s="116"/>
      <c r="BL544" s="116"/>
      <c r="BM544" s="116"/>
      <c r="BN544" s="116"/>
      <c r="BO544" s="116"/>
      <c r="BP544" s="125"/>
      <c r="BQ544" s="116"/>
    </row>
    <row r="545">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c r="BC545" s="116"/>
      <c r="BD545" s="116"/>
      <c r="BE545" s="116"/>
      <c r="BF545" s="116"/>
      <c r="BG545" s="116"/>
      <c r="BH545" s="124"/>
      <c r="BI545" s="124"/>
      <c r="BJ545" s="116"/>
      <c r="BK545" s="116"/>
      <c r="BL545" s="116"/>
      <c r="BM545" s="116"/>
      <c r="BN545" s="116"/>
      <c r="BO545" s="116"/>
      <c r="BP545" s="125"/>
      <c r="BQ545" s="116"/>
    </row>
    <row r="546">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16"/>
      <c r="AV546" s="116"/>
      <c r="AW546" s="116"/>
      <c r="AX546" s="116"/>
      <c r="AY546" s="116"/>
      <c r="AZ546" s="116"/>
      <c r="BA546" s="116"/>
      <c r="BB546" s="116"/>
      <c r="BC546" s="116"/>
      <c r="BD546" s="116"/>
      <c r="BE546" s="116"/>
      <c r="BF546" s="116"/>
      <c r="BG546" s="116"/>
      <c r="BH546" s="124"/>
      <c r="BI546" s="124"/>
      <c r="BJ546" s="116"/>
      <c r="BK546" s="116"/>
      <c r="BL546" s="116"/>
      <c r="BM546" s="116"/>
      <c r="BN546" s="116"/>
      <c r="BO546" s="116"/>
      <c r="BP546" s="125"/>
      <c r="BQ546" s="116"/>
    </row>
    <row r="547">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16"/>
      <c r="AV547" s="116"/>
      <c r="AW547" s="116"/>
      <c r="AX547" s="116"/>
      <c r="AY547" s="116"/>
      <c r="AZ547" s="116"/>
      <c r="BA547" s="116"/>
      <c r="BB547" s="116"/>
      <c r="BC547" s="116"/>
      <c r="BD547" s="116"/>
      <c r="BE547" s="116"/>
      <c r="BF547" s="116"/>
      <c r="BG547" s="116"/>
      <c r="BH547" s="124"/>
      <c r="BI547" s="124"/>
      <c r="BJ547" s="116"/>
      <c r="BK547" s="116"/>
      <c r="BL547" s="116"/>
      <c r="BM547" s="116"/>
      <c r="BN547" s="116"/>
      <c r="BO547" s="116"/>
      <c r="BP547" s="125"/>
      <c r="BQ547" s="116"/>
    </row>
    <row r="548">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16"/>
      <c r="AV548" s="116"/>
      <c r="AW548" s="116"/>
      <c r="AX548" s="116"/>
      <c r="AY548" s="116"/>
      <c r="AZ548" s="116"/>
      <c r="BA548" s="116"/>
      <c r="BB548" s="116"/>
      <c r="BC548" s="116"/>
      <c r="BD548" s="116"/>
      <c r="BE548" s="116"/>
      <c r="BF548" s="116"/>
      <c r="BG548" s="116"/>
      <c r="BH548" s="124"/>
      <c r="BI548" s="124"/>
      <c r="BJ548" s="116"/>
      <c r="BK548" s="116"/>
      <c r="BL548" s="116"/>
      <c r="BM548" s="116"/>
      <c r="BN548" s="116"/>
      <c r="BO548" s="116"/>
      <c r="BP548" s="125"/>
      <c r="BQ548" s="116"/>
    </row>
    <row r="549">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16"/>
      <c r="AV549" s="116"/>
      <c r="AW549" s="116"/>
      <c r="AX549" s="116"/>
      <c r="AY549" s="116"/>
      <c r="AZ549" s="116"/>
      <c r="BA549" s="116"/>
      <c r="BB549" s="116"/>
      <c r="BC549" s="116"/>
      <c r="BD549" s="116"/>
      <c r="BE549" s="116"/>
      <c r="BF549" s="116"/>
      <c r="BG549" s="116"/>
      <c r="BH549" s="124"/>
      <c r="BI549" s="124"/>
      <c r="BJ549" s="116"/>
      <c r="BK549" s="116"/>
      <c r="BL549" s="116"/>
      <c r="BM549" s="116"/>
      <c r="BN549" s="116"/>
      <c r="BO549" s="116"/>
      <c r="BP549" s="125"/>
      <c r="BQ549" s="116"/>
    </row>
    <row r="550">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16"/>
      <c r="AV550" s="116"/>
      <c r="AW550" s="116"/>
      <c r="AX550" s="116"/>
      <c r="AY550" s="116"/>
      <c r="AZ550" s="116"/>
      <c r="BA550" s="116"/>
      <c r="BB550" s="116"/>
      <c r="BC550" s="116"/>
      <c r="BD550" s="116"/>
      <c r="BE550" s="116"/>
      <c r="BF550" s="116"/>
      <c r="BG550" s="116"/>
      <c r="BH550" s="124"/>
      <c r="BI550" s="124"/>
      <c r="BJ550" s="116"/>
      <c r="BK550" s="116"/>
      <c r="BL550" s="116"/>
      <c r="BM550" s="116"/>
      <c r="BN550" s="116"/>
      <c r="BO550" s="116"/>
      <c r="BP550" s="125"/>
      <c r="BQ550" s="116"/>
    </row>
    <row r="55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c r="AZ551" s="116"/>
      <c r="BA551" s="116"/>
      <c r="BB551" s="116"/>
      <c r="BC551" s="116"/>
      <c r="BD551" s="116"/>
      <c r="BE551" s="116"/>
      <c r="BF551" s="116"/>
      <c r="BG551" s="116"/>
      <c r="BH551" s="124"/>
      <c r="BI551" s="124"/>
      <c r="BJ551" s="116"/>
      <c r="BK551" s="116"/>
      <c r="BL551" s="116"/>
      <c r="BM551" s="116"/>
      <c r="BN551" s="116"/>
      <c r="BO551" s="116"/>
      <c r="BP551" s="125"/>
      <c r="BQ551" s="116"/>
    </row>
    <row r="552">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c r="BC552" s="116"/>
      <c r="BD552" s="116"/>
      <c r="BE552" s="116"/>
      <c r="BF552" s="116"/>
      <c r="BG552" s="116"/>
      <c r="BH552" s="124"/>
      <c r="BI552" s="124"/>
      <c r="BJ552" s="116"/>
      <c r="BK552" s="116"/>
      <c r="BL552" s="116"/>
      <c r="BM552" s="116"/>
      <c r="BN552" s="116"/>
      <c r="BO552" s="116"/>
      <c r="BP552" s="125"/>
      <c r="BQ552" s="116"/>
    </row>
    <row r="553">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c r="BC553" s="116"/>
      <c r="BD553" s="116"/>
      <c r="BE553" s="116"/>
      <c r="BF553" s="116"/>
      <c r="BG553" s="116"/>
      <c r="BH553" s="124"/>
      <c r="BI553" s="124"/>
      <c r="BJ553" s="116"/>
      <c r="BK553" s="116"/>
      <c r="BL553" s="116"/>
      <c r="BM553" s="116"/>
      <c r="BN553" s="116"/>
      <c r="BO553" s="116"/>
      <c r="BP553" s="125"/>
      <c r="BQ553" s="116"/>
    </row>
    <row r="554">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c r="BC554" s="116"/>
      <c r="BD554" s="116"/>
      <c r="BE554" s="116"/>
      <c r="BF554" s="116"/>
      <c r="BG554" s="116"/>
      <c r="BH554" s="124"/>
      <c r="BI554" s="124"/>
      <c r="BJ554" s="116"/>
      <c r="BK554" s="116"/>
      <c r="BL554" s="116"/>
      <c r="BM554" s="116"/>
      <c r="BN554" s="116"/>
      <c r="BO554" s="116"/>
      <c r="BP554" s="125"/>
      <c r="BQ554" s="116"/>
    </row>
    <row r="555">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16"/>
      <c r="AV555" s="116"/>
      <c r="AW555" s="116"/>
      <c r="AX555" s="116"/>
      <c r="AY555" s="116"/>
      <c r="AZ555" s="116"/>
      <c r="BA555" s="116"/>
      <c r="BB555" s="116"/>
      <c r="BC555" s="116"/>
      <c r="BD555" s="116"/>
      <c r="BE555" s="116"/>
      <c r="BF555" s="116"/>
      <c r="BG555" s="116"/>
      <c r="BH555" s="124"/>
      <c r="BI555" s="124"/>
      <c r="BJ555" s="116"/>
      <c r="BK555" s="116"/>
      <c r="BL555" s="116"/>
      <c r="BM555" s="116"/>
      <c r="BN555" s="116"/>
      <c r="BO555" s="116"/>
      <c r="BP555" s="125"/>
      <c r="BQ555" s="116"/>
    </row>
    <row r="556">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16"/>
      <c r="AV556" s="116"/>
      <c r="AW556" s="116"/>
      <c r="AX556" s="116"/>
      <c r="AY556" s="116"/>
      <c r="AZ556" s="116"/>
      <c r="BA556" s="116"/>
      <c r="BB556" s="116"/>
      <c r="BC556" s="116"/>
      <c r="BD556" s="116"/>
      <c r="BE556" s="116"/>
      <c r="BF556" s="116"/>
      <c r="BG556" s="116"/>
      <c r="BH556" s="124"/>
      <c r="BI556" s="124"/>
      <c r="BJ556" s="116"/>
      <c r="BK556" s="116"/>
      <c r="BL556" s="116"/>
      <c r="BM556" s="116"/>
      <c r="BN556" s="116"/>
      <c r="BO556" s="116"/>
      <c r="BP556" s="125"/>
      <c r="BQ556" s="116"/>
    </row>
    <row r="557">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16"/>
      <c r="AV557" s="116"/>
      <c r="AW557" s="116"/>
      <c r="AX557" s="116"/>
      <c r="AY557" s="116"/>
      <c r="AZ557" s="116"/>
      <c r="BA557" s="116"/>
      <c r="BB557" s="116"/>
      <c r="BC557" s="116"/>
      <c r="BD557" s="116"/>
      <c r="BE557" s="116"/>
      <c r="BF557" s="116"/>
      <c r="BG557" s="116"/>
      <c r="BH557" s="124"/>
      <c r="BI557" s="124"/>
      <c r="BJ557" s="116"/>
      <c r="BK557" s="116"/>
      <c r="BL557" s="116"/>
      <c r="BM557" s="116"/>
      <c r="BN557" s="116"/>
      <c r="BO557" s="116"/>
      <c r="BP557" s="125"/>
      <c r="BQ557" s="116"/>
    </row>
    <row r="558">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16"/>
      <c r="AV558" s="116"/>
      <c r="AW558" s="116"/>
      <c r="AX558" s="116"/>
      <c r="AY558" s="116"/>
      <c r="AZ558" s="116"/>
      <c r="BA558" s="116"/>
      <c r="BB558" s="116"/>
      <c r="BC558" s="116"/>
      <c r="BD558" s="116"/>
      <c r="BE558" s="116"/>
      <c r="BF558" s="116"/>
      <c r="BG558" s="116"/>
      <c r="BH558" s="124"/>
      <c r="BI558" s="124"/>
      <c r="BJ558" s="116"/>
      <c r="BK558" s="116"/>
      <c r="BL558" s="116"/>
      <c r="BM558" s="116"/>
      <c r="BN558" s="116"/>
      <c r="BO558" s="116"/>
      <c r="BP558" s="125"/>
      <c r="BQ558" s="116"/>
    </row>
    <row r="559">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c r="AT559" s="116"/>
      <c r="AU559" s="116"/>
      <c r="AV559" s="116"/>
      <c r="AW559" s="116"/>
      <c r="AX559" s="116"/>
      <c r="AY559" s="116"/>
      <c r="AZ559" s="116"/>
      <c r="BA559" s="116"/>
      <c r="BB559" s="116"/>
      <c r="BC559" s="116"/>
      <c r="BD559" s="116"/>
      <c r="BE559" s="116"/>
      <c r="BF559" s="116"/>
      <c r="BG559" s="116"/>
      <c r="BH559" s="124"/>
      <c r="BI559" s="124"/>
      <c r="BJ559" s="116"/>
      <c r="BK559" s="116"/>
      <c r="BL559" s="116"/>
      <c r="BM559" s="116"/>
      <c r="BN559" s="116"/>
      <c r="BO559" s="116"/>
      <c r="BP559" s="125"/>
      <c r="BQ559" s="116"/>
    </row>
    <row r="560">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16"/>
      <c r="AV560" s="116"/>
      <c r="AW560" s="116"/>
      <c r="AX560" s="116"/>
      <c r="AY560" s="116"/>
      <c r="AZ560" s="116"/>
      <c r="BA560" s="116"/>
      <c r="BB560" s="116"/>
      <c r="BC560" s="116"/>
      <c r="BD560" s="116"/>
      <c r="BE560" s="116"/>
      <c r="BF560" s="116"/>
      <c r="BG560" s="116"/>
      <c r="BH560" s="124"/>
      <c r="BI560" s="124"/>
      <c r="BJ560" s="116"/>
      <c r="BK560" s="116"/>
      <c r="BL560" s="116"/>
      <c r="BM560" s="116"/>
      <c r="BN560" s="116"/>
      <c r="BO560" s="116"/>
      <c r="BP560" s="125"/>
      <c r="BQ560" s="116"/>
    </row>
    <row r="56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16"/>
      <c r="AV561" s="116"/>
      <c r="AW561" s="116"/>
      <c r="AX561" s="116"/>
      <c r="AY561" s="116"/>
      <c r="AZ561" s="116"/>
      <c r="BA561" s="116"/>
      <c r="BB561" s="116"/>
      <c r="BC561" s="116"/>
      <c r="BD561" s="116"/>
      <c r="BE561" s="116"/>
      <c r="BF561" s="116"/>
      <c r="BG561" s="116"/>
      <c r="BH561" s="124"/>
      <c r="BI561" s="124"/>
      <c r="BJ561" s="116"/>
      <c r="BK561" s="116"/>
      <c r="BL561" s="116"/>
      <c r="BM561" s="116"/>
      <c r="BN561" s="116"/>
      <c r="BO561" s="116"/>
      <c r="BP561" s="125"/>
      <c r="BQ561" s="116"/>
    </row>
    <row r="562">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c r="AO562" s="116"/>
      <c r="AP562" s="116"/>
      <c r="AQ562" s="116"/>
      <c r="AR562" s="116"/>
      <c r="AS562" s="116"/>
      <c r="AT562" s="116"/>
      <c r="AU562" s="116"/>
      <c r="AV562" s="116"/>
      <c r="AW562" s="116"/>
      <c r="AX562" s="116"/>
      <c r="AY562" s="116"/>
      <c r="AZ562" s="116"/>
      <c r="BA562" s="116"/>
      <c r="BB562" s="116"/>
      <c r="BC562" s="116"/>
      <c r="BD562" s="116"/>
      <c r="BE562" s="116"/>
      <c r="BF562" s="116"/>
      <c r="BG562" s="116"/>
      <c r="BH562" s="124"/>
      <c r="BI562" s="124"/>
      <c r="BJ562" s="116"/>
      <c r="BK562" s="116"/>
      <c r="BL562" s="116"/>
      <c r="BM562" s="116"/>
      <c r="BN562" s="116"/>
      <c r="BO562" s="116"/>
      <c r="BP562" s="125"/>
      <c r="BQ562" s="116"/>
    </row>
    <row r="563">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c r="AO563" s="116"/>
      <c r="AP563" s="116"/>
      <c r="AQ563" s="116"/>
      <c r="AR563" s="116"/>
      <c r="AS563" s="116"/>
      <c r="AT563" s="116"/>
      <c r="AU563" s="116"/>
      <c r="AV563" s="116"/>
      <c r="AW563" s="116"/>
      <c r="AX563" s="116"/>
      <c r="AY563" s="116"/>
      <c r="AZ563" s="116"/>
      <c r="BA563" s="116"/>
      <c r="BB563" s="116"/>
      <c r="BC563" s="116"/>
      <c r="BD563" s="116"/>
      <c r="BE563" s="116"/>
      <c r="BF563" s="116"/>
      <c r="BG563" s="116"/>
      <c r="BH563" s="124"/>
      <c r="BI563" s="124"/>
      <c r="BJ563" s="116"/>
      <c r="BK563" s="116"/>
      <c r="BL563" s="116"/>
      <c r="BM563" s="116"/>
      <c r="BN563" s="116"/>
      <c r="BO563" s="116"/>
      <c r="BP563" s="125"/>
      <c r="BQ563" s="116"/>
    </row>
    <row r="564">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c r="AO564" s="116"/>
      <c r="AP564" s="116"/>
      <c r="AQ564" s="116"/>
      <c r="AR564" s="116"/>
      <c r="AS564" s="116"/>
      <c r="AT564" s="116"/>
      <c r="AU564" s="116"/>
      <c r="AV564" s="116"/>
      <c r="AW564" s="116"/>
      <c r="AX564" s="116"/>
      <c r="AY564" s="116"/>
      <c r="AZ564" s="116"/>
      <c r="BA564" s="116"/>
      <c r="BB564" s="116"/>
      <c r="BC564" s="116"/>
      <c r="BD564" s="116"/>
      <c r="BE564" s="116"/>
      <c r="BF564" s="116"/>
      <c r="BG564" s="116"/>
      <c r="BH564" s="124"/>
      <c r="BI564" s="124"/>
      <c r="BJ564" s="116"/>
      <c r="BK564" s="116"/>
      <c r="BL564" s="116"/>
      <c r="BM564" s="116"/>
      <c r="BN564" s="116"/>
      <c r="BO564" s="116"/>
      <c r="BP564" s="125"/>
      <c r="BQ564" s="116"/>
    </row>
    <row r="565">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c r="AO565" s="116"/>
      <c r="AP565" s="116"/>
      <c r="AQ565" s="116"/>
      <c r="AR565" s="116"/>
      <c r="AS565" s="116"/>
      <c r="AT565" s="116"/>
      <c r="AU565" s="116"/>
      <c r="AV565" s="116"/>
      <c r="AW565" s="116"/>
      <c r="AX565" s="116"/>
      <c r="AY565" s="116"/>
      <c r="AZ565" s="116"/>
      <c r="BA565" s="116"/>
      <c r="BB565" s="116"/>
      <c r="BC565" s="116"/>
      <c r="BD565" s="116"/>
      <c r="BE565" s="116"/>
      <c r="BF565" s="116"/>
      <c r="BG565" s="116"/>
      <c r="BH565" s="124"/>
      <c r="BI565" s="124"/>
      <c r="BJ565" s="116"/>
      <c r="BK565" s="116"/>
      <c r="BL565" s="116"/>
      <c r="BM565" s="116"/>
      <c r="BN565" s="116"/>
      <c r="BO565" s="116"/>
      <c r="BP565" s="125"/>
      <c r="BQ565" s="116"/>
    </row>
    <row r="566">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c r="AO566" s="116"/>
      <c r="AP566" s="116"/>
      <c r="AQ566" s="116"/>
      <c r="AR566" s="116"/>
      <c r="AS566" s="116"/>
      <c r="AT566" s="116"/>
      <c r="AU566" s="116"/>
      <c r="AV566" s="116"/>
      <c r="AW566" s="116"/>
      <c r="AX566" s="116"/>
      <c r="AY566" s="116"/>
      <c r="AZ566" s="116"/>
      <c r="BA566" s="116"/>
      <c r="BB566" s="116"/>
      <c r="BC566" s="116"/>
      <c r="BD566" s="116"/>
      <c r="BE566" s="116"/>
      <c r="BF566" s="116"/>
      <c r="BG566" s="116"/>
      <c r="BH566" s="124"/>
      <c r="BI566" s="124"/>
      <c r="BJ566" s="116"/>
      <c r="BK566" s="116"/>
      <c r="BL566" s="116"/>
      <c r="BM566" s="116"/>
      <c r="BN566" s="116"/>
      <c r="BO566" s="116"/>
      <c r="BP566" s="125"/>
      <c r="BQ566" s="116"/>
    </row>
    <row r="567">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c r="AO567" s="116"/>
      <c r="AP567" s="116"/>
      <c r="AQ567" s="116"/>
      <c r="AR567" s="116"/>
      <c r="AS567" s="116"/>
      <c r="AT567" s="116"/>
      <c r="AU567" s="116"/>
      <c r="AV567" s="116"/>
      <c r="AW567" s="116"/>
      <c r="AX567" s="116"/>
      <c r="AY567" s="116"/>
      <c r="AZ567" s="116"/>
      <c r="BA567" s="116"/>
      <c r="BB567" s="116"/>
      <c r="BC567" s="116"/>
      <c r="BD567" s="116"/>
      <c r="BE567" s="116"/>
      <c r="BF567" s="116"/>
      <c r="BG567" s="116"/>
      <c r="BH567" s="124"/>
      <c r="BI567" s="124"/>
      <c r="BJ567" s="116"/>
      <c r="BK567" s="116"/>
      <c r="BL567" s="116"/>
      <c r="BM567" s="116"/>
      <c r="BN567" s="116"/>
      <c r="BO567" s="116"/>
      <c r="BP567" s="125"/>
      <c r="BQ567" s="116"/>
    </row>
    <row r="568">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c r="AO568" s="116"/>
      <c r="AP568" s="116"/>
      <c r="AQ568" s="116"/>
      <c r="AR568" s="116"/>
      <c r="AS568" s="116"/>
      <c r="AT568" s="116"/>
      <c r="AU568" s="116"/>
      <c r="AV568" s="116"/>
      <c r="AW568" s="116"/>
      <c r="AX568" s="116"/>
      <c r="AY568" s="116"/>
      <c r="AZ568" s="116"/>
      <c r="BA568" s="116"/>
      <c r="BB568" s="116"/>
      <c r="BC568" s="116"/>
      <c r="BD568" s="116"/>
      <c r="BE568" s="116"/>
      <c r="BF568" s="116"/>
      <c r="BG568" s="116"/>
      <c r="BH568" s="124"/>
      <c r="BI568" s="124"/>
      <c r="BJ568" s="116"/>
      <c r="BK568" s="116"/>
      <c r="BL568" s="116"/>
      <c r="BM568" s="116"/>
      <c r="BN568" s="116"/>
      <c r="BO568" s="116"/>
      <c r="BP568" s="125"/>
      <c r="BQ568" s="116"/>
    </row>
    <row r="569">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c r="AO569" s="116"/>
      <c r="AP569" s="116"/>
      <c r="AQ569" s="116"/>
      <c r="AR569" s="116"/>
      <c r="AS569" s="116"/>
      <c r="AT569" s="116"/>
      <c r="AU569" s="116"/>
      <c r="AV569" s="116"/>
      <c r="AW569" s="116"/>
      <c r="AX569" s="116"/>
      <c r="AY569" s="116"/>
      <c r="AZ569" s="116"/>
      <c r="BA569" s="116"/>
      <c r="BB569" s="116"/>
      <c r="BC569" s="116"/>
      <c r="BD569" s="116"/>
      <c r="BE569" s="116"/>
      <c r="BF569" s="116"/>
      <c r="BG569" s="116"/>
      <c r="BH569" s="124"/>
      <c r="BI569" s="124"/>
      <c r="BJ569" s="116"/>
      <c r="BK569" s="116"/>
      <c r="BL569" s="116"/>
      <c r="BM569" s="116"/>
      <c r="BN569" s="116"/>
      <c r="BO569" s="116"/>
      <c r="BP569" s="125"/>
      <c r="BQ569" s="116"/>
    </row>
    <row r="570">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c r="AO570" s="116"/>
      <c r="AP570" s="116"/>
      <c r="AQ570" s="116"/>
      <c r="AR570" s="116"/>
      <c r="AS570" s="116"/>
      <c r="AT570" s="116"/>
      <c r="AU570" s="116"/>
      <c r="AV570" s="116"/>
      <c r="AW570" s="116"/>
      <c r="AX570" s="116"/>
      <c r="AY570" s="116"/>
      <c r="AZ570" s="116"/>
      <c r="BA570" s="116"/>
      <c r="BB570" s="116"/>
      <c r="BC570" s="116"/>
      <c r="BD570" s="116"/>
      <c r="BE570" s="116"/>
      <c r="BF570" s="116"/>
      <c r="BG570" s="116"/>
      <c r="BH570" s="124"/>
      <c r="BI570" s="124"/>
      <c r="BJ570" s="116"/>
      <c r="BK570" s="116"/>
      <c r="BL570" s="116"/>
      <c r="BM570" s="116"/>
      <c r="BN570" s="116"/>
      <c r="BO570" s="116"/>
      <c r="BP570" s="125"/>
      <c r="BQ570" s="116"/>
    </row>
    <row r="57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c r="AO571" s="116"/>
      <c r="AP571" s="116"/>
      <c r="AQ571" s="116"/>
      <c r="AR571" s="116"/>
      <c r="AS571" s="116"/>
      <c r="AT571" s="116"/>
      <c r="AU571" s="116"/>
      <c r="AV571" s="116"/>
      <c r="AW571" s="116"/>
      <c r="AX571" s="116"/>
      <c r="AY571" s="116"/>
      <c r="AZ571" s="116"/>
      <c r="BA571" s="116"/>
      <c r="BB571" s="116"/>
      <c r="BC571" s="116"/>
      <c r="BD571" s="116"/>
      <c r="BE571" s="116"/>
      <c r="BF571" s="116"/>
      <c r="BG571" s="116"/>
      <c r="BH571" s="124"/>
      <c r="BI571" s="124"/>
      <c r="BJ571" s="116"/>
      <c r="BK571" s="116"/>
      <c r="BL571" s="116"/>
      <c r="BM571" s="116"/>
      <c r="BN571" s="116"/>
      <c r="BO571" s="116"/>
      <c r="BP571" s="125"/>
      <c r="BQ571" s="116"/>
    </row>
    <row r="572">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c r="AO572" s="116"/>
      <c r="AP572" s="116"/>
      <c r="AQ572" s="116"/>
      <c r="AR572" s="116"/>
      <c r="AS572" s="116"/>
      <c r="AT572" s="116"/>
      <c r="AU572" s="116"/>
      <c r="AV572" s="116"/>
      <c r="AW572" s="116"/>
      <c r="AX572" s="116"/>
      <c r="AY572" s="116"/>
      <c r="AZ572" s="116"/>
      <c r="BA572" s="116"/>
      <c r="BB572" s="116"/>
      <c r="BC572" s="116"/>
      <c r="BD572" s="116"/>
      <c r="BE572" s="116"/>
      <c r="BF572" s="116"/>
      <c r="BG572" s="116"/>
      <c r="BH572" s="124"/>
      <c r="BI572" s="124"/>
      <c r="BJ572" s="116"/>
      <c r="BK572" s="116"/>
      <c r="BL572" s="116"/>
      <c r="BM572" s="116"/>
      <c r="BN572" s="116"/>
      <c r="BO572" s="116"/>
      <c r="BP572" s="125"/>
      <c r="BQ572" s="116"/>
    </row>
    <row r="573">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c r="AO573" s="116"/>
      <c r="AP573" s="116"/>
      <c r="AQ573" s="116"/>
      <c r="AR573" s="116"/>
      <c r="AS573" s="116"/>
      <c r="AT573" s="116"/>
      <c r="AU573" s="116"/>
      <c r="AV573" s="116"/>
      <c r="AW573" s="116"/>
      <c r="AX573" s="116"/>
      <c r="AY573" s="116"/>
      <c r="AZ573" s="116"/>
      <c r="BA573" s="116"/>
      <c r="BB573" s="116"/>
      <c r="BC573" s="116"/>
      <c r="BD573" s="116"/>
      <c r="BE573" s="116"/>
      <c r="BF573" s="116"/>
      <c r="BG573" s="116"/>
      <c r="BH573" s="124"/>
      <c r="BI573" s="124"/>
      <c r="BJ573" s="116"/>
      <c r="BK573" s="116"/>
      <c r="BL573" s="116"/>
      <c r="BM573" s="116"/>
      <c r="BN573" s="116"/>
      <c r="BO573" s="116"/>
      <c r="BP573" s="125"/>
      <c r="BQ573" s="116"/>
    </row>
    <row r="574">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c r="AN574" s="116"/>
      <c r="AO574" s="116"/>
      <c r="AP574" s="116"/>
      <c r="AQ574" s="116"/>
      <c r="AR574" s="116"/>
      <c r="AS574" s="116"/>
      <c r="AT574" s="116"/>
      <c r="AU574" s="116"/>
      <c r="AV574" s="116"/>
      <c r="AW574" s="116"/>
      <c r="AX574" s="116"/>
      <c r="AY574" s="116"/>
      <c r="AZ574" s="116"/>
      <c r="BA574" s="116"/>
      <c r="BB574" s="116"/>
      <c r="BC574" s="116"/>
      <c r="BD574" s="116"/>
      <c r="BE574" s="116"/>
      <c r="BF574" s="116"/>
      <c r="BG574" s="116"/>
      <c r="BH574" s="124"/>
      <c r="BI574" s="124"/>
      <c r="BJ574" s="116"/>
      <c r="BK574" s="116"/>
      <c r="BL574" s="116"/>
      <c r="BM574" s="116"/>
      <c r="BN574" s="116"/>
      <c r="BO574" s="116"/>
      <c r="BP574" s="125"/>
      <c r="BQ574" s="116"/>
    </row>
    <row r="575">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c r="AN575" s="116"/>
      <c r="AO575" s="116"/>
      <c r="AP575" s="116"/>
      <c r="AQ575" s="116"/>
      <c r="AR575" s="116"/>
      <c r="AS575" s="116"/>
      <c r="AT575" s="116"/>
      <c r="AU575" s="116"/>
      <c r="AV575" s="116"/>
      <c r="AW575" s="116"/>
      <c r="AX575" s="116"/>
      <c r="AY575" s="116"/>
      <c r="AZ575" s="116"/>
      <c r="BA575" s="116"/>
      <c r="BB575" s="116"/>
      <c r="BC575" s="116"/>
      <c r="BD575" s="116"/>
      <c r="BE575" s="116"/>
      <c r="BF575" s="116"/>
      <c r="BG575" s="116"/>
      <c r="BH575" s="124"/>
      <c r="BI575" s="124"/>
      <c r="BJ575" s="116"/>
      <c r="BK575" s="116"/>
      <c r="BL575" s="116"/>
      <c r="BM575" s="116"/>
      <c r="BN575" s="116"/>
      <c r="BO575" s="116"/>
      <c r="BP575" s="125"/>
      <c r="BQ575" s="116"/>
    </row>
    <row r="576">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c r="AN576" s="116"/>
      <c r="AO576" s="116"/>
      <c r="AP576" s="116"/>
      <c r="AQ576" s="116"/>
      <c r="AR576" s="116"/>
      <c r="AS576" s="116"/>
      <c r="AT576" s="116"/>
      <c r="AU576" s="116"/>
      <c r="AV576" s="116"/>
      <c r="AW576" s="116"/>
      <c r="AX576" s="116"/>
      <c r="AY576" s="116"/>
      <c r="AZ576" s="116"/>
      <c r="BA576" s="116"/>
      <c r="BB576" s="116"/>
      <c r="BC576" s="116"/>
      <c r="BD576" s="116"/>
      <c r="BE576" s="116"/>
      <c r="BF576" s="116"/>
      <c r="BG576" s="116"/>
      <c r="BH576" s="124"/>
      <c r="BI576" s="124"/>
      <c r="BJ576" s="116"/>
      <c r="BK576" s="116"/>
      <c r="BL576" s="116"/>
      <c r="BM576" s="116"/>
      <c r="BN576" s="116"/>
      <c r="BO576" s="116"/>
      <c r="BP576" s="125"/>
      <c r="BQ576" s="116"/>
    </row>
    <row r="577">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c r="AN577" s="116"/>
      <c r="AO577" s="116"/>
      <c r="AP577" s="116"/>
      <c r="AQ577" s="116"/>
      <c r="AR577" s="116"/>
      <c r="AS577" s="116"/>
      <c r="AT577" s="116"/>
      <c r="AU577" s="116"/>
      <c r="AV577" s="116"/>
      <c r="AW577" s="116"/>
      <c r="AX577" s="116"/>
      <c r="AY577" s="116"/>
      <c r="AZ577" s="116"/>
      <c r="BA577" s="116"/>
      <c r="BB577" s="116"/>
      <c r="BC577" s="116"/>
      <c r="BD577" s="116"/>
      <c r="BE577" s="116"/>
      <c r="BF577" s="116"/>
      <c r="BG577" s="116"/>
      <c r="BH577" s="124"/>
      <c r="BI577" s="124"/>
      <c r="BJ577" s="116"/>
      <c r="BK577" s="116"/>
      <c r="BL577" s="116"/>
      <c r="BM577" s="116"/>
      <c r="BN577" s="116"/>
      <c r="BO577" s="116"/>
      <c r="BP577" s="125"/>
      <c r="BQ577" s="116"/>
    </row>
    <row r="578">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c r="AI578" s="116"/>
      <c r="AJ578" s="116"/>
      <c r="AK578" s="116"/>
      <c r="AL578" s="116"/>
      <c r="AM578" s="116"/>
      <c r="AN578" s="116"/>
      <c r="AO578" s="116"/>
      <c r="AP578" s="116"/>
      <c r="AQ578" s="116"/>
      <c r="AR578" s="116"/>
      <c r="AS578" s="116"/>
      <c r="AT578" s="116"/>
      <c r="AU578" s="116"/>
      <c r="AV578" s="116"/>
      <c r="AW578" s="116"/>
      <c r="AX578" s="116"/>
      <c r="AY578" s="116"/>
      <c r="AZ578" s="116"/>
      <c r="BA578" s="116"/>
      <c r="BB578" s="116"/>
      <c r="BC578" s="116"/>
      <c r="BD578" s="116"/>
      <c r="BE578" s="116"/>
      <c r="BF578" s="116"/>
      <c r="BG578" s="116"/>
      <c r="BH578" s="124"/>
      <c r="BI578" s="124"/>
      <c r="BJ578" s="116"/>
      <c r="BK578" s="116"/>
      <c r="BL578" s="116"/>
      <c r="BM578" s="116"/>
      <c r="BN578" s="116"/>
      <c r="BO578" s="116"/>
      <c r="BP578" s="125"/>
      <c r="BQ578" s="116"/>
    </row>
    <row r="579">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c r="AI579" s="116"/>
      <c r="AJ579" s="116"/>
      <c r="AK579" s="116"/>
      <c r="AL579" s="116"/>
      <c r="AM579" s="116"/>
      <c r="AN579" s="116"/>
      <c r="AO579" s="116"/>
      <c r="AP579" s="116"/>
      <c r="AQ579" s="116"/>
      <c r="AR579" s="116"/>
      <c r="AS579" s="116"/>
      <c r="AT579" s="116"/>
      <c r="AU579" s="116"/>
      <c r="AV579" s="116"/>
      <c r="AW579" s="116"/>
      <c r="AX579" s="116"/>
      <c r="AY579" s="116"/>
      <c r="AZ579" s="116"/>
      <c r="BA579" s="116"/>
      <c r="BB579" s="116"/>
      <c r="BC579" s="116"/>
      <c r="BD579" s="116"/>
      <c r="BE579" s="116"/>
      <c r="BF579" s="116"/>
      <c r="BG579" s="116"/>
      <c r="BH579" s="124"/>
      <c r="BI579" s="124"/>
      <c r="BJ579" s="116"/>
      <c r="BK579" s="116"/>
      <c r="BL579" s="116"/>
      <c r="BM579" s="116"/>
      <c r="BN579" s="116"/>
      <c r="BO579" s="116"/>
      <c r="BP579" s="125"/>
      <c r="BQ579" s="116"/>
    </row>
    <row r="580">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c r="AI580" s="116"/>
      <c r="AJ580" s="116"/>
      <c r="AK580" s="116"/>
      <c r="AL580" s="116"/>
      <c r="AM580" s="116"/>
      <c r="AN580" s="116"/>
      <c r="AO580" s="116"/>
      <c r="AP580" s="116"/>
      <c r="AQ580" s="116"/>
      <c r="AR580" s="116"/>
      <c r="AS580" s="116"/>
      <c r="AT580" s="116"/>
      <c r="AU580" s="116"/>
      <c r="AV580" s="116"/>
      <c r="AW580" s="116"/>
      <c r="AX580" s="116"/>
      <c r="AY580" s="116"/>
      <c r="AZ580" s="116"/>
      <c r="BA580" s="116"/>
      <c r="BB580" s="116"/>
      <c r="BC580" s="116"/>
      <c r="BD580" s="116"/>
      <c r="BE580" s="116"/>
      <c r="BF580" s="116"/>
      <c r="BG580" s="116"/>
      <c r="BH580" s="124"/>
      <c r="BI580" s="124"/>
      <c r="BJ580" s="116"/>
      <c r="BK580" s="116"/>
      <c r="BL580" s="116"/>
      <c r="BM580" s="116"/>
      <c r="BN580" s="116"/>
      <c r="BO580" s="116"/>
      <c r="BP580" s="125"/>
      <c r="BQ580" s="116"/>
    </row>
    <row r="581">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c r="AI581" s="116"/>
      <c r="AJ581" s="116"/>
      <c r="AK581" s="116"/>
      <c r="AL581" s="116"/>
      <c r="AM581" s="116"/>
      <c r="AN581" s="116"/>
      <c r="AO581" s="116"/>
      <c r="AP581" s="116"/>
      <c r="AQ581" s="116"/>
      <c r="AR581" s="116"/>
      <c r="AS581" s="116"/>
      <c r="AT581" s="116"/>
      <c r="AU581" s="116"/>
      <c r="AV581" s="116"/>
      <c r="AW581" s="116"/>
      <c r="AX581" s="116"/>
      <c r="AY581" s="116"/>
      <c r="AZ581" s="116"/>
      <c r="BA581" s="116"/>
      <c r="BB581" s="116"/>
      <c r="BC581" s="116"/>
      <c r="BD581" s="116"/>
      <c r="BE581" s="116"/>
      <c r="BF581" s="116"/>
      <c r="BG581" s="116"/>
      <c r="BH581" s="124"/>
      <c r="BI581" s="124"/>
      <c r="BJ581" s="116"/>
      <c r="BK581" s="116"/>
      <c r="BL581" s="116"/>
      <c r="BM581" s="116"/>
      <c r="BN581" s="116"/>
      <c r="BO581" s="116"/>
      <c r="BP581" s="125"/>
      <c r="BQ581" s="116"/>
    </row>
    <row r="582">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c r="AI582" s="116"/>
      <c r="AJ582" s="116"/>
      <c r="AK582" s="116"/>
      <c r="AL582" s="116"/>
      <c r="AM582" s="116"/>
      <c r="AN582" s="116"/>
      <c r="AO582" s="116"/>
      <c r="AP582" s="116"/>
      <c r="AQ582" s="116"/>
      <c r="AR582" s="116"/>
      <c r="AS582" s="116"/>
      <c r="AT582" s="116"/>
      <c r="AU582" s="116"/>
      <c r="AV582" s="116"/>
      <c r="AW582" s="116"/>
      <c r="AX582" s="116"/>
      <c r="AY582" s="116"/>
      <c r="AZ582" s="116"/>
      <c r="BA582" s="116"/>
      <c r="BB582" s="116"/>
      <c r="BC582" s="116"/>
      <c r="BD582" s="116"/>
      <c r="BE582" s="116"/>
      <c r="BF582" s="116"/>
      <c r="BG582" s="116"/>
      <c r="BH582" s="124"/>
      <c r="BI582" s="124"/>
      <c r="BJ582" s="116"/>
      <c r="BK582" s="116"/>
      <c r="BL582" s="116"/>
      <c r="BM582" s="116"/>
      <c r="BN582" s="116"/>
      <c r="BO582" s="116"/>
      <c r="BP582" s="125"/>
      <c r="BQ582" s="116"/>
    </row>
    <row r="583">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c r="AI583" s="116"/>
      <c r="AJ583" s="116"/>
      <c r="AK583" s="116"/>
      <c r="AL583" s="116"/>
      <c r="AM583" s="116"/>
      <c r="AN583" s="116"/>
      <c r="AO583" s="116"/>
      <c r="AP583" s="116"/>
      <c r="AQ583" s="116"/>
      <c r="AR583" s="116"/>
      <c r="AS583" s="116"/>
      <c r="AT583" s="116"/>
      <c r="AU583" s="116"/>
      <c r="AV583" s="116"/>
      <c r="AW583" s="116"/>
      <c r="AX583" s="116"/>
      <c r="AY583" s="116"/>
      <c r="AZ583" s="116"/>
      <c r="BA583" s="116"/>
      <c r="BB583" s="116"/>
      <c r="BC583" s="116"/>
      <c r="BD583" s="116"/>
      <c r="BE583" s="116"/>
      <c r="BF583" s="116"/>
      <c r="BG583" s="116"/>
      <c r="BH583" s="124"/>
      <c r="BI583" s="124"/>
      <c r="BJ583" s="116"/>
      <c r="BK583" s="116"/>
      <c r="BL583" s="116"/>
      <c r="BM583" s="116"/>
      <c r="BN583" s="116"/>
      <c r="BO583" s="116"/>
      <c r="BP583" s="125"/>
      <c r="BQ583" s="116"/>
    </row>
    <row r="584">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c r="AI584" s="116"/>
      <c r="AJ584" s="116"/>
      <c r="AK584" s="116"/>
      <c r="AL584" s="116"/>
      <c r="AM584" s="116"/>
      <c r="AN584" s="116"/>
      <c r="AO584" s="116"/>
      <c r="AP584" s="116"/>
      <c r="AQ584" s="116"/>
      <c r="AR584" s="116"/>
      <c r="AS584" s="116"/>
      <c r="AT584" s="116"/>
      <c r="AU584" s="116"/>
      <c r="AV584" s="116"/>
      <c r="AW584" s="116"/>
      <c r="AX584" s="116"/>
      <c r="AY584" s="116"/>
      <c r="AZ584" s="116"/>
      <c r="BA584" s="116"/>
      <c r="BB584" s="116"/>
      <c r="BC584" s="116"/>
      <c r="BD584" s="116"/>
      <c r="BE584" s="116"/>
      <c r="BF584" s="116"/>
      <c r="BG584" s="116"/>
      <c r="BH584" s="124"/>
      <c r="BI584" s="124"/>
      <c r="BJ584" s="116"/>
      <c r="BK584" s="116"/>
      <c r="BL584" s="116"/>
      <c r="BM584" s="116"/>
      <c r="BN584" s="116"/>
      <c r="BO584" s="116"/>
      <c r="BP584" s="125"/>
      <c r="BQ584" s="116"/>
    </row>
    <row r="585">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c r="AI585" s="116"/>
      <c r="AJ585" s="116"/>
      <c r="AK585" s="116"/>
      <c r="AL585" s="116"/>
      <c r="AM585" s="116"/>
      <c r="AN585" s="116"/>
      <c r="AO585" s="116"/>
      <c r="AP585" s="116"/>
      <c r="AQ585" s="116"/>
      <c r="AR585" s="116"/>
      <c r="AS585" s="116"/>
      <c r="AT585" s="116"/>
      <c r="AU585" s="116"/>
      <c r="AV585" s="116"/>
      <c r="AW585" s="116"/>
      <c r="AX585" s="116"/>
      <c r="AY585" s="116"/>
      <c r="AZ585" s="116"/>
      <c r="BA585" s="116"/>
      <c r="BB585" s="116"/>
      <c r="BC585" s="116"/>
      <c r="BD585" s="116"/>
      <c r="BE585" s="116"/>
      <c r="BF585" s="116"/>
      <c r="BG585" s="116"/>
      <c r="BH585" s="124"/>
      <c r="BI585" s="124"/>
      <c r="BJ585" s="116"/>
      <c r="BK585" s="116"/>
      <c r="BL585" s="116"/>
      <c r="BM585" s="116"/>
      <c r="BN585" s="116"/>
      <c r="BO585" s="116"/>
      <c r="BP585" s="125"/>
      <c r="BQ585" s="116"/>
    </row>
    <row r="586">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c r="AI586" s="116"/>
      <c r="AJ586" s="116"/>
      <c r="AK586" s="116"/>
      <c r="AL586" s="116"/>
      <c r="AM586" s="116"/>
      <c r="AN586" s="116"/>
      <c r="AO586" s="116"/>
      <c r="AP586" s="116"/>
      <c r="AQ586" s="116"/>
      <c r="AR586" s="116"/>
      <c r="AS586" s="116"/>
      <c r="AT586" s="116"/>
      <c r="AU586" s="116"/>
      <c r="AV586" s="116"/>
      <c r="AW586" s="116"/>
      <c r="AX586" s="116"/>
      <c r="AY586" s="116"/>
      <c r="AZ586" s="116"/>
      <c r="BA586" s="116"/>
      <c r="BB586" s="116"/>
      <c r="BC586" s="116"/>
      <c r="BD586" s="116"/>
      <c r="BE586" s="116"/>
      <c r="BF586" s="116"/>
      <c r="BG586" s="116"/>
      <c r="BH586" s="124"/>
      <c r="BI586" s="124"/>
      <c r="BJ586" s="116"/>
      <c r="BK586" s="116"/>
      <c r="BL586" s="116"/>
      <c r="BM586" s="116"/>
      <c r="BN586" s="116"/>
      <c r="BO586" s="116"/>
      <c r="BP586" s="125"/>
      <c r="BQ586" s="116"/>
    </row>
    <row r="587">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c r="AI587" s="116"/>
      <c r="AJ587" s="116"/>
      <c r="AK587" s="116"/>
      <c r="AL587" s="116"/>
      <c r="AM587" s="116"/>
      <c r="AN587" s="116"/>
      <c r="AO587" s="116"/>
      <c r="AP587" s="116"/>
      <c r="AQ587" s="116"/>
      <c r="AR587" s="116"/>
      <c r="AS587" s="116"/>
      <c r="AT587" s="116"/>
      <c r="AU587" s="116"/>
      <c r="AV587" s="116"/>
      <c r="AW587" s="116"/>
      <c r="AX587" s="116"/>
      <c r="AY587" s="116"/>
      <c r="AZ587" s="116"/>
      <c r="BA587" s="116"/>
      <c r="BB587" s="116"/>
      <c r="BC587" s="116"/>
      <c r="BD587" s="116"/>
      <c r="BE587" s="116"/>
      <c r="BF587" s="116"/>
      <c r="BG587" s="116"/>
      <c r="BH587" s="124"/>
      <c r="BI587" s="124"/>
      <c r="BJ587" s="116"/>
      <c r="BK587" s="116"/>
      <c r="BL587" s="116"/>
      <c r="BM587" s="116"/>
      <c r="BN587" s="116"/>
      <c r="BO587" s="116"/>
      <c r="BP587" s="125"/>
      <c r="BQ587" s="116"/>
    </row>
    <row r="588">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c r="AI588" s="116"/>
      <c r="AJ588" s="116"/>
      <c r="AK588" s="116"/>
      <c r="AL588" s="116"/>
      <c r="AM588" s="116"/>
      <c r="AN588" s="116"/>
      <c r="AO588" s="116"/>
      <c r="AP588" s="116"/>
      <c r="AQ588" s="116"/>
      <c r="AR588" s="116"/>
      <c r="AS588" s="116"/>
      <c r="AT588" s="116"/>
      <c r="AU588" s="116"/>
      <c r="AV588" s="116"/>
      <c r="AW588" s="116"/>
      <c r="AX588" s="116"/>
      <c r="AY588" s="116"/>
      <c r="AZ588" s="116"/>
      <c r="BA588" s="116"/>
      <c r="BB588" s="116"/>
      <c r="BC588" s="116"/>
      <c r="BD588" s="116"/>
      <c r="BE588" s="116"/>
      <c r="BF588" s="116"/>
      <c r="BG588" s="116"/>
      <c r="BH588" s="124"/>
      <c r="BI588" s="124"/>
      <c r="BJ588" s="116"/>
      <c r="BK588" s="116"/>
      <c r="BL588" s="116"/>
      <c r="BM588" s="116"/>
      <c r="BN588" s="116"/>
      <c r="BO588" s="116"/>
      <c r="BP588" s="125"/>
      <c r="BQ588" s="116"/>
    </row>
    <row r="589">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c r="AI589" s="116"/>
      <c r="AJ589" s="116"/>
      <c r="AK589" s="116"/>
      <c r="AL589" s="116"/>
      <c r="AM589" s="116"/>
      <c r="AN589" s="116"/>
      <c r="AO589" s="116"/>
      <c r="AP589" s="116"/>
      <c r="AQ589" s="116"/>
      <c r="AR589" s="116"/>
      <c r="AS589" s="116"/>
      <c r="AT589" s="116"/>
      <c r="AU589" s="116"/>
      <c r="AV589" s="116"/>
      <c r="AW589" s="116"/>
      <c r="AX589" s="116"/>
      <c r="AY589" s="116"/>
      <c r="AZ589" s="116"/>
      <c r="BA589" s="116"/>
      <c r="BB589" s="116"/>
      <c r="BC589" s="116"/>
      <c r="BD589" s="116"/>
      <c r="BE589" s="116"/>
      <c r="BF589" s="116"/>
      <c r="BG589" s="116"/>
      <c r="BH589" s="124"/>
      <c r="BI589" s="124"/>
      <c r="BJ589" s="116"/>
      <c r="BK589" s="116"/>
      <c r="BL589" s="116"/>
      <c r="BM589" s="116"/>
      <c r="BN589" s="116"/>
      <c r="BO589" s="116"/>
      <c r="BP589" s="125"/>
      <c r="BQ589" s="116"/>
    </row>
    <row r="590">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c r="AI590" s="116"/>
      <c r="AJ590" s="116"/>
      <c r="AK590" s="116"/>
      <c r="AL590" s="116"/>
      <c r="AM590" s="116"/>
      <c r="AN590" s="116"/>
      <c r="AO590" s="116"/>
      <c r="AP590" s="116"/>
      <c r="AQ590" s="116"/>
      <c r="AR590" s="116"/>
      <c r="AS590" s="116"/>
      <c r="AT590" s="116"/>
      <c r="AU590" s="116"/>
      <c r="AV590" s="116"/>
      <c r="AW590" s="116"/>
      <c r="AX590" s="116"/>
      <c r="AY590" s="116"/>
      <c r="AZ590" s="116"/>
      <c r="BA590" s="116"/>
      <c r="BB590" s="116"/>
      <c r="BC590" s="116"/>
      <c r="BD590" s="116"/>
      <c r="BE590" s="116"/>
      <c r="BF590" s="116"/>
      <c r="BG590" s="116"/>
      <c r="BH590" s="124"/>
      <c r="BI590" s="124"/>
      <c r="BJ590" s="116"/>
      <c r="BK590" s="116"/>
      <c r="BL590" s="116"/>
      <c r="BM590" s="116"/>
      <c r="BN590" s="116"/>
      <c r="BO590" s="116"/>
      <c r="BP590" s="125"/>
      <c r="BQ590" s="116"/>
    </row>
    <row r="591">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c r="AI591" s="116"/>
      <c r="AJ591" s="116"/>
      <c r="AK591" s="116"/>
      <c r="AL591" s="116"/>
      <c r="AM591" s="116"/>
      <c r="AN591" s="116"/>
      <c r="AO591" s="116"/>
      <c r="AP591" s="116"/>
      <c r="AQ591" s="116"/>
      <c r="AR591" s="116"/>
      <c r="AS591" s="116"/>
      <c r="AT591" s="116"/>
      <c r="AU591" s="116"/>
      <c r="AV591" s="116"/>
      <c r="AW591" s="116"/>
      <c r="AX591" s="116"/>
      <c r="AY591" s="116"/>
      <c r="AZ591" s="116"/>
      <c r="BA591" s="116"/>
      <c r="BB591" s="116"/>
      <c r="BC591" s="116"/>
      <c r="BD591" s="116"/>
      <c r="BE591" s="116"/>
      <c r="BF591" s="116"/>
      <c r="BG591" s="116"/>
      <c r="BH591" s="124"/>
      <c r="BI591" s="124"/>
      <c r="BJ591" s="116"/>
      <c r="BK591" s="116"/>
      <c r="BL591" s="116"/>
      <c r="BM591" s="116"/>
      <c r="BN591" s="116"/>
      <c r="BO591" s="116"/>
      <c r="BP591" s="125"/>
      <c r="BQ591" s="116"/>
    </row>
    <row r="592">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c r="AI592" s="116"/>
      <c r="AJ592" s="116"/>
      <c r="AK592" s="116"/>
      <c r="AL592" s="116"/>
      <c r="AM592" s="116"/>
      <c r="AN592" s="116"/>
      <c r="AO592" s="116"/>
      <c r="AP592" s="116"/>
      <c r="AQ592" s="116"/>
      <c r="AR592" s="116"/>
      <c r="AS592" s="116"/>
      <c r="AT592" s="116"/>
      <c r="AU592" s="116"/>
      <c r="AV592" s="116"/>
      <c r="AW592" s="116"/>
      <c r="AX592" s="116"/>
      <c r="AY592" s="116"/>
      <c r="AZ592" s="116"/>
      <c r="BA592" s="116"/>
      <c r="BB592" s="116"/>
      <c r="BC592" s="116"/>
      <c r="BD592" s="116"/>
      <c r="BE592" s="116"/>
      <c r="BF592" s="116"/>
      <c r="BG592" s="116"/>
      <c r="BH592" s="124"/>
      <c r="BI592" s="124"/>
      <c r="BJ592" s="116"/>
      <c r="BK592" s="116"/>
      <c r="BL592" s="116"/>
      <c r="BM592" s="116"/>
      <c r="BN592" s="116"/>
      <c r="BO592" s="116"/>
      <c r="BP592" s="125"/>
      <c r="BQ592" s="116"/>
    </row>
    <row r="593">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c r="AI593" s="116"/>
      <c r="AJ593" s="116"/>
      <c r="AK593" s="116"/>
      <c r="AL593" s="116"/>
      <c r="AM593" s="116"/>
      <c r="AN593" s="116"/>
      <c r="AO593" s="116"/>
      <c r="AP593" s="116"/>
      <c r="AQ593" s="116"/>
      <c r="AR593" s="116"/>
      <c r="AS593" s="116"/>
      <c r="AT593" s="116"/>
      <c r="AU593" s="116"/>
      <c r="AV593" s="116"/>
      <c r="AW593" s="116"/>
      <c r="AX593" s="116"/>
      <c r="AY593" s="116"/>
      <c r="AZ593" s="116"/>
      <c r="BA593" s="116"/>
      <c r="BB593" s="116"/>
      <c r="BC593" s="116"/>
      <c r="BD593" s="116"/>
      <c r="BE593" s="116"/>
      <c r="BF593" s="116"/>
      <c r="BG593" s="116"/>
      <c r="BH593" s="124"/>
      <c r="BI593" s="124"/>
      <c r="BJ593" s="116"/>
      <c r="BK593" s="116"/>
      <c r="BL593" s="116"/>
      <c r="BM593" s="116"/>
      <c r="BN593" s="116"/>
      <c r="BO593" s="116"/>
      <c r="BP593" s="125"/>
      <c r="BQ593" s="116"/>
    </row>
    <row r="594">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c r="AI594" s="116"/>
      <c r="AJ594" s="116"/>
      <c r="AK594" s="116"/>
      <c r="AL594" s="116"/>
      <c r="AM594" s="116"/>
      <c r="AN594" s="116"/>
      <c r="AO594" s="116"/>
      <c r="AP594" s="116"/>
      <c r="AQ594" s="116"/>
      <c r="AR594" s="116"/>
      <c r="AS594" s="116"/>
      <c r="AT594" s="116"/>
      <c r="AU594" s="116"/>
      <c r="AV594" s="116"/>
      <c r="AW594" s="116"/>
      <c r="AX594" s="116"/>
      <c r="AY594" s="116"/>
      <c r="AZ594" s="116"/>
      <c r="BA594" s="116"/>
      <c r="BB594" s="116"/>
      <c r="BC594" s="116"/>
      <c r="BD594" s="116"/>
      <c r="BE594" s="116"/>
      <c r="BF594" s="116"/>
      <c r="BG594" s="116"/>
      <c r="BH594" s="124"/>
      <c r="BI594" s="124"/>
      <c r="BJ594" s="116"/>
      <c r="BK594" s="116"/>
      <c r="BL594" s="116"/>
      <c r="BM594" s="116"/>
      <c r="BN594" s="116"/>
      <c r="BO594" s="116"/>
      <c r="BP594" s="125"/>
      <c r="BQ594" s="116"/>
    </row>
    <row r="595">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c r="AI595" s="116"/>
      <c r="AJ595" s="116"/>
      <c r="AK595" s="116"/>
      <c r="AL595" s="116"/>
      <c r="AM595" s="116"/>
      <c r="AN595" s="116"/>
      <c r="AO595" s="116"/>
      <c r="AP595" s="116"/>
      <c r="AQ595" s="116"/>
      <c r="AR595" s="116"/>
      <c r="AS595" s="116"/>
      <c r="AT595" s="116"/>
      <c r="AU595" s="116"/>
      <c r="AV595" s="116"/>
      <c r="AW595" s="116"/>
      <c r="AX595" s="116"/>
      <c r="AY595" s="116"/>
      <c r="AZ595" s="116"/>
      <c r="BA595" s="116"/>
      <c r="BB595" s="116"/>
      <c r="BC595" s="116"/>
      <c r="BD595" s="116"/>
      <c r="BE595" s="116"/>
      <c r="BF595" s="116"/>
      <c r="BG595" s="116"/>
      <c r="BH595" s="124"/>
      <c r="BI595" s="124"/>
      <c r="BJ595" s="116"/>
      <c r="BK595" s="116"/>
      <c r="BL595" s="116"/>
      <c r="BM595" s="116"/>
      <c r="BN595" s="116"/>
      <c r="BO595" s="116"/>
      <c r="BP595" s="125"/>
      <c r="BQ595" s="116"/>
    </row>
    <row r="596">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c r="AI596" s="116"/>
      <c r="AJ596" s="116"/>
      <c r="AK596" s="116"/>
      <c r="AL596" s="116"/>
      <c r="AM596" s="116"/>
      <c r="AN596" s="116"/>
      <c r="AO596" s="116"/>
      <c r="AP596" s="116"/>
      <c r="AQ596" s="116"/>
      <c r="AR596" s="116"/>
      <c r="AS596" s="116"/>
      <c r="AT596" s="116"/>
      <c r="AU596" s="116"/>
      <c r="AV596" s="116"/>
      <c r="AW596" s="116"/>
      <c r="AX596" s="116"/>
      <c r="AY596" s="116"/>
      <c r="AZ596" s="116"/>
      <c r="BA596" s="116"/>
      <c r="BB596" s="116"/>
      <c r="BC596" s="116"/>
      <c r="BD596" s="116"/>
      <c r="BE596" s="116"/>
      <c r="BF596" s="116"/>
      <c r="BG596" s="116"/>
      <c r="BH596" s="124"/>
      <c r="BI596" s="124"/>
      <c r="BJ596" s="116"/>
      <c r="BK596" s="116"/>
      <c r="BL596" s="116"/>
      <c r="BM596" s="116"/>
      <c r="BN596" s="116"/>
      <c r="BO596" s="116"/>
      <c r="BP596" s="125"/>
      <c r="BQ596" s="116"/>
    </row>
    <row r="597">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c r="AI597" s="116"/>
      <c r="AJ597" s="116"/>
      <c r="AK597" s="116"/>
      <c r="AL597" s="116"/>
      <c r="AM597" s="116"/>
      <c r="AN597" s="116"/>
      <c r="AO597" s="116"/>
      <c r="AP597" s="116"/>
      <c r="AQ597" s="116"/>
      <c r="AR597" s="116"/>
      <c r="AS597" s="116"/>
      <c r="AT597" s="116"/>
      <c r="AU597" s="116"/>
      <c r="AV597" s="116"/>
      <c r="AW597" s="116"/>
      <c r="AX597" s="116"/>
      <c r="AY597" s="116"/>
      <c r="AZ597" s="116"/>
      <c r="BA597" s="116"/>
      <c r="BB597" s="116"/>
      <c r="BC597" s="116"/>
      <c r="BD597" s="116"/>
      <c r="BE597" s="116"/>
      <c r="BF597" s="116"/>
      <c r="BG597" s="116"/>
      <c r="BH597" s="124"/>
      <c r="BI597" s="124"/>
      <c r="BJ597" s="116"/>
      <c r="BK597" s="116"/>
      <c r="BL597" s="116"/>
      <c r="BM597" s="116"/>
      <c r="BN597" s="116"/>
      <c r="BO597" s="116"/>
      <c r="BP597" s="125"/>
      <c r="BQ597" s="116"/>
    </row>
    <row r="598">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c r="AI598" s="116"/>
      <c r="AJ598" s="116"/>
      <c r="AK598" s="116"/>
      <c r="AL598" s="116"/>
      <c r="AM598" s="116"/>
      <c r="AN598" s="116"/>
      <c r="AO598" s="116"/>
      <c r="AP598" s="116"/>
      <c r="AQ598" s="116"/>
      <c r="AR598" s="116"/>
      <c r="AS598" s="116"/>
      <c r="AT598" s="116"/>
      <c r="AU598" s="116"/>
      <c r="AV598" s="116"/>
      <c r="AW598" s="116"/>
      <c r="AX598" s="116"/>
      <c r="AY598" s="116"/>
      <c r="AZ598" s="116"/>
      <c r="BA598" s="116"/>
      <c r="BB598" s="116"/>
      <c r="BC598" s="116"/>
      <c r="BD598" s="116"/>
      <c r="BE598" s="116"/>
      <c r="BF598" s="116"/>
      <c r="BG598" s="116"/>
      <c r="BH598" s="124"/>
      <c r="BI598" s="124"/>
      <c r="BJ598" s="116"/>
      <c r="BK598" s="116"/>
      <c r="BL598" s="116"/>
      <c r="BM598" s="116"/>
      <c r="BN598" s="116"/>
      <c r="BO598" s="116"/>
      <c r="BP598" s="125"/>
      <c r="BQ598" s="116"/>
    </row>
    <row r="599">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c r="AI599" s="116"/>
      <c r="AJ599" s="116"/>
      <c r="AK599" s="116"/>
      <c r="AL599" s="116"/>
      <c r="AM599" s="116"/>
      <c r="AN599" s="116"/>
      <c r="AO599" s="116"/>
      <c r="AP599" s="116"/>
      <c r="AQ599" s="116"/>
      <c r="AR599" s="116"/>
      <c r="AS599" s="116"/>
      <c r="AT599" s="116"/>
      <c r="AU599" s="116"/>
      <c r="AV599" s="116"/>
      <c r="AW599" s="116"/>
      <c r="AX599" s="116"/>
      <c r="AY599" s="116"/>
      <c r="AZ599" s="116"/>
      <c r="BA599" s="116"/>
      <c r="BB599" s="116"/>
      <c r="BC599" s="116"/>
      <c r="BD599" s="116"/>
      <c r="BE599" s="116"/>
      <c r="BF599" s="116"/>
      <c r="BG599" s="116"/>
      <c r="BH599" s="124"/>
      <c r="BI599" s="124"/>
      <c r="BJ599" s="116"/>
      <c r="BK599" s="116"/>
      <c r="BL599" s="116"/>
      <c r="BM599" s="116"/>
      <c r="BN599" s="116"/>
      <c r="BO599" s="116"/>
      <c r="BP599" s="125"/>
      <c r="BQ599" s="116"/>
    </row>
    <row r="600">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c r="AI600" s="116"/>
      <c r="AJ600" s="116"/>
      <c r="AK600" s="116"/>
      <c r="AL600" s="116"/>
      <c r="AM600" s="116"/>
      <c r="AN600" s="116"/>
      <c r="AO600" s="116"/>
      <c r="AP600" s="116"/>
      <c r="AQ600" s="116"/>
      <c r="AR600" s="116"/>
      <c r="AS600" s="116"/>
      <c r="AT600" s="116"/>
      <c r="AU600" s="116"/>
      <c r="AV600" s="116"/>
      <c r="AW600" s="116"/>
      <c r="AX600" s="116"/>
      <c r="AY600" s="116"/>
      <c r="AZ600" s="116"/>
      <c r="BA600" s="116"/>
      <c r="BB600" s="116"/>
      <c r="BC600" s="116"/>
      <c r="BD600" s="116"/>
      <c r="BE600" s="116"/>
      <c r="BF600" s="116"/>
      <c r="BG600" s="116"/>
      <c r="BH600" s="124"/>
      <c r="BI600" s="124"/>
      <c r="BJ600" s="116"/>
      <c r="BK600" s="116"/>
      <c r="BL600" s="116"/>
      <c r="BM600" s="116"/>
      <c r="BN600" s="116"/>
      <c r="BO600" s="116"/>
      <c r="BP600" s="125"/>
      <c r="BQ600" s="116"/>
    </row>
    <row r="601">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c r="AI601" s="116"/>
      <c r="AJ601" s="116"/>
      <c r="AK601" s="116"/>
      <c r="AL601" s="116"/>
      <c r="AM601" s="116"/>
      <c r="AN601" s="116"/>
      <c r="AO601" s="116"/>
      <c r="AP601" s="116"/>
      <c r="AQ601" s="116"/>
      <c r="AR601" s="116"/>
      <c r="AS601" s="116"/>
      <c r="AT601" s="116"/>
      <c r="AU601" s="116"/>
      <c r="AV601" s="116"/>
      <c r="AW601" s="116"/>
      <c r="AX601" s="116"/>
      <c r="AY601" s="116"/>
      <c r="AZ601" s="116"/>
      <c r="BA601" s="116"/>
      <c r="BB601" s="116"/>
      <c r="BC601" s="116"/>
      <c r="BD601" s="116"/>
      <c r="BE601" s="116"/>
      <c r="BF601" s="116"/>
      <c r="BG601" s="116"/>
      <c r="BH601" s="124"/>
      <c r="BI601" s="124"/>
      <c r="BJ601" s="116"/>
      <c r="BK601" s="116"/>
      <c r="BL601" s="116"/>
      <c r="BM601" s="116"/>
      <c r="BN601" s="116"/>
      <c r="BO601" s="116"/>
      <c r="BP601" s="125"/>
      <c r="BQ601" s="116"/>
    </row>
    <row r="602">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c r="AI602" s="116"/>
      <c r="AJ602" s="116"/>
      <c r="AK602" s="116"/>
      <c r="AL602" s="116"/>
      <c r="AM602" s="116"/>
      <c r="AN602" s="116"/>
      <c r="AO602" s="116"/>
      <c r="AP602" s="116"/>
      <c r="AQ602" s="116"/>
      <c r="AR602" s="116"/>
      <c r="AS602" s="116"/>
      <c r="AT602" s="116"/>
      <c r="AU602" s="116"/>
      <c r="AV602" s="116"/>
      <c r="AW602" s="116"/>
      <c r="AX602" s="116"/>
      <c r="AY602" s="116"/>
      <c r="AZ602" s="116"/>
      <c r="BA602" s="116"/>
      <c r="BB602" s="116"/>
      <c r="BC602" s="116"/>
      <c r="BD602" s="116"/>
      <c r="BE602" s="116"/>
      <c r="BF602" s="116"/>
      <c r="BG602" s="116"/>
      <c r="BH602" s="124"/>
      <c r="BI602" s="124"/>
      <c r="BJ602" s="116"/>
      <c r="BK602" s="116"/>
      <c r="BL602" s="116"/>
      <c r="BM602" s="116"/>
      <c r="BN602" s="116"/>
      <c r="BO602" s="116"/>
      <c r="BP602" s="125"/>
      <c r="BQ602" s="116"/>
    </row>
    <row r="603">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c r="AI603" s="116"/>
      <c r="AJ603" s="116"/>
      <c r="AK603" s="116"/>
      <c r="AL603" s="116"/>
      <c r="AM603" s="116"/>
      <c r="AN603" s="116"/>
      <c r="AO603" s="116"/>
      <c r="AP603" s="116"/>
      <c r="AQ603" s="116"/>
      <c r="AR603" s="116"/>
      <c r="AS603" s="116"/>
      <c r="AT603" s="116"/>
      <c r="AU603" s="116"/>
      <c r="AV603" s="116"/>
      <c r="AW603" s="116"/>
      <c r="AX603" s="116"/>
      <c r="AY603" s="116"/>
      <c r="AZ603" s="116"/>
      <c r="BA603" s="116"/>
      <c r="BB603" s="116"/>
      <c r="BC603" s="116"/>
      <c r="BD603" s="116"/>
      <c r="BE603" s="116"/>
      <c r="BF603" s="116"/>
      <c r="BG603" s="116"/>
      <c r="BH603" s="124"/>
      <c r="BI603" s="124"/>
      <c r="BJ603" s="116"/>
      <c r="BK603" s="116"/>
      <c r="BL603" s="116"/>
      <c r="BM603" s="116"/>
      <c r="BN603" s="116"/>
      <c r="BO603" s="116"/>
      <c r="BP603" s="125"/>
      <c r="BQ603" s="116"/>
    </row>
    <row r="604">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c r="AI604" s="116"/>
      <c r="AJ604" s="116"/>
      <c r="AK604" s="116"/>
      <c r="AL604" s="116"/>
      <c r="AM604" s="116"/>
      <c r="AN604" s="116"/>
      <c r="AO604" s="116"/>
      <c r="AP604" s="116"/>
      <c r="AQ604" s="116"/>
      <c r="AR604" s="116"/>
      <c r="AS604" s="116"/>
      <c r="AT604" s="116"/>
      <c r="AU604" s="116"/>
      <c r="AV604" s="116"/>
      <c r="AW604" s="116"/>
      <c r="AX604" s="116"/>
      <c r="AY604" s="116"/>
      <c r="AZ604" s="116"/>
      <c r="BA604" s="116"/>
      <c r="BB604" s="116"/>
      <c r="BC604" s="116"/>
      <c r="BD604" s="116"/>
      <c r="BE604" s="116"/>
      <c r="BF604" s="116"/>
      <c r="BG604" s="116"/>
      <c r="BH604" s="124"/>
      <c r="BI604" s="124"/>
      <c r="BJ604" s="116"/>
      <c r="BK604" s="116"/>
      <c r="BL604" s="116"/>
      <c r="BM604" s="116"/>
      <c r="BN604" s="116"/>
      <c r="BO604" s="116"/>
      <c r="BP604" s="125"/>
      <c r="BQ604" s="116"/>
    </row>
    <row r="605">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c r="AI605" s="116"/>
      <c r="AJ605" s="116"/>
      <c r="AK605" s="116"/>
      <c r="AL605" s="116"/>
      <c r="AM605" s="116"/>
      <c r="AN605" s="116"/>
      <c r="AO605" s="116"/>
      <c r="AP605" s="116"/>
      <c r="AQ605" s="116"/>
      <c r="AR605" s="116"/>
      <c r="AS605" s="116"/>
      <c r="AT605" s="116"/>
      <c r="AU605" s="116"/>
      <c r="AV605" s="116"/>
      <c r="AW605" s="116"/>
      <c r="AX605" s="116"/>
      <c r="AY605" s="116"/>
      <c r="AZ605" s="116"/>
      <c r="BA605" s="116"/>
      <c r="BB605" s="116"/>
      <c r="BC605" s="116"/>
      <c r="BD605" s="116"/>
      <c r="BE605" s="116"/>
      <c r="BF605" s="116"/>
      <c r="BG605" s="116"/>
      <c r="BH605" s="124"/>
      <c r="BI605" s="124"/>
      <c r="BJ605" s="116"/>
      <c r="BK605" s="116"/>
      <c r="BL605" s="116"/>
      <c r="BM605" s="116"/>
      <c r="BN605" s="116"/>
      <c r="BO605" s="116"/>
      <c r="BP605" s="125"/>
      <c r="BQ605" s="116"/>
    </row>
    <row r="606">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c r="AI606" s="116"/>
      <c r="AJ606" s="116"/>
      <c r="AK606" s="116"/>
      <c r="AL606" s="116"/>
      <c r="AM606" s="116"/>
      <c r="AN606" s="116"/>
      <c r="AO606" s="116"/>
      <c r="AP606" s="116"/>
      <c r="AQ606" s="116"/>
      <c r="AR606" s="116"/>
      <c r="AS606" s="116"/>
      <c r="AT606" s="116"/>
      <c r="AU606" s="116"/>
      <c r="AV606" s="116"/>
      <c r="AW606" s="116"/>
      <c r="AX606" s="116"/>
      <c r="AY606" s="116"/>
      <c r="AZ606" s="116"/>
      <c r="BA606" s="116"/>
      <c r="BB606" s="116"/>
      <c r="BC606" s="116"/>
      <c r="BD606" s="116"/>
      <c r="BE606" s="116"/>
      <c r="BF606" s="116"/>
      <c r="BG606" s="116"/>
      <c r="BH606" s="124"/>
      <c r="BI606" s="124"/>
      <c r="BJ606" s="116"/>
      <c r="BK606" s="116"/>
      <c r="BL606" s="116"/>
      <c r="BM606" s="116"/>
      <c r="BN606" s="116"/>
      <c r="BO606" s="116"/>
      <c r="BP606" s="125"/>
      <c r="BQ606" s="116"/>
    </row>
    <row r="607">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c r="AI607" s="116"/>
      <c r="AJ607" s="116"/>
      <c r="AK607" s="116"/>
      <c r="AL607" s="116"/>
      <c r="AM607" s="116"/>
      <c r="AN607" s="116"/>
      <c r="AO607" s="116"/>
      <c r="AP607" s="116"/>
      <c r="AQ607" s="116"/>
      <c r="AR607" s="116"/>
      <c r="AS607" s="116"/>
      <c r="AT607" s="116"/>
      <c r="AU607" s="116"/>
      <c r="AV607" s="116"/>
      <c r="AW607" s="116"/>
      <c r="AX607" s="116"/>
      <c r="AY607" s="116"/>
      <c r="AZ607" s="116"/>
      <c r="BA607" s="116"/>
      <c r="BB607" s="116"/>
      <c r="BC607" s="116"/>
      <c r="BD607" s="116"/>
      <c r="BE607" s="116"/>
      <c r="BF607" s="116"/>
      <c r="BG607" s="116"/>
      <c r="BH607" s="124"/>
      <c r="BI607" s="124"/>
      <c r="BJ607" s="116"/>
      <c r="BK607" s="116"/>
      <c r="BL607" s="116"/>
      <c r="BM607" s="116"/>
      <c r="BN607" s="116"/>
      <c r="BO607" s="116"/>
      <c r="BP607" s="125"/>
      <c r="BQ607" s="116"/>
    </row>
    <row r="608">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c r="AI608" s="116"/>
      <c r="AJ608" s="116"/>
      <c r="AK608" s="116"/>
      <c r="AL608" s="116"/>
      <c r="AM608" s="116"/>
      <c r="AN608" s="116"/>
      <c r="AO608" s="116"/>
      <c r="AP608" s="116"/>
      <c r="AQ608" s="116"/>
      <c r="AR608" s="116"/>
      <c r="AS608" s="116"/>
      <c r="AT608" s="116"/>
      <c r="AU608" s="116"/>
      <c r="AV608" s="116"/>
      <c r="AW608" s="116"/>
      <c r="AX608" s="116"/>
      <c r="AY608" s="116"/>
      <c r="AZ608" s="116"/>
      <c r="BA608" s="116"/>
      <c r="BB608" s="116"/>
      <c r="BC608" s="116"/>
      <c r="BD608" s="116"/>
      <c r="BE608" s="116"/>
      <c r="BF608" s="116"/>
      <c r="BG608" s="116"/>
      <c r="BH608" s="124"/>
      <c r="BI608" s="124"/>
      <c r="BJ608" s="116"/>
      <c r="BK608" s="116"/>
      <c r="BL608" s="116"/>
      <c r="BM608" s="116"/>
      <c r="BN608" s="116"/>
      <c r="BO608" s="116"/>
      <c r="BP608" s="125"/>
      <c r="BQ608" s="116"/>
    </row>
    <row r="609">
      <c r="A609" s="116"/>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c r="AI609" s="116"/>
      <c r="AJ609" s="116"/>
      <c r="AK609" s="116"/>
      <c r="AL609" s="116"/>
      <c r="AM609" s="116"/>
      <c r="AN609" s="116"/>
      <c r="AO609" s="116"/>
      <c r="AP609" s="116"/>
      <c r="AQ609" s="116"/>
      <c r="AR609" s="116"/>
      <c r="AS609" s="116"/>
      <c r="AT609" s="116"/>
      <c r="AU609" s="116"/>
      <c r="AV609" s="116"/>
      <c r="AW609" s="116"/>
      <c r="AX609" s="116"/>
      <c r="AY609" s="116"/>
      <c r="AZ609" s="116"/>
      <c r="BA609" s="116"/>
      <c r="BB609" s="116"/>
      <c r="BC609" s="116"/>
      <c r="BD609" s="116"/>
      <c r="BE609" s="116"/>
      <c r="BF609" s="116"/>
      <c r="BG609" s="116"/>
      <c r="BH609" s="124"/>
      <c r="BI609" s="124"/>
      <c r="BJ609" s="116"/>
      <c r="BK609" s="116"/>
      <c r="BL609" s="116"/>
      <c r="BM609" s="116"/>
      <c r="BN609" s="116"/>
      <c r="BO609" s="116"/>
      <c r="BP609" s="125"/>
      <c r="BQ609" s="116"/>
    </row>
    <row r="610">
      <c r="A610" s="116"/>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c r="AE610" s="116"/>
      <c r="AF610" s="116"/>
      <c r="AG610" s="116"/>
      <c r="AH610" s="116"/>
      <c r="AI610" s="116"/>
      <c r="AJ610" s="116"/>
      <c r="AK610" s="116"/>
      <c r="AL610" s="116"/>
      <c r="AM610" s="116"/>
      <c r="AN610" s="116"/>
      <c r="AO610" s="116"/>
      <c r="AP610" s="116"/>
      <c r="AQ610" s="116"/>
      <c r="AR610" s="116"/>
      <c r="AS610" s="116"/>
      <c r="AT610" s="116"/>
      <c r="AU610" s="116"/>
      <c r="AV610" s="116"/>
      <c r="AW610" s="116"/>
      <c r="AX610" s="116"/>
      <c r="AY610" s="116"/>
      <c r="AZ610" s="116"/>
      <c r="BA610" s="116"/>
      <c r="BB610" s="116"/>
      <c r="BC610" s="116"/>
      <c r="BD610" s="116"/>
      <c r="BE610" s="116"/>
      <c r="BF610" s="116"/>
      <c r="BG610" s="116"/>
      <c r="BH610" s="124"/>
      <c r="BI610" s="124"/>
      <c r="BJ610" s="116"/>
      <c r="BK610" s="116"/>
      <c r="BL610" s="116"/>
      <c r="BM610" s="116"/>
      <c r="BN610" s="116"/>
      <c r="BO610" s="116"/>
      <c r="BP610" s="125"/>
      <c r="BQ610" s="116"/>
    </row>
    <row r="611">
      <c r="A611" s="116"/>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c r="AI611" s="116"/>
      <c r="AJ611" s="116"/>
      <c r="AK611" s="116"/>
      <c r="AL611" s="116"/>
      <c r="AM611" s="116"/>
      <c r="AN611" s="116"/>
      <c r="AO611" s="116"/>
      <c r="AP611" s="116"/>
      <c r="AQ611" s="116"/>
      <c r="AR611" s="116"/>
      <c r="AS611" s="116"/>
      <c r="AT611" s="116"/>
      <c r="AU611" s="116"/>
      <c r="AV611" s="116"/>
      <c r="AW611" s="116"/>
      <c r="AX611" s="116"/>
      <c r="AY611" s="116"/>
      <c r="AZ611" s="116"/>
      <c r="BA611" s="116"/>
      <c r="BB611" s="116"/>
      <c r="BC611" s="116"/>
      <c r="BD611" s="116"/>
      <c r="BE611" s="116"/>
      <c r="BF611" s="116"/>
      <c r="BG611" s="116"/>
      <c r="BH611" s="124"/>
      <c r="BI611" s="124"/>
      <c r="BJ611" s="116"/>
      <c r="BK611" s="116"/>
      <c r="BL611" s="116"/>
      <c r="BM611" s="116"/>
      <c r="BN611" s="116"/>
      <c r="BO611" s="116"/>
      <c r="BP611" s="125"/>
      <c r="BQ611" s="116"/>
    </row>
    <row r="612">
      <c r="A612" s="116"/>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c r="AE612" s="116"/>
      <c r="AF612" s="116"/>
      <c r="AG612" s="116"/>
      <c r="AH612" s="116"/>
      <c r="AI612" s="116"/>
      <c r="AJ612" s="116"/>
      <c r="AK612" s="116"/>
      <c r="AL612" s="116"/>
      <c r="AM612" s="116"/>
      <c r="AN612" s="116"/>
      <c r="AO612" s="116"/>
      <c r="AP612" s="116"/>
      <c r="AQ612" s="116"/>
      <c r="AR612" s="116"/>
      <c r="AS612" s="116"/>
      <c r="AT612" s="116"/>
      <c r="AU612" s="116"/>
      <c r="AV612" s="116"/>
      <c r="AW612" s="116"/>
      <c r="AX612" s="116"/>
      <c r="AY612" s="116"/>
      <c r="AZ612" s="116"/>
      <c r="BA612" s="116"/>
      <c r="BB612" s="116"/>
      <c r="BC612" s="116"/>
      <c r="BD612" s="116"/>
      <c r="BE612" s="116"/>
      <c r="BF612" s="116"/>
      <c r="BG612" s="116"/>
      <c r="BH612" s="124"/>
      <c r="BI612" s="124"/>
      <c r="BJ612" s="116"/>
      <c r="BK612" s="116"/>
      <c r="BL612" s="116"/>
      <c r="BM612" s="116"/>
      <c r="BN612" s="116"/>
      <c r="BO612" s="116"/>
      <c r="BP612" s="125"/>
      <c r="BQ612" s="116"/>
    </row>
    <row r="613">
      <c r="A613" s="116"/>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c r="AE613" s="116"/>
      <c r="AF613" s="116"/>
      <c r="AG613" s="116"/>
      <c r="AH613" s="116"/>
      <c r="AI613" s="116"/>
      <c r="AJ613" s="116"/>
      <c r="AK613" s="116"/>
      <c r="AL613" s="116"/>
      <c r="AM613" s="116"/>
      <c r="AN613" s="116"/>
      <c r="AO613" s="116"/>
      <c r="AP613" s="116"/>
      <c r="AQ613" s="116"/>
      <c r="AR613" s="116"/>
      <c r="AS613" s="116"/>
      <c r="AT613" s="116"/>
      <c r="AU613" s="116"/>
      <c r="AV613" s="116"/>
      <c r="AW613" s="116"/>
      <c r="AX613" s="116"/>
      <c r="AY613" s="116"/>
      <c r="AZ613" s="116"/>
      <c r="BA613" s="116"/>
      <c r="BB613" s="116"/>
      <c r="BC613" s="116"/>
      <c r="BD613" s="116"/>
      <c r="BE613" s="116"/>
      <c r="BF613" s="116"/>
      <c r="BG613" s="116"/>
      <c r="BH613" s="124"/>
      <c r="BI613" s="124"/>
      <c r="BJ613" s="116"/>
      <c r="BK613" s="116"/>
      <c r="BL613" s="116"/>
      <c r="BM613" s="116"/>
      <c r="BN613" s="116"/>
      <c r="BO613" s="116"/>
      <c r="BP613" s="125"/>
      <c r="BQ613" s="116"/>
    </row>
    <row r="614">
      <c r="A614" s="116"/>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c r="AI614" s="116"/>
      <c r="AJ614" s="116"/>
      <c r="AK614" s="116"/>
      <c r="AL614" s="116"/>
      <c r="AM614" s="116"/>
      <c r="AN614" s="116"/>
      <c r="AO614" s="116"/>
      <c r="AP614" s="116"/>
      <c r="AQ614" s="116"/>
      <c r="AR614" s="116"/>
      <c r="AS614" s="116"/>
      <c r="AT614" s="116"/>
      <c r="AU614" s="116"/>
      <c r="AV614" s="116"/>
      <c r="AW614" s="116"/>
      <c r="AX614" s="116"/>
      <c r="AY614" s="116"/>
      <c r="AZ614" s="116"/>
      <c r="BA614" s="116"/>
      <c r="BB614" s="116"/>
      <c r="BC614" s="116"/>
      <c r="BD614" s="116"/>
      <c r="BE614" s="116"/>
      <c r="BF614" s="116"/>
      <c r="BG614" s="116"/>
      <c r="BH614" s="124"/>
      <c r="BI614" s="124"/>
      <c r="BJ614" s="116"/>
      <c r="BK614" s="116"/>
      <c r="BL614" s="116"/>
      <c r="BM614" s="116"/>
      <c r="BN614" s="116"/>
      <c r="BO614" s="116"/>
      <c r="BP614" s="125"/>
      <c r="BQ614" s="116"/>
    </row>
    <row r="615">
      <c r="A615" s="116"/>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c r="AA615" s="116"/>
      <c r="AB615" s="116"/>
      <c r="AC615" s="116"/>
      <c r="AD615" s="116"/>
      <c r="AE615" s="116"/>
      <c r="AF615" s="116"/>
      <c r="AG615" s="116"/>
      <c r="AH615" s="116"/>
      <c r="AI615" s="116"/>
      <c r="AJ615" s="116"/>
      <c r="AK615" s="116"/>
      <c r="AL615" s="116"/>
      <c r="AM615" s="116"/>
      <c r="AN615" s="116"/>
      <c r="AO615" s="116"/>
      <c r="AP615" s="116"/>
      <c r="AQ615" s="116"/>
      <c r="AR615" s="116"/>
      <c r="AS615" s="116"/>
      <c r="AT615" s="116"/>
      <c r="AU615" s="116"/>
      <c r="AV615" s="116"/>
      <c r="AW615" s="116"/>
      <c r="AX615" s="116"/>
      <c r="AY615" s="116"/>
      <c r="AZ615" s="116"/>
      <c r="BA615" s="116"/>
      <c r="BB615" s="116"/>
      <c r="BC615" s="116"/>
      <c r="BD615" s="116"/>
      <c r="BE615" s="116"/>
      <c r="BF615" s="116"/>
      <c r="BG615" s="116"/>
      <c r="BH615" s="124"/>
      <c r="BI615" s="124"/>
      <c r="BJ615" s="116"/>
      <c r="BK615" s="116"/>
      <c r="BL615" s="116"/>
      <c r="BM615" s="116"/>
      <c r="BN615" s="116"/>
      <c r="BO615" s="116"/>
      <c r="BP615" s="125"/>
      <c r="BQ615" s="116"/>
    </row>
    <row r="616">
      <c r="A616" s="1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c r="AE616" s="116"/>
      <c r="AF616" s="116"/>
      <c r="AG616" s="116"/>
      <c r="AH616" s="116"/>
      <c r="AI616" s="116"/>
      <c r="AJ616" s="116"/>
      <c r="AK616" s="116"/>
      <c r="AL616" s="116"/>
      <c r="AM616" s="116"/>
      <c r="AN616" s="116"/>
      <c r="AO616" s="116"/>
      <c r="AP616" s="116"/>
      <c r="AQ616" s="116"/>
      <c r="AR616" s="116"/>
      <c r="AS616" s="116"/>
      <c r="AT616" s="116"/>
      <c r="AU616" s="116"/>
      <c r="AV616" s="116"/>
      <c r="AW616" s="116"/>
      <c r="AX616" s="116"/>
      <c r="AY616" s="116"/>
      <c r="AZ616" s="116"/>
      <c r="BA616" s="116"/>
      <c r="BB616" s="116"/>
      <c r="BC616" s="116"/>
      <c r="BD616" s="116"/>
      <c r="BE616" s="116"/>
      <c r="BF616" s="116"/>
      <c r="BG616" s="116"/>
      <c r="BH616" s="124"/>
      <c r="BI616" s="124"/>
      <c r="BJ616" s="116"/>
      <c r="BK616" s="116"/>
      <c r="BL616" s="116"/>
      <c r="BM616" s="116"/>
      <c r="BN616" s="116"/>
      <c r="BO616" s="116"/>
      <c r="BP616" s="125"/>
      <c r="BQ616" s="116"/>
    </row>
    <row r="617">
      <c r="A617" s="116"/>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c r="AA617" s="116"/>
      <c r="AB617" s="116"/>
      <c r="AC617" s="116"/>
      <c r="AD617" s="116"/>
      <c r="AE617" s="116"/>
      <c r="AF617" s="116"/>
      <c r="AG617" s="116"/>
      <c r="AH617" s="116"/>
      <c r="AI617" s="116"/>
      <c r="AJ617" s="116"/>
      <c r="AK617" s="116"/>
      <c r="AL617" s="116"/>
      <c r="AM617" s="116"/>
      <c r="AN617" s="116"/>
      <c r="AO617" s="116"/>
      <c r="AP617" s="116"/>
      <c r="AQ617" s="116"/>
      <c r="AR617" s="116"/>
      <c r="AS617" s="116"/>
      <c r="AT617" s="116"/>
      <c r="AU617" s="116"/>
      <c r="AV617" s="116"/>
      <c r="AW617" s="116"/>
      <c r="AX617" s="116"/>
      <c r="AY617" s="116"/>
      <c r="AZ617" s="116"/>
      <c r="BA617" s="116"/>
      <c r="BB617" s="116"/>
      <c r="BC617" s="116"/>
      <c r="BD617" s="116"/>
      <c r="BE617" s="116"/>
      <c r="BF617" s="116"/>
      <c r="BG617" s="116"/>
      <c r="BH617" s="124"/>
      <c r="BI617" s="124"/>
      <c r="BJ617" s="116"/>
      <c r="BK617" s="116"/>
      <c r="BL617" s="116"/>
      <c r="BM617" s="116"/>
      <c r="BN617" s="116"/>
      <c r="BO617" s="116"/>
      <c r="BP617" s="125"/>
      <c r="BQ617" s="116"/>
    </row>
    <row r="618">
      <c r="A618" s="116"/>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c r="AA618" s="116"/>
      <c r="AB618" s="116"/>
      <c r="AC618" s="116"/>
      <c r="AD618" s="116"/>
      <c r="AE618" s="116"/>
      <c r="AF618" s="116"/>
      <c r="AG618" s="116"/>
      <c r="AH618" s="116"/>
      <c r="AI618" s="116"/>
      <c r="AJ618" s="116"/>
      <c r="AK618" s="116"/>
      <c r="AL618" s="116"/>
      <c r="AM618" s="116"/>
      <c r="AN618" s="116"/>
      <c r="AO618" s="116"/>
      <c r="AP618" s="116"/>
      <c r="AQ618" s="116"/>
      <c r="AR618" s="116"/>
      <c r="AS618" s="116"/>
      <c r="AT618" s="116"/>
      <c r="AU618" s="116"/>
      <c r="AV618" s="116"/>
      <c r="AW618" s="116"/>
      <c r="AX618" s="116"/>
      <c r="AY618" s="116"/>
      <c r="AZ618" s="116"/>
      <c r="BA618" s="116"/>
      <c r="BB618" s="116"/>
      <c r="BC618" s="116"/>
      <c r="BD618" s="116"/>
      <c r="BE618" s="116"/>
      <c r="BF618" s="116"/>
      <c r="BG618" s="116"/>
      <c r="BH618" s="124"/>
      <c r="BI618" s="124"/>
      <c r="BJ618" s="116"/>
      <c r="BK618" s="116"/>
      <c r="BL618" s="116"/>
      <c r="BM618" s="116"/>
      <c r="BN618" s="116"/>
      <c r="BO618" s="116"/>
      <c r="BP618" s="125"/>
      <c r="BQ618" s="116"/>
    </row>
    <row r="619">
      <c r="A619" s="116"/>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c r="AA619" s="116"/>
      <c r="AB619" s="116"/>
      <c r="AC619" s="116"/>
      <c r="AD619" s="116"/>
      <c r="AE619" s="116"/>
      <c r="AF619" s="116"/>
      <c r="AG619" s="116"/>
      <c r="AH619" s="116"/>
      <c r="AI619" s="116"/>
      <c r="AJ619" s="116"/>
      <c r="AK619" s="116"/>
      <c r="AL619" s="116"/>
      <c r="AM619" s="116"/>
      <c r="AN619" s="116"/>
      <c r="AO619" s="116"/>
      <c r="AP619" s="116"/>
      <c r="AQ619" s="116"/>
      <c r="AR619" s="116"/>
      <c r="AS619" s="116"/>
      <c r="AT619" s="116"/>
      <c r="AU619" s="116"/>
      <c r="AV619" s="116"/>
      <c r="AW619" s="116"/>
      <c r="AX619" s="116"/>
      <c r="AY619" s="116"/>
      <c r="AZ619" s="116"/>
      <c r="BA619" s="116"/>
      <c r="BB619" s="116"/>
      <c r="BC619" s="116"/>
      <c r="BD619" s="116"/>
      <c r="BE619" s="116"/>
      <c r="BF619" s="116"/>
      <c r="BG619" s="116"/>
      <c r="BH619" s="124"/>
      <c r="BI619" s="124"/>
      <c r="BJ619" s="116"/>
      <c r="BK619" s="116"/>
      <c r="BL619" s="116"/>
      <c r="BM619" s="116"/>
      <c r="BN619" s="116"/>
      <c r="BO619" s="116"/>
      <c r="BP619" s="125"/>
      <c r="BQ619" s="116"/>
    </row>
    <row r="620">
      <c r="A620" s="116"/>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c r="AA620" s="116"/>
      <c r="AB620" s="116"/>
      <c r="AC620" s="116"/>
      <c r="AD620" s="116"/>
      <c r="AE620" s="116"/>
      <c r="AF620" s="116"/>
      <c r="AG620" s="116"/>
      <c r="AH620" s="116"/>
      <c r="AI620" s="116"/>
      <c r="AJ620" s="116"/>
      <c r="AK620" s="116"/>
      <c r="AL620" s="116"/>
      <c r="AM620" s="116"/>
      <c r="AN620" s="116"/>
      <c r="AO620" s="116"/>
      <c r="AP620" s="116"/>
      <c r="AQ620" s="116"/>
      <c r="AR620" s="116"/>
      <c r="AS620" s="116"/>
      <c r="AT620" s="116"/>
      <c r="AU620" s="116"/>
      <c r="AV620" s="116"/>
      <c r="AW620" s="116"/>
      <c r="AX620" s="116"/>
      <c r="AY620" s="116"/>
      <c r="AZ620" s="116"/>
      <c r="BA620" s="116"/>
      <c r="BB620" s="116"/>
      <c r="BC620" s="116"/>
      <c r="BD620" s="116"/>
      <c r="BE620" s="116"/>
      <c r="BF620" s="116"/>
      <c r="BG620" s="116"/>
      <c r="BH620" s="124"/>
      <c r="BI620" s="124"/>
      <c r="BJ620" s="116"/>
      <c r="BK620" s="116"/>
      <c r="BL620" s="116"/>
      <c r="BM620" s="116"/>
      <c r="BN620" s="116"/>
      <c r="BO620" s="116"/>
      <c r="BP620" s="125"/>
      <c r="BQ620" s="116"/>
    </row>
    <row r="621">
      <c r="A621" s="116"/>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c r="AA621" s="116"/>
      <c r="AB621" s="116"/>
      <c r="AC621" s="116"/>
      <c r="AD621" s="116"/>
      <c r="AE621" s="116"/>
      <c r="AF621" s="116"/>
      <c r="AG621" s="116"/>
      <c r="AH621" s="116"/>
      <c r="AI621" s="116"/>
      <c r="AJ621" s="116"/>
      <c r="AK621" s="116"/>
      <c r="AL621" s="116"/>
      <c r="AM621" s="116"/>
      <c r="AN621" s="116"/>
      <c r="AO621" s="116"/>
      <c r="AP621" s="116"/>
      <c r="AQ621" s="116"/>
      <c r="AR621" s="116"/>
      <c r="AS621" s="116"/>
      <c r="AT621" s="116"/>
      <c r="AU621" s="116"/>
      <c r="AV621" s="116"/>
      <c r="AW621" s="116"/>
      <c r="AX621" s="116"/>
      <c r="AY621" s="116"/>
      <c r="AZ621" s="116"/>
      <c r="BA621" s="116"/>
      <c r="BB621" s="116"/>
      <c r="BC621" s="116"/>
      <c r="BD621" s="116"/>
      <c r="BE621" s="116"/>
      <c r="BF621" s="116"/>
      <c r="BG621" s="116"/>
      <c r="BH621" s="124"/>
      <c r="BI621" s="124"/>
      <c r="BJ621" s="116"/>
      <c r="BK621" s="116"/>
      <c r="BL621" s="116"/>
      <c r="BM621" s="116"/>
      <c r="BN621" s="116"/>
      <c r="BO621" s="116"/>
      <c r="BP621" s="125"/>
      <c r="BQ621" s="116"/>
    </row>
    <row r="622">
      <c r="A622" s="116"/>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c r="AE622" s="116"/>
      <c r="AF622" s="116"/>
      <c r="AG622" s="116"/>
      <c r="AH622" s="116"/>
      <c r="AI622" s="116"/>
      <c r="AJ622" s="116"/>
      <c r="AK622" s="116"/>
      <c r="AL622" s="116"/>
      <c r="AM622" s="116"/>
      <c r="AN622" s="116"/>
      <c r="AO622" s="116"/>
      <c r="AP622" s="116"/>
      <c r="AQ622" s="116"/>
      <c r="AR622" s="116"/>
      <c r="AS622" s="116"/>
      <c r="AT622" s="116"/>
      <c r="AU622" s="116"/>
      <c r="AV622" s="116"/>
      <c r="AW622" s="116"/>
      <c r="AX622" s="116"/>
      <c r="AY622" s="116"/>
      <c r="AZ622" s="116"/>
      <c r="BA622" s="116"/>
      <c r="BB622" s="116"/>
      <c r="BC622" s="116"/>
      <c r="BD622" s="116"/>
      <c r="BE622" s="116"/>
      <c r="BF622" s="116"/>
      <c r="BG622" s="116"/>
      <c r="BH622" s="124"/>
      <c r="BI622" s="124"/>
      <c r="BJ622" s="116"/>
      <c r="BK622" s="116"/>
      <c r="BL622" s="116"/>
      <c r="BM622" s="116"/>
      <c r="BN622" s="116"/>
      <c r="BO622" s="116"/>
      <c r="BP622" s="125"/>
      <c r="BQ622" s="116"/>
    </row>
    <row r="623">
      <c r="A623" s="116"/>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c r="AE623" s="116"/>
      <c r="AF623" s="116"/>
      <c r="AG623" s="116"/>
      <c r="AH623" s="116"/>
      <c r="AI623" s="116"/>
      <c r="AJ623" s="116"/>
      <c r="AK623" s="116"/>
      <c r="AL623" s="116"/>
      <c r="AM623" s="116"/>
      <c r="AN623" s="116"/>
      <c r="AO623" s="116"/>
      <c r="AP623" s="116"/>
      <c r="AQ623" s="116"/>
      <c r="AR623" s="116"/>
      <c r="AS623" s="116"/>
      <c r="AT623" s="116"/>
      <c r="AU623" s="116"/>
      <c r="AV623" s="116"/>
      <c r="AW623" s="116"/>
      <c r="AX623" s="116"/>
      <c r="AY623" s="116"/>
      <c r="AZ623" s="116"/>
      <c r="BA623" s="116"/>
      <c r="BB623" s="116"/>
      <c r="BC623" s="116"/>
      <c r="BD623" s="116"/>
      <c r="BE623" s="116"/>
      <c r="BF623" s="116"/>
      <c r="BG623" s="116"/>
      <c r="BH623" s="124"/>
      <c r="BI623" s="124"/>
      <c r="BJ623" s="116"/>
      <c r="BK623" s="116"/>
      <c r="BL623" s="116"/>
      <c r="BM623" s="116"/>
      <c r="BN623" s="116"/>
      <c r="BO623" s="116"/>
      <c r="BP623" s="125"/>
      <c r="BQ623" s="116"/>
    </row>
    <row r="624">
      <c r="A624" s="116"/>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c r="AE624" s="116"/>
      <c r="AF624" s="116"/>
      <c r="AG624" s="116"/>
      <c r="AH624" s="116"/>
      <c r="AI624" s="116"/>
      <c r="AJ624" s="116"/>
      <c r="AK624" s="116"/>
      <c r="AL624" s="116"/>
      <c r="AM624" s="116"/>
      <c r="AN624" s="116"/>
      <c r="AO624" s="116"/>
      <c r="AP624" s="116"/>
      <c r="AQ624" s="116"/>
      <c r="AR624" s="116"/>
      <c r="AS624" s="116"/>
      <c r="AT624" s="116"/>
      <c r="AU624" s="116"/>
      <c r="AV624" s="116"/>
      <c r="AW624" s="116"/>
      <c r="AX624" s="116"/>
      <c r="AY624" s="116"/>
      <c r="AZ624" s="116"/>
      <c r="BA624" s="116"/>
      <c r="BB624" s="116"/>
      <c r="BC624" s="116"/>
      <c r="BD624" s="116"/>
      <c r="BE624" s="116"/>
      <c r="BF624" s="116"/>
      <c r="BG624" s="116"/>
      <c r="BH624" s="124"/>
      <c r="BI624" s="124"/>
      <c r="BJ624" s="116"/>
      <c r="BK624" s="116"/>
      <c r="BL624" s="116"/>
      <c r="BM624" s="116"/>
      <c r="BN624" s="116"/>
      <c r="BO624" s="116"/>
      <c r="BP624" s="125"/>
      <c r="BQ624" s="116"/>
    </row>
    <row r="625">
      <c r="A625" s="116"/>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c r="AE625" s="116"/>
      <c r="AF625" s="116"/>
      <c r="AG625" s="116"/>
      <c r="AH625" s="116"/>
      <c r="AI625" s="116"/>
      <c r="AJ625" s="116"/>
      <c r="AK625" s="116"/>
      <c r="AL625" s="116"/>
      <c r="AM625" s="116"/>
      <c r="AN625" s="116"/>
      <c r="AO625" s="116"/>
      <c r="AP625" s="116"/>
      <c r="AQ625" s="116"/>
      <c r="AR625" s="116"/>
      <c r="AS625" s="116"/>
      <c r="AT625" s="116"/>
      <c r="AU625" s="116"/>
      <c r="AV625" s="116"/>
      <c r="AW625" s="116"/>
      <c r="AX625" s="116"/>
      <c r="AY625" s="116"/>
      <c r="AZ625" s="116"/>
      <c r="BA625" s="116"/>
      <c r="BB625" s="116"/>
      <c r="BC625" s="116"/>
      <c r="BD625" s="116"/>
      <c r="BE625" s="116"/>
      <c r="BF625" s="116"/>
      <c r="BG625" s="116"/>
      <c r="BH625" s="124"/>
      <c r="BI625" s="124"/>
      <c r="BJ625" s="116"/>
      <c r="BK625" s="116"/>
      <c r="BL625" s="116"/>
      <c r="BM625" s="116"/>
      <c r="BN625" s="116"/>
      <c r="BO625" s="116"/>
      <c r="BP625" s="125"/>
      <c r="BQ625" s="116"/>
    </row>
    <row r="626">
      <c r="A626" s="11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c r="AE626" s="116"/>
      <c r="AF626" s="116"/>
      <c r="AG626" s="116"/>
      <c r="AH626" s="116"/>
      <c r="AI626" s="116"/>
      <c r="AJ626" s="116"/>
      <c r="AK626" s="116"/>
      <c r="AL626" s="116"/>
      <c r="AM626" s="116"/>
      <c r="AN626" s="116"/>
      <c r="AO626" s="116"/>
      <c r="AP626" s="116"/>
      <c r="AQ626" s="116"/>
      <c r="AR626" s="116"/>
      <c r="AS626" s="116"/>
      <c r="AT626" s="116"/>
      <c r="AU626" s="116"/>
      <c r="AV626" s="116"/>
      <c r="AW626" s="116"/>
      <c r="AX626" s="116"/>
      <c r="AY626" s="116"/>
      <c r="AZ626" s="116"/>
      <c r="BA626" s="116"/>
      <c r="BB626" s="116"/>
      <c r="BC626" s="116"/>
      <c r="BD626" s="116"/>
      <c r="BE626" s="116"/>
      <c r="BF626" s="116"/>
      <c r="BG626" s="116"/>
      <c r="BH626" s="124"/>
      <c r="BI626" s="124"/>
      <c r="BJ626" s="116"/>
      <c r="BK626" s="116"/>
      <c r="BL626" s="116"/>
      <c r="BM626" s="116"/>
      <c r="BN626" s="116"/>
      <c r="BO626" s="116"/>
      <c r="BP626" s="125"/>
      <c r="BQ626" s="116"/>
    </row>
    <row r="627">
      <c r="A627" s="116"/>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c r="AE627" s="116"/>
      <c r="AF627" s="116"/>
      <c r="AG627" s="116"/>
      <c r="AH627" s="116"/>
      <c r="AI627" s="116"/>
      <c r="AJ627" s="116"/>
      <c r="AK627" s="116"/>
      <c r="AL627" s="116"/>
      <c r="AM627" s="116"/>
      <c r="AN627" s="116"/>
      <c r="AO627" s="116"/>
      <c r="AP627" s="116"/>
      <c r="AQ627" s="116"/>
      <c r="AR627" s="116"/>
      <c r="AS627" s="116"/>
      <c r="AT627" s="116"/>
      <c r="AU627" s="116"/>
      <c r="AV627" s="116"/>
      <c r="AW627" s="116"/>
      <c r="AX627" s="116"/>
      <c r="AY627" s="116"/>
      <c r="AZ627" s="116"/>
      <c r="BA627" s="116"/>
      <c r="BB627" s="116"/>
      <c r="BC627" s="116"/>
      <c r="BD627" s="116"/>
      <c r="BE627" s="116"/>
      <c r="BF627" s="116"/>
      <c r="BG627" s="116"/>
      <c r="BH627" s="124"/>
      <c r="BI627" s="124"/>
      <c r="BJ627" s="116"/>
      <c r="BK627" s="116"/>
      <c r="BL627" s="116"/>
      <c r="BM627" s="116"/>
      <c r="BN627" s="116"/>
      <c r="BO627" s="116"/>
      <c r="BP627" s="125"/>
      <c r="BQ627" s="116"/>
    </row>
    <row r="628">
      <c r="A628" s="116"/>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c r="AE628" s="116"/>
      <c r="AF628" s="116"/>
      <c r="AG628" s="116"/>
      <c r="AH628" s="116"/>
      <c r="AI628" s="116"/>
      <c r="AJ628" s="116"/>
      <c r="AK628" s="116"/>
      <c r="AL628" s="116"/>
      <c r="AM628" s="116"/>
      <c r="AN628" s="116"/>
      <c r="AO628" s="116"/>
      <c r="AP628" s="116"/>
      <c r="AQ628" s="116"/>
      <c r="AR628" s="116"/>
      <c r="AS628" s="116"/>
      <c r="AT628" s="116"/>
      <c r="AU628" s="116"/>
      <c r="AV628" s="116"/>
      <c r="AW628" s="116"/>
      <c r="AX628" s="116"/>
      <c r="AY628" s="116"/>
      <c r="AZ628" s="116"/>
      <c r="BA628" s="116"/>
      <c r="BB628" s="116"/>
      <c r="BC628" s="116"/>
      <c r="BD628" s="116"/>
      <c r="BE628" s="116"/>
      <c r="BF628" s="116"/>
      <c r="BG628" s="116"/>
      <c r="BH628" s="124"/>
      <c r="BI628" s="124"/>
      <c r="BJ628" s="116"/>
      <c r="BK628" s="116"/>
      <c r="BL628" s="116"/>
      <c r="BM628" s="116"/>
      <c r="BN628" s="116"/>
      <c r="BO628" s="116"/>
      <c r="BP628" s="125"/>
      <c r="BQ628" s="116"/>
    </row>
    <row r="629">
      <c r="A629" s="116"/>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c r="AE629" s="116"/>
      <c r="AF629" s="116"/>
      <c r="AG629" s="116"/>
      <c r="AH629" s="116"/>
      <c r="AI629" s="116"/>
      <c r="AJ629" s="116"/>
      <c r="AK629" s="116"/>
      <c r="AL629" s="116"/>
      <c r="AM629" s="116"/>
      <c r="AN629" s="116"/>
      <c r="AO629" s="116"/>
      <c r="AP629" s="116"/>
      <c r="AQ629" s="116"/>
      <c r="AR629" s="116"/>
      <c r="AS629" s="116"/>
      <c r="AT629" s="116"/>
      <c r="AU629" s="116"/>
      <c r="AV629" s="116"/>
      <c r="AW629" s="116"/>
      <c r="AX629" s="116"/>
      <c r="AY629" s="116"/>
      <c r="AZ629" s="116"/>
      <c r="BA629" s="116"/>
      <c r="BB629" s="116"/>
      <c r="BC629" s="116"/>
      <c r="BD629" s="116"/>
      <c r="BE629" s="116"/>
      <c r="BF629" s="116"/>
      <c r="BG629" s="116"/>
      <c r="BH629" s="124"/>
      <c r="BI629" s="124"/>
      <c r="BJ629" s="116"/>
      <c r="BK629" s="116"/>
      <c r="BL629" s="116"/>
      <c r="BM629" s="116"/>
      <c r="BN629" s="116"/>
      <c r="BO629" s="116"/>
      <c r="BP629" s="125"/>
      <c r="BQ629" s="116"/>
    </row>
    <row r="630">
      <c r="A630" s="116"/>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c r="AI630" s="116"/>
      <c r="AJ630" s="116"/>
      <c r="AK630" s="116"/>
      <c r="AL630" s="116"/>
      <c r="AM630" s="116"/>
      <c r="AN630" s="116"/>
      <c r="AO630" s="116"/>
      <c r="AP630" s="116"/>
      <c r="AQ630" s="116"/>
      <c r="AR630" s="116"/>
      <c r="AS630" s="116"/>
      <c r="AT630" s="116"/>
      <c r="AU630" s="116"/>
      <c r="AV630" s="116"/>
      <c r="AW630" s="116"/>
      <c r="AX630" s="116"/>
      <c r="AY630" s="116"/>
      <c r="AZ630" s="116"/>
      <c r="BA630" s="116"/>
      <c r="BB630" s="116"/>
      <c r="BC630" s="116"/>
      <c r="BD630" s="116"/>
      <c r="BE630" s="116"/>
      <c r="BF630" s="116"/>
      <c r="BG630" s="116"/>
      <c r="BH630" s="124"/>
      <c r="BI630" s="124"/>
      <c r="BJ630" s="116"/>
      <c r="BK630" s="116"/>
      <c r="BL630" s="116"/>
      <c r="BM630" s="116"/>
      <c r="BN630" s="116"/>
      <c r="BO630" s="116"/>
      <c r="BP630" s="125"/>
      <c r="BQ630" s="116"/>
    </row>
    <row r="631">
      <c r="A631" s="116"/>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c r="AI631" s="116"/>
      <c r="AJ631" s="116"/>
      <c r="AK631" s="116"/>
      <c r="AL631" s="116"/>
      <c r="AM631" s="116"/>
      <c r="AN631" s="116"/>
      <c r="AO631" s="116"/>
      <c r="AP631" s="116"/>
      <c r="AQ631" s="116"/>
      <c r="AR631" s="116"/>
      <c r="AS631" s="116"/>
      <c r="AT631" s="116"/>
      <c r="AU631" s="116"/>
      <c r="AV631" s="116"/>
      <c r="AW631" s="116"/>
      <c r="AX631" s="116"/>
      <c r="AY631" s="116"/>
      <c r="AZ631" s="116"/>
      <c r="BA631" s="116"/>
      <c r="BB631" s="116"/>
      <c r="BC631" s="116"/>
      <c r="BD631" s="116"/>
      <c r="BE631" s="116"/>
      <c r="BF631" s="116"/>
      <c r="BG631" s="116"/>
      <c r="BH631" s="124"/>
      <c r="BI631" s="124"/>
      <c r="BJ631" s="116"/>
      <c r="BK631" s="116"/>
      <c r="BL631" s="116"/>
      <c r="BM631" s="116"/>
      <c r="BN631" s="116"/>
      <c r="BO631" s="116"/>
      <c r="BP631" s="125"/>
      <c r="BQ631" s="116"/>
    </row>
    <row r="632">
      <c r="A632" s="116"/>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c r="AI632" s="116"/>
      <c r="AJ632" s="116"/>
      <c r="AK632" s="116"/>
      <c r="AL632" s="116"/>
      <c r="AM632" s="116"/>
      <c r="AN632" s="116"/>
      <c r="AO632" s="116"/>
      <c r="AP632" s="116"/>
      <c r="AQ632" s="116"/>
      <c r="AR632" s="116"/>
      <c r="AS632" s="116"/>
      <c r="AT632" s="116"/>
      <c r="AU632" s="116"/>
      <c r="AV632" s="116"/>
      <c r="AW632" s="116"/>
      <c r="AX632" s="116"/>
      <c r="AY632" s="116"/>
      <c r="AZ632" s="116"/>
      <c r="BA632" s="116"/>
      <c r="BB632" s="116"/>
      <c r="BC632" s="116"/>
      <c r="BD632" s="116"/>
      <c r="BE632" s="116"/>
      <c r="BF632" s="116"/>
      <c r="BG632" s="116"/>
      <c r="BH632" s="124"/>
      <c r="BI632" s="124"/>
      <c r="BJ632" s="116"/>
      <c r="BK632" s="116"/>
      <c r="BL632" s="116"/>
      <c r="BM632" s="116"/>
      <c r="BN632" s="116"/>
      <c r="BO632" s="116"/>
      <c r="BP632" s="125"/>
      <c r="BQ632" s="116"/>
    </row>
    <row r="633">
      <c r="A633" s="116"/>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c r="AI633" s="116"/>
      <c r="AJ633" s="116"/>
      <c r="AK633" s="116"/>
      <c r="AL633" s="116"/>
      <c r="AM633" s="116"/>
      <c r="AN633" s="116"/>
      <c r="AO633" s="116"/>
      <c r="AP633" s="116"/>
      <c r="AQ633" s="116"/>
      <c r="AR633" s="116"/>
      <c r="AS633" s="116"/>
      <c r="AT633" s="116"/>
      <c r="AU633" s="116"/>
      <c r="AV633" s="116"/>
      <c r="AW633" s="116"/>
      <c r="AX633" s="116"/>
      <c r="AY633" s="116"/>
      <c r="AZ633" s="116"/>
      <c r="BA633" s="116"/>
      <c r="BB633" s="116"/>
      <c r="BC633" s="116"/>
      <c r="BD633" s="116"/>
      <c r="BE633" s="116"/>
      <c r="BF633" s="116"/>
      <c r="BG633" s="116"/>
      <c r="BH633" s="124"/>
      <c r="BI633" s="124"/>
      <c r="BJ633" s="116"/>
      <c r="BK633" s="116"/>
      <c r="BL633" s="116"/>
      <c r="BM633" s="116"/>
      <c r="BN633" s="116"/>
      <c r="BO633" s="116"/>
      <c r="BP633" s="125"/>
      <c r="BQ633" s="116"/>
    </row>
    <row r="634">
      <c r="A634" s="116"/>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c r="AI634" s="116"/>
      <c r="AJ634" s="116"/>
      <c r="AK634" s="116"/>
      <c r="AL634" s="116"/>
      <c r="AM634" s="116"/>
      <c r="AN634" s="116"/>
      <c r="AO634" s="116"/>
      <c r="AP634" s="116"/>
      <c r="AQ634" s="116"/>
      <c r="AR634" s="116"/>
      <c r="AS634" s="116"/>
      <c r="AT634" s="116"/>
      <c r="AU634" s="116"/>
      <c r="AV634" s="116"/>
      <c r="AW634" s="116"/>
      <c r="AX634" s="116"/>
      <c r="AY634" s="116"/>
      <c r="AZ634" s="116"/>
      <c r="BA634" s="116"/>
      <c r="BB634" s="116"/>
      <c r="BC634" s="116"/>
      <c r="BD634" s="116"/>
      <c r="BE634" s="116"/>
      <c r="BF634" s="116"/>
      <c r="BG634" s="116"/>
      <c r="BH634" s="124"/>
      <c r="BI634" s="124"/>
      <c r="BJ634" s="116"/>
      <c r="BK634" s="116"/>
      <c r="BL634" s="116"/>
      <c r="BM634" s="116"/>
      <c r="BN634" s="116"/>
      <c r="BO634" s="116"/>
      <c r="BP634" s="125"/>
      <c r="BQ634" s="116"/>
    </row>
    <row r="635">
      <c r="A635" s="116"/>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c r="AI635" s="116"/>
      <c r="AJ635" s="116"/>
      <c r="AK635" s="116"/>
      <c r="AL635" s="116"/>
      <c r="AM635" s="116"/>
      <c r="AN635" s="116"/>
      <c r="AO635" s="116"/>
      <c r="AP635" s="116"/>
      <c r="AQ635" s="116"/>
      <c r="AR635" s="116"/>
      <c r="AS635" s="116"/>
      <c r="AT635" s="116"/>
      <c r="AU635" s="116"/>
      <c r="AV635" s="116"/>
      <c r="AW635" s="116"/>
      <c r="AX635" s="116"/>
      <c r="AY635" s="116"/>
      <c r="AZ635" s="116"/>
      <c r="BA635" s="116"/>
      <c r="BB635" s="116"/>
      <c r="BC635" s="116"/>
      <c r="BD635" s="116"/>
      <c r="BE635" s="116"/>
      <c r="BF635" s="116"/>
      <c r="BG635" s="116"/>
      <c r="BH635" s="124"/>
      <c r="BI635" s="124"/>
      <c r="BJ635" s="116"/>
      <c r="BK635" s="116"/>
      <c r="BL635" s="116"/>
      <c r="BM635" s="116"/>
      <c r="BN635" s="116"/>
      <c r="BO635" s="116"/>
      <c r="BP635" s="125"/>
      <c r="BQ635" s="116"/>
    </row>
    <row r="636">
      <c r="A636" s="11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c r="AI636" s="116"/>
      <c r="AJ636" s="116"/>
      <c r="AK636" s="116"/>
      <c r="AL636" s="116"/>
      <c r="AM636" s="116"/>
      <c r="AN636" s="116"/>
      <c r="AO636" s="116"/>
      <c r="AP636" s="116"/>
      <c r="AQ636" s="116"/>
      <c r="AR636" s="116"/>
      <c r="AS636" s="116"/>
      <c r="AT636" s="116"/>
      <c r="AU636" s="116"/>
      <c r="AV636" s="116"/>
      <c r="AW636" s="116"/>
      <c r="AX636" s="116"/>
      <c r="AY636" s="116"/>
      <c r="AZ636" s="116"/>
      <c r="BA636" s="116"/>
      <c r="BB636" s="116"/>
      <c r="BC636" s="116"/>
      <c r="BD636" s="116"/>
      <c r="BE636" s="116"/>
      <c r="BF636" s="116"/>
      <c r="BG636" s="116"/>
      <c r="BH636" s="124"/>
      <c r="BI636" s="124"/>
      <c r="BJ636" s="116"/>
      <c r="BK636" s="116"/>
      <c r="BL636" s="116"/>
      <c r="BM636" s="116"/>
      <c r="BN636" s="116"/>
      <c r="BO636" s="116"/>
      <c r="BP636" s="125"/>
      <c r="BQ636" s="116"/>
    </row>
    <row r="637">
      <c r="A637" s="116"/>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c r="AI637" s="116"/>
      <c r="AJ637" s="116"/>
      <c r="AK637" s="116"/>
      <c r="AL637" s="116"/>
      <c r="AM637" s="116"/>
      <c r="AN637" s="116"/>
      <c r="AO637" s="116"/>
      <c r="AP637" s="116"/>
      <c r="AQ637" s="116"/>
      <c r="AR637" s="116"/>
      <c r="AS637" s="116"/>
      <c r="AT637" s="116"/>
      <c r="AU637" s="116"/>
      <c r="AV637" s="116"/>
      <c r="AW637" s="116"/>
      <c r="AX637" s="116"/>
      <c r="AY637" s="116"/>
      <c r="AZ637" s="116"/>
      <c r="BA637" s="116"/>
      <c r="BB637" s="116"/>
      <c r="BC637" s="116"/>
      <c r="BD637" s="116"/>
      <c r="BE637" s="116"/>
      <c r="BF637" s="116"/>
      <c r="BG637" s="116"/>
      <c r="BH637" s="124"/>
      <c r="BI637" s="124"/>
      <c r="BJ637" s="116"/>
      <c r="BK637" s="116"/>
      <c r="BL637" s="116"/>
      <c r="BM637" s="116"/>
      <c r="BN637" s="116"/>
      <c r="BO637" s="116"/>
      <c r="BP637" s="125"/>
      <c r="BQ637" s="116"/>
    </row>
    <row r="638">
      <c r="A638" s="116"/>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c r="AI638" s="116"/>
      <c r="AJ638" s="116"/>
      <c r="AK638" s="116"/>
      <c r="AL638" s="116"/>
      <c r="AM638" s="116"/>
      <c r="AN638" s="116"/>
      <c r="AO638" s="116"/>
      <c r="AP638" s="116"/>
      <c r="AQ638" s="116"/>
      <c r="AR638" s="116"/>
      <c r="AS638" s="116"/>
      <c r="AT638" s="116"/>
      <c r="AU638" s="116"/>
      <c r="AV638" s="116"/>
      <c r="AW638" s="116"/>
      <c r="AX638" s="116"/>
      <c r="AY638" s="116"/>
      <c r="AZ638" s="116"/>
      <c r="BA638" s="116"/>
      <c r="BB638" s="116"/>
      <c r="BC638" s="116"/>
      <c r="BD638" s="116"/>
      <c r="BE638" s="116"/>
      <c r="BF638" s="116"/>
      <c r="BG638" s="116"/>
      <c r="BH638" s="124"/>
      <c r="BI638" s="124"/>
      <c r="BJ638" s="116"/>
      <c r="BK638" s="116"/>
      <c r="BL638" s="116"/>
      <c r="BM638" s="116"/>
      <c r="BN638" s="116"/>
      <c r="BO638" s="116"/>
      <c r="BP638" s="125"/>
      <c r="BQ638" s="116"/>
    </row>
    <row r="639">
      <c r="A639" s="116"/>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c r="AI639" s="116"/>
      <c r="AJ639" s="116"/>
      <c r="AK639" s="116"/>
      <c r="AL639" s="116"/>
      <c r="AM639" s="116"/>
      <c r="AN639" s="116"/>
      <c r="AO639" s="116"/>
      <c r="AP639" s="116"/>
      <c r="AQ639" s="116"/>
      <c r="AR639" s="116"/>
      <c r="AS639" s="116"/>
      <c r="AT639" s="116"/>
      <c r="AU639" s="116"/>
      <c r="AV639" s="116"/>
      <c r="AW639" s="116"/>
      <c r="AX639" s="116"/>
      <c r="AY639" s="116"/>
      <c r="AZ639" s="116"/>
      <c r="BA639" s="116"/>
      <c r="BB639" s="116"/>
      <c r="BC639" s="116"/>
      <c r="BD639" s="116"/>
      <c r="BE639" s="116"/>
      <c r="BF639" s="116"/>
      <c r="BG639" s="116"/>
      <c r="BH639" s="124"/>
      <c r="BI639" s="124"/>
      <c r="BJ639" s="116"/>
      <c r="BK639" s="116"/>
      <c r="BL639" s="116"/>
      <c r="BM639" s="116"/>
      <c r="BN639" s="116"/>
      <c r="BO639" s="116"/>
      <c r="BP639" s="125"/>
      <c r="BQ639" s="116"/>
    </row>
    <row r="640">
      <c r="A640" s="116"/>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c r="AI640" s="116"/>
      <c r="AJ640" s="116"/>
      <c r="AK640" s="116"/>
      <c r="AL640" s="116"/>
      <c r="AM640" s="116"/>
      <c r="AN640" s="116"/>
      <c r="AO640" s="116"/>
      <c r="AP640" s="116"/>
      <c r="AQ640" s="116"/>
      <c r="AR640" s="116"/>
      <c r="AS640" s="116"/>
      <c r="AT640" s="116"/>
      <c r="AU640" s="116"/>
      <c r="AV640" s="116"/>
      <c r="AW640" s="116"/>
      <c r="AX640" s="116"/>
      <c r="AY640" s="116"/>
      <c r="AZ640" s="116"/>
      <c r="BA640" s="116"/>
      <c r="BB640" s="116"/>
      <c r="BC640" s="116"/>
      <c r="BD640" s="116"/>
      <c r="BE640" s="116"/>
      <c r="BF640" s="116"/>
      <c r="BG640" s="116"/>
      <c r="BH640" s="124"/>
      <c r="BI640" s="124"/>
      <c r="BJ640" s="116"/>
      <c r="BK640" s="116"/>
      <c r="BL640" s="116"/>
      <c r="BM640" s="116"/>
      <c r="BN640" s="116"/>
      <c r="BO640" s="116"/>
      <c r="BP640" s="125"/>
      <c r="BQ640" s="116"/>
    </row>
    <row r="641">
      <c r="A641" s="116"/>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c r="AI641" s="116"/>
      <c r="AJ641" s="116"/>
      <c r="AK641" s="116"/>
      <c r="AL641" s="116"/>
      <c r="AM641" s="116"/>
      <c r="AN641" s="116"/>
      <c r="AO641" s="116"/>
      <c r="AP641" s="116"/>
      <c r="AQ641" s="116"/>
      <c r="AR641" s="116"/>
      <c r="AS641" s="116"/>
      <c r="AT641" s="116"/>
      <c r="AU641" s="116"/>
      <c r="AV641" s="116"/>
      <c r="AW641" s="116"/>
      <c r="AX641" s="116"/>
      <c r="AY641" s="116"/>
      <c r="AZ641" s="116"/>
      <c r="BA641" s="116"/>
      <c r="BB641" s="116"/>
      <c r="BC641" s="116"/>
      <c r="BD641" s="116"/>
      <c r="BE641" s="116"/>
      <c r="BF641" s="116"/>
      <c r="BG641" s="116"/>
      <c r="BH641" s="124"/>
      <c r="BI641" s="124"/>
      <c r="BJ641" s="116"/>
      <c r="BK641" s="116"/>
      <c r="BL641" s="116"/>
      <c r="BM641" s="116"/>
      <c r="BN641" s="116"/>
      <c r="BO641" s="116"/>
      <c r="BP641" s="125"/>
      <c r="BQ641" s="116"/>
    </row>
    <row r="642">
      <c r="A642" s="116"/>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c r="AI642" s="116"/>
      <c r="AJ642" s="116"/>
      <c r="AK642" s="116"/>
      <c r="AL642" s="116"/>
      <c r="AM642" s="116"/>
      <c r="AN642" s="116"/>
      <c r="AO642" s="116"/>
      <c r="AP642" s="116"/>
      <c r="AQ642" s="116"/>
      <c r="AR642" s="116"/>
      <c r="AS642" s="116"/>
      <c r="AT642" s="116"/>
      <c r="AU642" s="116"/>
      <c r="AV642" s="116"/>
      <c r="AW642" s="116"/>
      <c r="AX642" s="116"/>
      <c r="AY642" s="116"/>
      <c r="AZ642" s="116"/>
      <c r="BA642" s="116"/>
      <c r="BB642" s="116"/>
      <c r="BC642" s="116"/>
      <c r="BD642" s="116"/>
      <c r="BE642" s="116"/>
      <c r="BF642" s="116"/>
      <c r="BG642" s="116"/>
      <c r="BH642" s="124"/>
      <c r="BI642" s="124"/>
      <c r="BJ642" s="116"/>
      <c r="BK642" s="116"/>
      <c r="BL642" s="116"/>
      <c r="BM642" s="116"/>
      <c r="BN642" s="116"/>
      <c r="BO642" s="116"/>
      <c r="BP642" s="125"/>
      <c r="BQ642" s="116"/>
    </row>
    <row r="643">
      <c r="A643" s="116"/>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c r="AI643" s="116"/>
      <c r="AJ643" s="116"/>
      <c r="AK643" s="116"/>
      <c r="AL643" s="116"/>
      <c r="AM643" s="116"/>
      <c r="AN643" s="116"/>
      <c r="AO643" s="116"/>
      <c r="AP643" s="116"/>
      <c r="AQ643" s="116"/>
      <c r="AR643" s="116"/>
      <c r="AS643" s="116"/>
      <c r="AT643" s="116"/>
      <c r="AU643" s="116"/>
      <c r="AV643" s="116"/>
      <c r="AW643" s="116"/>
      <c r="AX643" s="116"/>
      <c r="AY643" s="116"/>
      <c r="AZ643" s="116"/>
      <c r="BA643" s="116"/>
      <c r="BB643" s="116"/>
      <c r="BC643" s="116"/>
      <c r="BD643" s="116"/>
      <c r="BE643" s="116"/>
      <c r="BF643" s="116"/>
      <c r="BG643" s="116"/>
      <c r="BH643" s="124"/>
      <c r="BI643" s="124"/>
      <c r="BJ643" s="116"/>
      <c r="BK643" s="116"/>
      <c r="BL643" s="116"/>
      <c r="BM643" s="116"/>
      <c r="BN643" s="116"/>
      <c r="BO643" s="116"/>
      <c r="BP643" s="125"/>
      <c r="BQ643" s="116"/>
    </row>
    <row r="644">
      <c r="A644" s="116"/>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c r="AI644" s="116"/>
      <c r="AJ644" s="116"/>
      <c r="AK644" s="116"/>
      <c r="AL644" s="116"/>
      <c r="AM644" s="116"/>
      <c r="AN644" s="116"/>
      <c r="AO644" s="116"/>
      <c r="AP644" s="116"/>
      <c r="AQ644" s="116"/>
      <c r="AR644" s="116"/>
      <c r="AS644" s="116"/>
      <c r="AT644" s="116"/>
      <c r="AU644" s="116"/>
      <c r="AV644" s="116"/>
      <c r="AW644" s="116"/>
      <c r="AX644" s="116"/>
      <c r="AY644" s="116"/>
      <c r="AZ644" s="116"/>
      <c r="BA644" s="116"/>
      <c r="BB644" s="116"/>
      <c r="BC644" s="116"/>
      <c r="BD644" s="116"/>
      <c r="BE644" s="116"/>
      <c r="BF644" s="116"/>
      <c r="BG644" s="116"/>
      <c r="BH644" s="124"/>
      <c r="BI644" s="124"/>
      <c r="BJ644" s="116"/>
      <c r="BK644" s="116"/>
      <c r="BL644" s="116"/>
      <c r="BM644" s="116"/>
      <c r="BN644" s="116"/>
      <c r="BO644" s="116"/>
      <c r="BP644" s="125"/>
      <c r="BQ644" s="116"/>
    </row>
    <row r="645">
      <c r="A645" s="116"/>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c r="AI645" s="116"/>
      <c r="AJ645" s="116"/>
      <c r="AK645" s="116"/>
      <c r="AL645" s="116"/>
      <c r="AM645" s="116"/>
      <c r="AN645" s="116"/>
      <c r="AO645" s="116"/>
      <c r="AP645" s="116"/>
      <c r="AQ645" s="116"/>
      <c r="AR645" s="116"/>
      <c r="AS645" s="116"/>
      <c r="AT645" s="116"/>
      <c r="AU645" s="116"/>
      <c r="AV645" s="116"/>
      <c r="AW645" s="116"/>
      <c r="AX645" s="116"/>
      <c r="AY645" s="116"/>
      <c r="AZ645" s="116"/>
      <c r="BA645" s="116"/>
      <c r="BB645" s="116"/>
      <c r="BC645" s="116"/>
      <c r="BD645" s="116"/>
      <c r="BE645" s="116"/>
      <c r="BF645" s="116"/>
      <c r="BG645" s="116"/>
      <c r="BH645" s="124"/>
      <c r="BI645" s="124"/>
      <c r="BJ645" s="116"/>
      <c r="BK645" s="116"/>
      <c r="BL645" s="116"/>
      <c r="BM645" s="116"/>
      <c r="BN645" s="116"/>
      <c r="BO645" s="116"/>
      <c r="BP645" s="125"/>
      <c r="BQ645" s="116"/>
    </row>
    <row r="646">
      <c r="A646" s="11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c r="AI646" s="116"/>
      <c r="AJ646" s="116"/>
      <c r="AK646" s="116"/>
      <c r="AL646" s="116"/>
      <c r="AM646" s="116"/>
      <c r="AN646" s="116"/>
      <c r="AO646" s="116"/>
      <c r="AP646" s="116"/>
      <c r="AQ646" s="116"/>
      <c r="AR646" s="116"/>
      <c r="AS646" s="116"/>
      <c r="AT646" s="116"/>
      <c r="AU646" s="116"/>
      <c r="AV646" s="116"/>
      <c r="AW646" s="116"/>
      <c r="AX646" s="116"/>
      <c r="AY646" s="116"/>
      <c r="AZ646" s="116"/>
      <c r="BA646" s="116"/>
      <c r="BB646" s="116"/>
      <c r="BC646" s="116"/>
      <c r="BD646" s="116"/>
      <c r="BE646" s="116"/>
      <c r="BF646" s="116"/>
      <c r="BG646" s="116"/>
      <c r="BH646" s="124"/>
      <c r="BI646" s="124"/>
      <c r="BJ646" s="116"/>
      <c r="BK646" s="116"/>
      <c r="BL646" s="116"/>
      <c r="BM646" s="116"/>
      <c r="BN646" s="116"/>
      <c r="BO646" s="116"/>
      <c r="BP646" s="125"/>
      <c r="BQ646" s="116"/>
    </row>
    <row r="647">
      <c r="A647" s="116"/>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c r="AI647" s="116"/>
      <c r="AJ647" s="116"/>
      <c r="AK647" s="116"/>
      <c r="AL647" s="116"/>
      <c r="AM647" s="116"/>
      <c r="AN647" s="116"/>
      <c r="AO647" s="116"/>
      <c r="AP647" s="116"/>
      <c r="AQ647" s="116"/>
      <c r="AR647" s="116"/>
      <c r="AS647" s="116"/>
      <c r="AT647" s="116"/>
      <c r="AU647" s="116"/>
      <c r="AV647" s="116"/>
      <c r="AW647" s="116"/>
      <c r="AX647" s="116"/>
      <c r="AY647" s="116"/>
      <c r="AZ647" s="116"/>
      <c r="BA647" s="116"/>
      <c r="BB647" s="116"/>
      <c r="BC647" s="116"/>
      <c r="BD647" s="116"/>
      <c r="BE647" s="116"/>
      <c r="BF647" s="116"/>
      <c r="BG647" s="116"/>
      <c r="BH647" s="124"/>
      <c r="BI647" s="124"/>
      <c r="BJ647" s="116"/>
      <c r="BK647" s="116"/>
      <c r="BL647" s="116"/>
      <c r="BM647" s="116"/>
      <c r="BN647" s="116"/>
      <c r="BO647" s="116"/>
      <c r="BP647" s="125"/>
      <c r="BQ647" s="116"/>
    </row>
    <row r="648">
      <c r="A648" s="116"/>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c r="AI648" s="116"/>
      <c r="AJ648" s="116"/>
      <c r="AK648" s="116"/>
      <c r="AL648" s="116"/>
      <c r="AM648" s="116"/>
      <c r="AN648" s="116"/>
      <c r="AO648" s="116"/>
      <c r="AP648" s="116"/>
      <c r="AQ648" s="116"/>
      <c r="AR648" s="116"/>
      <c r="AS648" s="116"/>
      <c r="AT648" s="116"/>
      <c r="AU648" s="116"/>
      <c r="AV648" s="116"/>
      <c r="AW648" s="116"/>
      <c r="AX648" s="116"/>
      <c r="AY648" s="116"/>
      <c r="AZ648" s="116"/>
      <c r="BA648" s="116"/>
      <c r="BB648" s="116"/>
      <c r="BC648" s="116"/>
      <c r="BD648" s="116"/>
      <c r="BE648" s="116"/>
      <c r="BF648" s="116"/>
      <c r="BG648" s="116"/>
      <c r="BH648" s="124"/>
      <c r="BI648" s="124"/>
      <c r="BJ648" s="116"/>
      <c r="BK648" s="116"/>
      <c r="BL648" s="116"/>
      <c r="BM648" s="116"/>
      <c r="BN648" s="116"/>
      <c r="BO648" s="116"/>
      <c r="BP648" s="125"/>
      <c r="BQ648" s="116"/>
    </row>
    <row r="649">
      <c r="A649" s="116"/>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c r="AI649" s="116"/>
      <c r="AJ649" s="116"/>
      <c r="AK649" s="116"/>
      <c r="AL649" s="116"/>
      <c r="AM649" s="116"/>
      <c r="AN649" s="116"/>
      <c r="AO649" s="116"/>
      <c r="AP649" s="116"/>
      <c r="AQ649" s="116"/>
      <c r="AR649" s="116"/>
      <c r="AS649" s="116"/>
      <c r="AT649" s="116"/>
      <c r="AU649" s="116"/>
      <c r="AV649" s="116"/>
      <c r="AW649" s="116"/>
      <c r="AX649" s="116"/>
      <c r="AY649" s="116"/>
      <c r="AZ649" s="116"/>
      <c r="BA649" s="116"/>
      <c r="BB649" s="116"/>
      <c r="BC649" s="116"/>
      <c r="BD649" s="116"/>
      <c r="BE649" s="116"/>
      <c r="BF649" s="116"/>
      <c r="BG649" s="116"/>
      <c r="BH649" s="124"/>
      <c r="BI649" s="124"/>
      <c r="BJ649" s="116"/>
      <c r="BK649" s="116"/>
      <c r="BL649" s="116"/>
      <c r="BM649" s="116"/>
      <c r="BN649" s="116"/>
      <c r="BO649" s="116"/>
      <c r="BP649" s="125"/>
      <c r="BQ649" s="116"/>
    </row>
    <row r="650">
      <c r="A650" s="116"/>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c r="AI650" s="116"/>
      <c r="AJ650" s="116"/>
      <c r="AK650" s="116"/>
      <c r="AL650" s="116"/>
      <c r="AM650" s="116"/>
      <c r="AN650" s="116"/>
      <c r="AO650" s="116"/>
      <c r="AP650" s="116"/>
      <c r="AQ650" s="116"/>
      <c r="AR650" s="116"/>
      <c r="AS650" s="116"/>
      <c r="AT650" s="116"/>
      <c r="AU650" s="116"/>
      <c r="AV650" s="116"/>
      <c r="AW650" s="116"/>
      <c r="AX650" s="116"/>
      <c r="AY650" s="116"/>
      <c r="AZ650" s="116"/>
      <c r="BA650" s="116"/>
      <c r="BB650" s="116"/>
      <c r="BC650" s="116"/>
      <c r="BD650" s="116"/>
      <c r="BE650" s="116"/>
      <c r="BF650" s="116"/>
      <c r="BG650" s="116"/>
      <c r="BH650" s="124"/>
      <c r="BI650" s="124"/>
      <c r="BJ650" s="116"/>
      <c r="BK650" s="116"/>
      <c r="BL650" s="116"/>
      <c r="BM650" s="116"/>
      <c r="BN650" s="116"/>
      <c r="BO650" s="116"/>
      <c r="BP650" s="125"/>
      <c r="BQ650" s="116"/>
    </row>
    <row r="651">
      <c r="A651" s="116"/>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c r="AI651" s="116"/>
      <c r="AJ651" s="116"/>
      <c r="AK651" s="116"/>
      <c r="AL651" s="116"/>
      <c r="AM651" s="116"/>
      <c r="AN651" s="116"/>
      <c r="AO651" s="116"/>
      <c r="AP651" s="116"/>
      <c r="AQ651" s="116"/>
      <c r="AR651" s="116"/>
      <c r="AS651" s="116"/>
      <c r="AT651" s="116"/>
      <c r="AU651" s="116"/>
      <c r="AV651" s="116"/>
      <c r="AW651" s="116"/>
      <c r="AX651" s="116"/>
      <c r="AY651" s="116"/>
      <c r="AZ651" s="116"/>
      <c r="BA651" s="116"/>
      <c r="BB651" s="116"/>
      <c r="BC651" s="116"/>
      <c r="BD651" s="116"/>
      <c r="BE651" s="116"/>
      <c r="BF651" s="116"/>
      <c r="BG651" s="116"/>
      <c r="BH651" s="124"/>
      <c r="BI651" s="124"/>
      <c r="BJ651" s="116"/>
      <c r="BK651" s="116"/>
      <c r="BL651" s="116"/>
      <c r="BM651" s="116"/>
      <c r="BN651" s="116"/>
      <c r="BO651" s="116"/>
      <c r="BP651" s="125"/>
      <c r="BQ651" s="116"/>
    </row>
    <row r="652">
      <c r="A652" s="116"/>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c r="AI652" s="116"/>
      <c r="AJ652" s="116"/>
      <c r="AK652" s="116"/>
      <c r="AL652" s="116"/>
      <c r="AM652" s="116"/>
      <c r="AN652" s="116"/>
      <c r="AO652" s="116"/>
      <c r="AP652" s="116"/>
      <c r="AQ652" s="116"/>
      <c r="AR652" s="116"/>
      <c r="AS652" s="116"/>
      <c r="AT652" s="116"/>
      <c r="AU652" s="116"/>
      <c r="AV652" s="116"/>
      <c r="AW652" s="116"/>
      <c r="AX652" s="116"/>
      <c r="AY652" s="116"/>
      <c r="AZ652" s="116"/>
      <c r="BA652" s="116"/>
      <c r="BB652" s="116"/>
      <c r="BC652" s="116"/>
      <c r="BD652" s="116"/>
      <c r="BE652" s="116"/>
      <c r="BF652" s="116"/>
      <c r="BG652" s="116"/>
      <c r="BH652" s="124"/>
      <c r="BI652" s="124"/>
      <c r="BJ652" s="116"/>
      <c r="BK652" s="116"/>
      <c r="BL652" s="116"/>
      <c r="BM652" s="116"/>
      <c r="BN652" s="116"/>
      <c r="BO652" s="116"/>
      <c r="BP652" s="125"/>
      <c r="BQ652" s="116"/>
    </row>
    <row r="653">
      <c r="A653" s="116"/>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c r="AI653" s="116"/>
      <c r="AJ653" s="116"/>
      <c r="AK653" s="116"/>
      <c r="AL653" s="116"/>
      <c r="AM653" s="116"/>
      <c r="AN653" s="116"/>
      <c r="AO653" s="116"/>
      <c r="AP653" s="116"/>
      <c r="AQ653" s="116"/>
      <c r="AR653" s="116"/>
      <c r="AS653" s="116"/>
      <c r="AT653" s="116"/>
      <c r="AU653" s="116"/>
      <c r="AV653" s="116"/>
      <c r="AW653" s="116"/>
      <c r="AX653" s="116"/>
      <c r="AY653" s="116"/>
      <c r="AZ653" s="116"/>
      <c r="BA653" s="116"/>
      <c r="BB653" s="116"/>
      <c r="BC653" s="116"/>
      <c r="BD653" s="116"/>
      <c r="BE653" s="116"/>
      <c r="BF653" s="116"/>
      <c r="BG653" s="116"/>
      <c r="BH653" s="124"/>
      <c r="BI653" s="124"/>
      <c r="BJ653" s="116"/>
      <c r="BK653" s="116"/>
      <c r="BL653" s="116"/>
      <c r="BM653" s="116"/>
      <c r="BN653" s="116"/>
      <c r="BO653" s="116"/>
      <c r="BP653" s="125"/>
      <c r="BQ653" s="116"/>
    </row>
    <row r="654">
      <c r="A654" s="116"/>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c r="AI654" s="116"/>
      <c r="AJ654" s="116"/>
      <c r="AK654" s="116"/>
      <c r="AL654" s="116"/>
      <c r="AM654" s="116"/>
      <c r="AN654" s="116"/>
      <c r="AO654" s="116"/>
      <c r="AP654" s="116"/>
      <c r="AQ654" s="116"/>
      <c r="AR654" s="116"/>
      <c r="AS654" s="116"/>
      <c r="AT654" s="116"/>
      <c r="AU654" s="116"/>
      <c r="AV654" s="116"/>
      <c r="AW654" s="116"/>
      <c r="AX654" s="116"/>
      <c r="AY654" s="116"/>
      <c r="AZ654" s="116"/>
      <c r="BA654" s="116"/>
      <c r="BB654" s="116"/>
      <c r="BC654" s="116"/>
      <c r="BD654" s="116"/>
      <c r="BE654" s="116"/>
      <c r="BF654" s="116"/>
      <c r="BG654" s="116"/>
      <c r="BH654" s="124"/>
      <c r="BI654" s="124"/>
      <c r="BJ654" s="116"/>
      <c r="BK654" s="116"/>
      <c r="BL654" s="116"/>
      <c r="BM654" s="116"/>
      <c r="BN654" s="116"/>
      <c r="BO654" s="116"/>
      <c r="BP654" s="125"/>
      <c r="BQ654" s="116"/>
    </row>
    <row r="655">
      <c r="A655" s="116"/>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c r="AI655" s="116"/>
      <c r="AJ655" s="116"/>
      <c r="AK655" s="116"/>
      <c r="AL655" s="116"/>
      <c r="AM655" s="116"/>
      <c r="AN655" s="116"/>
      <c r="AO655" s="116"/>
      <c r="AP655" s="116"/>
      <c r="AQ655" s="116"/>
      <c r="AR655" s="116"/>
      <c r="AS655" s="116"/>
      <c r="AT655" s="116"/>
      <c r="AU655" s="116"/>
      <c r="AV655" s="116"/>
      <c r="AW655" s="116"/>
      <c r="AX655" s="116"/>
      <c r="AY655" s="116"/>
      <c r="AZ655" s="116"/>
      <c r="BA655" s="116"/>
      <c r="BB655" s="116"/>
      <c r="BC655" s="116"/>
      <c r="BD655" s="116"/>
      <c r="BE655" s="116"/>
      <c r="BF655" s="116"/>
      <c r="BG655" s="116"/>
      <c r="BH655" s="124"/>
      <c r="BI655" s="124"/>
      <c r="BJ655" s="116"/>
      <c r="BK655" s="116"/>
      <c r="BL655" s="116"/>
      <c r="BM655" s="116"/>
      <c r="BN655" s="116"/>
      <c r="BO655" s="116"/>
      <c r="BP655" s="125"/>
      <c r="BQ655" s="116"/>
    </row>
    <row r="656">
      <c r="A656" s="11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c r="AI656" s="116"/>
      <c r="AJ656" s="116"/>
      <c r="AK656" s="116"/>
      <c r="AL656" s="116"/>
      <c r="AM656" s="116"/>
      <c r="AN656" s="116"/>
      <c r="AO656" s="116"/>
      <c r="AP656" s="116"/>
      <c r="AQ656" s="116"/>
      <c r="AR656" s="116"/>
      <c r="AS656" s="116"/>
      <c r="AT656" s="116"/>
      <c r="AU656" s="116"/>
      <c r="AV656" s="116"/>
      <c r="AW656" s="116"/>
      <c r="AX656" s="116"/>
      <c r="AY656" s="116"/>
      <c r="AZ656" s="116"/>
      <c r="BA656" s="116"/>
      <c r="BB656" s="116"/>
      <c r="BC656" s="116"/>
      <c r="BD656" s="116"/>
      <c r="BE656" s="116"/>
      <c r="BF656" s="116"/>
      <c r="BG656" s="116"/>
      <c r="BH656" s="124"/>
      <c r="BI656" s="124"/>
      <c r="BJ656" s="116"/>
      <c r="BK656" s="116"/>
      <c r="BL656" s="116"/>
      <c r="BM656" s="116"/>
      <c r="BN656" s="116"/>
      <c r="BO656" s="116"/>
      <c r="BP656" s="125"/>
      <c r="BQ656" s="116"/>
    </row>
    <row r="657">
      <c r="A657" s="116"/>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c r="AI657" s="116"/>
      <c r="AJ657" s="116"/>
      <c r="AK657" s="116"/>
      <c r="AL657" s="116"/>
      <c r="AM657" s="116"/>
      <c r="AN657" s="116"/>
      <c r="AO657" s="116"/>
      <c r="AP657" s="116"/>
      <c r="AQ657" s="116"/>
      <c r="AR657" s="116"/>
      <c r="AS657" s="116"/>
      <c r="AT657" s="116"/>
      <c r="AU657" s="116"/>
      <c r="AV657" s="116"/>
      <c r="AW657" s="116"/>
      <c r="AX657" s="116"/>
      <c r="AY657" s="116"/>
      <c r="AZ657" s="116"/>
      <c r="BA657" s="116"/>
      <c r="BB657" s="116"/>
      <c r="BC657" s="116"/>
      <c r="BD657" s="116"/>
      <c r="BE657" s="116"/>
      <c r="BF657" s="116"/>
      <c r="BG657" s="116"/>
      <c r="BH657" s="124"/>
      <c r="BI657" s="124"/>
      <c r="BJ657" s="116"/>
      <c r="BK657" s="116"/>
      <c r="BL657" s="116"/>
      <c r="BM657" s="116"/>
      <c r="BN657" s="116"/>
      <c r="BO657" s="116"/>
      <c r="BP657" s="125"/>
      <c r="BQ657" s="116"/>
    </row>
    <row r="658">
      <c r="A658" s="116"/>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c r="AI658" s="116"/>
      <c r="AJ658" s="116"/>
      <c r="AK658" s="116"/>
      <c r="AL658" s="116"/>
      <c r="AM658" s="116"/>
      <c r="AN658" s="116"/>
      <c r="AO658" s="116"/>
      <c r="AP658" s="116"/>
      <c r="AQ658" s="116"/>
      <c r="AR658" s="116"/>
      <c r="AS658" s="116"/>
      <c r="AT658" s="116"/>
      <c r="AU658" s="116"/>
      <c r="AV658" s="116"/>
      <c r="AW658" s="116"/>
      <c r="AX658" s="116"/>
      <c r="AY658" s="116"/>
      <c r="AZ658" s="116"/>
      <c r="BA658" s="116"/>
      <c r="BB658" s="116"/>
      <c r="BC658" s="116"/>
      <c r="BD658" s="116"/>
      <c r="BE658" s="116"/>
      <c r="BF658" s="116"/>
      <c r="BG658" s="116"/>
      <c r="BH658" s="124"/>
      <c r="BI658" s="124"/>
      <c r="BJ658" s="116"/>
      <c r="BK658" s="116"/>
      <c r="BL658" s="116"/>
      <c r="BM658" s="116"/>
      <c r="BN658" s="116"/>
      <c r="BO658" s="116"/>
      <c r="BP658" s="125"/>
      <c r="BQ658" s="116"/>
    </row>
    <row r="659">
      <c r="A659" s="116"/>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c r="AI659" s="116"/>
      <c r="AJ659" s="116"/>
      <c r="AK659" s="116"/>
      <c r="AL659" s="116"/>
      <c r="AM659" s="116"/>
      <c r="AN659" s="116"/>
      <c r="AO659" s="116"/>
      <c r="AP659" s="116"/>
      <c r="AQ659" s="116"/>
      <c r="AR659" s="116"/>
      <c r="AS659" s="116"/>
      <c r="AT659" s="116"/>
      <c r="AU659" s="116"/>
      <c r="AV659" s="116"/>
      <c r="AW659" s="116"/>
      <c r="AX659" s="116"/>
      <c r="AY659" s="116"/>
      <c r="AZ659" s="116"/>
      <c r="BA659" s="116"/>
      <c r="BB659" s="116"/>
      <c r="BC659" s="116"/>
      <c r="BD659" s="116"/>
      <c r="BE659" s="116"/>
      <c r="BF659" s="116"/>
      <c r="BG659" s="116"/>
      <c r="BH659" s="124"/>
      <c r="BI659" s="124"/>
      <c r="BJ659" s="116"/>
      <c r="BK659" s="116"/>
      <c r="BL659" s="116"/>
      <c r="BM659" s="116"/>
      <c r="BN659" s="116"/>
      <c r="BO659" s="116"/>
      <c r="BP659" s="125"/>
      <c r="BQ659" s="116"/>
    </row>
    <row r="660">
      <c r="A660" s="116"/>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c r="AI660" s="116"/>
      <c r="AJ660" s="116"/>
      <c r="AK660" s="116"/>
      <c r="AL660" s="116"/>
      <c r="AM660" s="116"/>
      <c r="AN660" s="116"/>
      <c r="AO660" s="116"/>
      <c r="AP660" s="116"/>
      <c r="AQ660" s="116"/>
      <c r="AR660" s="116"/>
      <c r="AS660" s="116"/>
      <c r="AT660" s="116"/>
      <c r="AU660" s="116"/>
      <c r="AV660" s="116"/>
      <c r="AW660" s="116"/>
      <c r="AX660" s="116"/>
      <c r="AY660" s="116"/>
      <c r="AZ660" s="116"/>
      <c r="BA660" s="116"/>
      <c r="BB660" s="116"/>
      <c r="BC660" s="116"/>
      <c r="BD660" s="116"/>
      <c r="BE660" s="116"/>
      <c r="BF660" s="116"/>
      <c r="BG660" s="116"/>
      <c r="BH660" s="124"/>
      <c r="BI660" s="124"/>
      <c r="BJ660" s="116"/>
      <c r="BK660" s="116"/>
      <c r="BL660" s="116"/>
      <c r="BM660" s="116"/>
      <c r="BN660" s="116"/>
      <c r="BO660" s="116"/>
      <c r="BP660" s="125"/>
      <c r="BQ660" s="116"/>
    </row>
    <row r="661">
      <c r="A661" s="116"/>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c r="AI661" s="116"/>
      <c r="AJ661" s="116"/>
      <c r="AK661" s="116"/>
      <c r="AL661" s="116"/>
      <c r="AM661" s="116"/>
      <c r="AN661" s="116"/>
      <c r="AO661" s="116"/>
      <c r="AP661" s="116"/>
      <c r="AQ661" s="116"/>
      <c r="AR661" s="116"/>
      <c r="AS661" s="116"/>
      <c r="AT661" s="116"/>
      <c r="AU661" s="116"/>
      <c r="AV661" s="116"/>
      <c r="AW661" s="116"/>
      <c r="AX661" s="116"/>
      <c r="AY661" s="116"/>
      <c r="AZ661" s="116"/>
      <c r="BA661" s="116"/>
      <c r="BB661" s="116"/>
      <c r="BC661" s="116"/>
      <c r="BD661" s="116"/>
      <c r="BE661" s="116"/>
      <c r="BF661" s="116"/>
      <c r="BG661" s="116"/>
      <c r="BH661" s="124"/>
      <c r="BI661" s="124"/>
      <c r="BJ661" s="116"/>
      <c r="BK661" s="116"/>
      <c r="BL661" s="116"/>
      <c r="BM661" s="116"/>
      <c r="BN661" s="116"/>
      <c r="BO661" s="116"/>
      <c r="BP661" s="125"/>
      <c r="BQ661" s="116"/>
    </row>
    <row r="662">
      <c r="A662" s="116"/>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c r="AI662" s="116"/>
      <c r="AJ662" s="116"/>
      <c r="AK662" s="116"/>
      <c r="AL662" s="116"/>
      <c r="AM662" s="116"/>
      <c r="AN662" s="116"/>
      <c r="AO662" s="116"/>
      <c r="AP662" s="116"/>
      <c r="AQ662" s="116"/>
      <c r="AR662" s="116"/>
      <c r="AS662" s="116"/>
      <c r="AT662" s="116"/>
      <c r="AU662" s="116"/>
      <c r="AV662" s="116"/>
      <c r="AW662" s="116"/>
      <c r="AX662" s="116"/>
      <c r="AY662" s="116"/>
      <c r="AZ662" s="116"/>
      <c r="BA662" s="116"/>
      <c r="BB662" s="116"/>
      <c r="BC662" s="116"/>
      <c r="BD662" s="116"/>
      <c r="BE662" s="116"/>
      <c r="BF662" s="116"/>
      <c r="BG662" s="116"/>
      <c r="BH662" s="124"/>
      <c r="BI662" s="124"/>
      <c r="BJ662" s="116"/>
      <c r="BK662" s="116"/>
      <c r="BL662" s="116"/>
      <c r="BM662" s="116"/>
      <c r="BN662" s="116"/>
      <c r="BO662" s="116"/>
      <c r="BP662" s="125"/>
      <c r="BQ662" s="116"/>
    </row>
    <row r="663">
      <c r="A663" s="116"/>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c r="AI663" s="116"/>
      <c r="AJ663" s="116"/>
      <c r="AK663" s="116"/>
      <c r="AL663" s="116"/>
      <c r="AM663" s="116"/>
      <c r="AN663" s="116"/>
      <c r="AO663" s="116"/>
      <c r="AP663" s="116"/>
      <c r="AQ663" s="116"/>
      <c r="AR663" s="116"/>
      <c r="AS663" s="116"/>
      <c r="AT663" s="116"/>
      <c r="AU663" s="116"/>
      <c r="AV663" s="116"/>
      <c r="AW663" s="116"/>
      <c r="AX663" s="116"/>
      <c r="AY663" s="116"/>
      <c r="AZ663" s="116"/>
      <c r="BA663" s="116"/>
      <c r="BB663" s="116"/>
      <c r="BC663" s="116"/>
      <c r="BD663" s="116"/>
      <c r="BE663" s="116"/>
      <c r="BF663" s="116"/>
      <c r="BG663" s="116"/>
      <c r="BH663" s="124"/>
      <c r="BI663" s="124"/>
      <c r="BJ663" s="116"/>
      <c r="BK663" s="116"/>
      <c r="BL663" s="116"/>
      <c r="BM663" s="116"/>
      <c r="BN663" s="116"/>
      <c r="BO663" s="116"/>
      <c r="BP663" s="125"/>
      <c r="BQ663" s="116"/>
    </row>
    <row r="664">
      <c r="A664" s="116"/>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c r="AI664" s="116"/>
      <c r="AJ664" s="116"/>
      <c r="AK664" s="116"/>
      <c r="AL664" s="116"/>
      <c r="AM664" s="116"/>
      <c r="AN664" s="116"/>
      <c r="AO664" s="116"/>
      <c r="AP664" s="116"/>
      <c r="AQ664" s="116"/>
      <c r="AR664" s="116"/>
      <c r="AS664" s="116"/>
      <c r="AT664" s="116"/>
      <c r="AU664" s="116"/>
      <c r="AV664" s="116"/>
      <c r="AW664" s="116"/>
      <c r="AX664" s="116"/>
      <c r="AY664" s="116"/>
      <c r="AZ664" s="116"/>
      <c r="BA664" s="116"/>
      <c r="BB664" s="116"/>
      <c r="BC664" s="116"/>
      <c r="BD664" s="116"/>
      <c r="BE664" s="116"/>
      <c r="BF664" s="116"/>
      <c r="BG664" s="116"/>
      <c r="BH664" s="124"/>
      <c r="BI664" s="124"/>
      <c r="BJ664" s="116"/>
      <c r="BK664" s="116"/>
      <c r="BL664" s="116"/>
      <c r="BM664" s="116"/>
      <c r="BN664" s="116"/>
      <c r="BO664" s="116"/>
      <c r="BP664" s="125"/>
      <c r="BQ664" s="116"/>
    </row>
    <row r="665">
      <c r="A665" s="116"/>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c r="AI665" s="116"/>
      <c r="AJ665" s="116"/>
      <c r="AK665" s="116"/>
      <c r="AL665" s="116"/>
      <c r="AM665" s="116"/>
      <c r="AN665" s="116"/>
      <c r="AO665" s="116"/>
      <c r="AP665" s="116"/>
      <c r="AQ665" s="116"/>
      <c r="AR665" s="116"/>
      <c r="AS665" s="116"/>
      <c r="AT665" s="116"/>
      <c r="AU665" s="116"/>
      <c r="AV665" s="116"/>
      <c r="AW665" s="116"/>
      <c r="AX665" s="116"/>
      <c r="AY665" s="116"/>
      <c r="AZ665" s="116"/>
      <c r="BA665" s="116"/>
      <c r="BB665" s="116"/>
      <c r="BC665" s="116"/>
      <c r="BD665" s="116"/>
      <c r="BE665" s="116"/>
      <c r="BF665" s="116"/>
      <c r="BG665" s="116"/>
      <c r="BH665" s="124"/>
      <c r="BI665" s="124"/>
      <c r="BJ665" s="116"/>
      <c r="BK665" s="116"/>
      <c r="BL665" s="116"/>
      <c r="BM665" s="116"/>
      <c r="BN665" s="116"/>
      <c r="BO665" s="116"/>
      <c r="BP665" s="125"/>
      <c r="BQ665" s="116"/>
    </row>
    <row r="666">
      <c r="A666" s="11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c r="AI666" s="116"/>
      <c r="AJ666" s="116"/>
      <c r="AK666" s="116"/>
      <c r="AL666" s="116"/>
      <c r="AM666" s="116"/>
      <c r="AN666" s="116"/>
      <c r="AO666" s="116"/>
      <c r="AP666" s="116"/>
      <c r="AQ666" s="116"/>
      <c r="AR666" s="116"/>
      <c r="AS666" s="116"/>
      <c r="AT666" s="116"/>
      <c r="AU666" s="116"/>
      <c r="AV666" s="116"/>
      <c r="AW666" s="116"/>
      <c r="AX666" s="116"/>
      <c r="AY666" s="116"/>
      <c r="AZ666" s="116"/>
      <c r="BA666" s="116"/>
      <c r="BB666" s="116"/>
      <c r="BC666" s="116"/>
      <c r="BD666" s="116"/>
      <c r="BE666" s="116"/>
      <c r="BF666" s="116"/>
      <c r="BG666" s="116"/>
      <c r="BH666" s="124"/>
      <c r="BI666" s="124"/>
      <c r="BJ666" s="116"/>
      <c r="BK666" s="116"/>
      <c r="BL666" s="116"/>
      <c r="BM666" s="116"/>
      <c r="BN666" s="116"/>
      <c r="BO666" s="116"/>
      <c r="BP666" s="125"/>
      <c r="BQ666" s="116"/>
    </row>
    <row r="667">
      <c r="A667" s="116"/>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c r="AI667" s="116"/>
      <c r="AJ667" s="116"/>
      <c r="AK667" s="116"/>
      <c r="AL667" s="116"/>
      <c r="AM667" s="116"/>
      <c r="AN667" s="116"/>
      <c r="AO667" s="116"/>
      <c r="AP667" s="116"/>
      <c r="AQ667" s="116"/>
      <c r="AR667" s="116"/>
      <c r="AS667" s="116"/>
      <c r="AT667" s="116"/>
      <c r="AU667" s="116"/>
      <c r="AV667" s="116"/>
      <c r="AW667" s="116"/>
      <c r="AX667" s="116"/>
      <c r="AY667" s="116"/>
      <c r="AZ667" s="116"/>
      <c r="BA667" s="116"/>
      <c r="BB667" s="116"/>
      <c r="BC667" s="116"/>
      <c r="BD667" s="116"/>
      <c r="BE667" s="116"/>
      <c r="BF667" s="116"/>
      <c r="BG667" s="116"/>
      <c r="BH667" s="124"/>
      <c r="BI667" s="124"/>
      <c r="BJ667" s="116"/>
      <c r="BK667" s="116"/>
      <c r="BL667" s="116"/>
      <c r="BM667" s="116"/>
      <c r="BN667" s="116"/>
      <c r="BO667" s="116"/>
      <c r="BP667" s="125"/>
      <c r="BQ667" s="116"/>
    </row>
    <row r="668">
      <c r="A668" s="116"/>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c r="AI668" s="116"/>
      <c r="AJ668" s="116"/>
      <c r="AK668" s="116"/>
      <c r="AL668" s="116"/>
      <c r="AM668" s="116"/>
      <c r="AN668" s="116"/>
      <c r="AO668" s="116"/>
      <c r="AP668" s="116"/>
      <c r="AQ668" s="116"/>
      <c r="AR668" s="116"/>
      <c r="AS668" s="116"/>
      <c r="AT668" s="116"/>
      <c r="AU668" s="116"/>
      <c r="AV668" s="116"/>
      <c r="AW668" s="116"/>
      <c r="AX668" s="116"/>
      <c r="AY668" s="116"/>
      <c r="AZ668" s="116"/>
      <c r="BA668" s="116"/>
      <c r="BB668" s="116"/>
      <c r="BC668" s="116"/>
      <c r="BD668" s="116"/>
      <c r="BE668" s="116"/>
      <c r="BF668" s="116"/>
      <c r="BG668" s="116"/>
      <c r="BH668" s="124"/>
      <c r="BI668" s="124"/>
      <c r="BJ668" s="116"/>
      <c r="BK668" s="116"/>
      <c r="BL668" s="116"/>
      <c r="BM668" s="116"/>
      <c r="BN668" s="116"/>
      <c r="BO668" s="116"/>
      <c r="BP668" s="125"/>
      <c r="BQ668" s="116"/>
    </row>
    <row r="669">
      <c r="A669" s="116"/>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c r="AI669" s="116"/>
      <c r="AJ669" s="116"/>
      <c r="AK669" s="116"/>
      <c r="AL669" s="116"/>
      <c r="AM669" s="116"/>
      <c r="AN669" s="116"/>
      <c r="AO669" s="116"/>
      <c r="AP669" s="116"/>
      <c r="AQ669" s="116"/>
      <c r="AR669" s="116"/>
      <c r="AS669" s="116"/>
      <c r="AT669" s="116"/>
      <c r="AU669" s="116"/>
      <c r="AV669" s="116"/>
      <c r="AW669" s="116"/>
      <c r="AX669" s="116"/>
      <c r="AY669" s="116"/>
      <c r="AZ669" s="116"/>
      <c r="BA669" s="116"/>
      <c r="BB669" s="116"/>
      <c r="BC669" s="116"/>
      <c r="BD669" s="116"/>
      <c r="BE669" s="116"/>
      <c r="BF669" s="116"/>
      <c r="BG669" s="116"/>
      <c r="BH669" s="124"/>
      <c r="BI669" s="124"/>
      <c r="BJ669" s="116"/>
      <c r="BK669" s="116"/>
      <c r="BL669" s="116"/>
      <c r="BM669" s="116"/>
      <c r="BN669" s="116"/>
      <c r="BO669" s="116"/>
      <c r="BP669" s="125"/>
      <c r="BQ669" s="116"/>
    </row>
    <row r="670">
      <c r="A670" s="116"/>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c r="AE670" s="116"/>
      <c r="AF670" s="116"/>
      <c r="AG670" s="116"/>
      <c r="AH670" s="116"/>
      <c r="AI670" s="116"/>
      <c r="AJ670" s="116"/>
      <c r="AK670" s="116"/>
      <c r="AL670" s="116"/>
      <c r="AM670" s="116"/>
      <c r="AN670" s="116"/>
      <c r="AO670" s="116"/>
      <c r="AP670" s="116"/>
      <c r="AQ670" s="116"/>
      <c r="AR670" s="116"/>
      <c r="AS670" s="116"/>
      <c r="AT670" s="116"/>
      <c r="AU670" s="116"/>
      <c r="AV670" s="116"/>
      <c r="AW670" s="116"/>
      <c r="AX670" s="116"/>
      <c r="AY670" s="116"/>
      <c r="AZ670" s="116"/>
      <c r="BA670" s="116"/>
      <c r="BB670" s="116"/>
      <c r="BC670" s="116"/>
      <c r="BD670" s="116"/>
      <c r="BE670" s="116"/>
      <c r="BF670" s="116"/>
      <c r="BG670" s="116"/>
      <c r="BH670" s="124"/>
      <c r="BI670" s="124"/>
      <c r="BJ670" s="116"/>
      <c r="BK670" s="116"/>
      <c r="BL670" s="116"/>
      <c r="BM670" s="116"/>
      <c r="BN670" s="116"/>
      <c r="BO670" s="116"/>
      <c r="BP670" s="125"/>
      <c r="BQ670" s="116"/>
    </row>
    <row r="671">
      <c r="A671" s="116"/>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c r="AE671" s="116"/>
      <c r="AF671" s="116"/>
      <c r="AG671" s="116"/>
      <c r="AH671" s="116"/>
      <c r="AI671" s="116"/>
      <c r="AJ671" s="116"/>
      <c r="AK671" s="116"/>
      <c r="AL671" s="116"/>
      <c r="AM671" s="116"/>
      <c r="AN671" s="116"/>
      <c r="AO671" s="116"/>
      <c r="AP671" s="116"/>
      <c r="AQ671" s="116"/>
      <c r="AR671" s="116"/>
      <c r="AS671" s="116"/>
      <c r="AT671" s="116"/>
      <c r="AU671" s="116"/>
      <c r="AV671" s="116"/>
      <c r="AW671" s="116"/>
      <c r="AX671" s="116"/>
      <c r="AY671" s="116"/>
      <c r="AZ671" s="116"/>
      <c r="BA671" s="116"/>
      <c r="BB671" s="116"/>
      <c r="BC671" s="116"/>
      <c r="BD671" s="116"/>
      <c r="BE671" s="116"/>
      <c r="BF671" s="116"/>
      <c r="BG671" s="116"/>
      <c r="BH671" s="124"/>
      <c r="BI671" s="124"/>
      <c r="BJ671" s="116"/>
      <c r="BK671" s="116"/>
      <c r="BL671" s="116"/>
      <c r="BM671" s="116"/>
      <c r="BN671" s="116"/>
      <c r="BO671" s="116"/>
      <c r="BP671" s="125"/>
      <c r="BQ671" s="116"/>
    </row>
    <row r="672">
      <c r="A672" s="116"/>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c r="AE672" s="116"/>
      <c r="AF672" s="116"/>
      <c r="AG672" s="116"/>
      <c r="AH672" s="116"/>
      <c r="AI672" s="116"/>
      <c r="AJ672" s="116"/>
      <c r="AK672" s="116"/>
      <c r="AL672" s="116"/>
      <c r="AM672" s="116"/>
      <c r="AN672" s="116"/>
      <c r="AO672" s="116"/>
      <c r="AP672" s="116"/>
      <c r="AQ672" s="116"/>
      <c r="AR672" s="116"/>
      <c r="AS672" s="116"/>
      <c r="AT672" s="116"/>
      <c r="AU672" s="116"/>
      <c r="AV672" s="116"/>
      <c r="AW672" s="116"/>
      <c r="AX672" s="116"/>
      <c r="AY672" s="116"/>
      <c r="AZ672" s="116"/>
      <c r="BA672" s="116"/>
      <c r="BB672" s="116"/>
      <c r="BC672" s="116"/>
      <c r="BD672" s="116"/>
      <c r="BE672" s="116"/>
      <c r="BF672" s="116"/>
      <c r="BG672" s="116"/>
      <c r="BH672" s="124"/>
      <c r="BI672" s="124"/>
      <c r="BJ672" s="116"/>
      <c r="BK672" s="116"/>
      <c r="BL672" s="116"/>
      <c r="BM672" s="116"/>
      <c r="BN672" s="116"/>
      <c r="BO672" s="116"/>
      <c r="BP672" s="125"/>
      <c r="BQ672" s="116"/>
    </row>
    <row r="673">
      <c r="A673" s="116"/>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c r="AE673" s="116"/>
      <c r="AF673" s="116"/>
      <c r="AG673" s="116"/>
      <c r="AH673" s="116"/>
      <c r="AI673" s="116"/>
      <c r="AJ673" s="116"/>
      <c r="AK673" s="116"/>
      <c r="AL673" s="116"/>
      <c r="AM673" s="116"/>
      <c r="AN673" s="116"/>
      <c r="AO673" s="116"/>
      <c r="AP673" s="116"/>
      <c r="AQ673" s="116"/>
      <c r="AR673" s="116"/>
      <c r="AS673" s="116"/>
      <c r="AT673" s="116"/>
      <c r="AU673" s="116"/>
      <c r="AV673" s="116"/>
      <c r="AW673" s="116"/>
      <c r="AX673" s="116"/>
      <c r="AY673" s="116"/>
      <c r="AZ673" s="116"/>
      <c r="BA673" s="116"/>
      <c r="BB673" s="116"/>
      <c r="BC673" s="116"/>
      <c r="BD673" s="116"/>
      <c r="BE673" s="116"/>
      <c r="BF673" s="116"/>
      <c r="BG673" s="116"/>
      <c r="BH673" s="124"/>
      <c r="BI673" s="124"/>
      <c r="BJ673" s="116"/>
      <c r="BK673" s="116"/>
      <c r="BL673" s="116"/>
      <c r="BM673" s="116"/>
      <c r="BN673" s="116"/>
      <c r="BO673" s="116"/>
      <c r="BP673" s="125"/>
      <c r="BQ673" s="116"/>
    </row>
    <row r="674">
      <c r="A674" s="116"/>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c r="AE674" s="116"/>
      <c r="AF674" s="116"/>
      <c r="AG674" s="116"/>
      <c r="AH674" s="116"/>
      <c r="AI674" s="116"/>
      <c r="AJ674" s="116"/>
      <c r="AK674" s="116"/>
      <c r="AL674" s="116"/>
      <c r="AM674" s="116"/>
      <c r="AN674" s="116"/>
      <c r="AO674" s="116"/>
      <c r="AP674" s="116"/>
      <c r="AQ674" s="116"/>
      <c r="AR674" s="116"/>
      <c r="AS674" s="116"/>
      <c r="AT674" s="116"/>
      <c r="AU674" s="116"/>
      <c r="AV674" s="116"/>
      <c r="AW674" s="116"/>
      <c r="AX674" s="116"/>
      <c r="AY674" s="116"/>
      <c r="AZ674" s="116"/>
      <c r="BA674" s="116"/>
      <c r="BB674" s="116"/>
      <c r="BC674" s="116"/>
      <c r="BD674" s="116"/>
      <c r="BE674" s="116"/>
      <c r="BF674" s="116"/>
      <c r="BG674" s="116"/>
      <c r="BH674" s="124"/>
      <c r="BI674" s="124"/>
      <c r="BJ674" s="116"/>
      <c r="BK674" s="116"/>
      <c r="BL674" s="116"/>
      <c r="BM674" s="116"/>
      <c r="BN674" s="116"/>
      <c r="BO674" s="116"/>
      <c r="BP674" s="125"/>
      <c r="BQ674" s="116"/>
    </row>
    <row r="675">
      <c r="A675" s="116"/>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c r="AE675" s="116"/>
      <c r="AF675" s="116"/>
      <c r="AG675" s="116"/>
      <c r="AH675" s="116"/>
      <c r="AI675" s="116"/>
      <c r="AJ675" s="116"/>
      <c r="AK675" s="116"/>
      <c r="AL675" s="116"/>
      <c r="AM675" s="116"/>
      <c r="AN675" s="116"/>
      <c r="AO675" s="116"/>
      <c r="AP675" s="116"/>
      <c r="AQ675" s="116"/>
      <c r="AR675" s="116"/>
      <c r="AS675" s="116"/>
      <c r="AT675" s="116"/>
      <c r="AU675" s="116"/>
      <c r="AV675" s="116"/>
      <c r="AW675" s="116"/>
      <c r="AX675" s="116"/>
      <c r="AY675" s="116"/>
      <c r="AZ675" s="116"/>
      <c r="BA675" s="116"/>
      <c r="BB675" s="116"/>
      <c r="BC675" s="116"/>
      <c r="BD675" s="116"/>
      <c r="BE675" s="116"/>
      <c r="BF675" s="116"/>
      <c r="BG675" s="116"/>
      <c r="BH675" s="124"/>
      <c r="BI675" s="124"/>
      <c r="BJ675" s="116"/>
      <c r="BK675" s="116"/>
      <c r="BL675" s="116"/>
      <c r="BM675" s="116"/>
      <c r="BN675" s="116"/>
      <c r="BO675" s="116"/>
      <c r="BP675" s="125"/>
      <c r="BQ675" s="116"/>
    </row>
    <row r="676">
      <c r="A676" s="11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c r="AE676" s="116"/>
      <c r="AF676" s="116"/>
      <c r="AG676" s="116"/>
      <c r="AH676" s="116"/>
      <c r="AI676" s="116"/>
      <c r="AJ676" s="116"/>
      <c r="AK676" s="116"/>
      <c r="AL676" s="116"/>
      <c r="AM676" s="116"/>
      <c r="AN676" s="116"/>
      <c r="AO676" s="116"/>
      <c r="AP676" s="116"/>
      <c r="AQ676" s="116"/>
      <c r="AR676" s="116"/>
      <c r="AS676" s="116"/>
      <c r="AT676" s="116"/>
      <c r="AU676" s="116"/>
      <c r="AV676" s="116"/>
      <c r="AW676" s="116"/>
      <c r="AX676" s="116"/>
      <c r="AY676" s="116"/>
      <c r="AZ676" s="116"/>
      <c r="BA676" s="116"/>
      <c r="BB676" s="116"/>
      <c r="BC676" s="116"/>
      <c r="BD676" s="116"/>
      <c r="BE676" s="116"/>
      <c r="BF676" s="116"/>
      <c r="BG676" s="116"/>
      <c r="BH676" s="124"/>
      <c r="BI676" s="124"/>
      <c r="BJ676" s="116"/>
      <c r="BK676" s="116"/>
      <c r="BL676" s="116"/>
      <c r="BM676" s="116"/>
      <c r="BN676" s="116"/>
      <c r="BO676" s="116"/>
      <c r="BP676" s="125"/>
      <c r="BQ676" s="116"/>
    </row>
    <row r="677">
      <c r="A677" s="116"/>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c r="AE677" s="116"/>
      <c r="AF677" s="116"/>
      <c r="AG677" s="116"/>
      <c r="AH677" s="116"/>
      <c r="AI677" s="116"/>
      <c r="AJ677" s="116"/>
      <c r="AK677" s="116"/>
      <c r="AL677" s="116"/>
      <c r="AM677" s="116"/>
      <c r="AN677" s="116"/>
      <c r="AO677" s="116"/>
      <c r="AP677" s="116"/>
      <c r="AQ677" s="116"/>
      <c r="AR677" s="116"/>
      <c r="AS677" s="116"/>
      <c r="AT677" s="116"/>
      <c r="AU677" s="116"/>
      <c r="AV677" s="116"/>
      <c r="AW677" s="116"/>
      <c r="AX677" s="116"/>
      <c r="AY677" s="116"/>
      <c r="AZ677" s="116"/>
      <c r="BA677" s="116"/>
      <c r="BB677" s="116"/>
      <c r="BC677" s="116"/>
      <c r="BD677" s="116"/>
      <c r="BE677" s="116"/>
      <c r="BF677" s="116"/>
      <c r="BG677" s="116"/>
      <c r="BH677" s="124"/>
      <c r="BI677" s="124"/>
      <c r="BJ677" s="116"/>
      <c r="BK677" s="116"/>
      <c r="BL677" s="116"/>
      <c r="BM677" s="116"/>
      <c r="BN677" s="116"/>
      <c r="BO677" s="116"/>
      <c r="BP677" s="125"/>
      <c r="BQ677" s="116"/>
    </row>
    <row r="678">
      <c r="A678" s="116"/>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c r="AE678" s="116"/>
      <c r="AF678" s="116"/>
      <c r="AG678" s="116"/>
      <c r="AH678" s="116"/>
      <c r="AI678" s="116"/>
      <c r="AJ678" s="116"/>
      <c r="AK678" s="116"/>
      <c r="AL678" s="116"/>
      <c r="AM678" s="116"/>
      <c r="AN678" s="116"/>
      <c r="AO678" s="116"/>
      <c r="AP678" s="116"/>
      <c r="AQ678" s="116"/>
      <c r="AR678" s="116"/>
      <c r="AS678" s="116"/>
      <c r="AT678" s="116"/>
      <c r="AU678" s="116"/>
      <c r="AV678" s="116"/>
      <c r="AW678" s="116"/>
      <c r="AX678" s="116"/>
      <c r="AY678" s="116"/>
      <c r="AZ678" s="116"/>
      <c r="BA678" s="116"/>
      <c r="BB678" s="116"/>
      <c r="BC678" s="116"/>
      <c r="BD678" s="116"/>
      <c r="BE678" s="116"/>
      <c r="BF678" s="116"/>
      <c r="BG678" s="116"/>
      <c r="BH678" s="124"/>
      <c r="BI678" s="124"/>
      <c r="BJ678" s="116"/>
      <c r="BK678" s="116"/>
      <c r="BL678" s="116"/>
      <c r="BM678" s="116"/>
      <c r="BN678" s="116"/>
      <c r="BO678" s="116"/>
      <c r="BP678" s="125"/>
      <c r="BQ678" s="116"/>
    </row>
    <row r="679">
      <c r="A679" s="116"/>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c r="AE679" s="116"/>
      <c r="AF679" s="116"/>
      <c r="AG679" s="116"/>
      <c r="AH679" s="116"/>
      <c r="AI679" s="116"/>
      <c r="AJ679" s="116"/>
      <c r="AK679" s="116"/>
      <c r="AL679" s="116"/>
      <c r="AM679" s="116"/>
      <c r="AN679" s="116"/>
      <c r="AO679" s="116"/>
      <c r="AP679" s="116"/>
      <c r="AQ679" s="116"/>
      <c r="AR679" s="116"/>
      <c r="AS679" s="116"/>
      <c r="AT679" s="116"/>
      <c r="AU679" s="116"/>
      <c r="AV679" s="116"/>
      <c r="AW679" s="116"/>
      <c r="AX679" s="116"/>
      <c r="AY679" s="116"/>
      <c r="AZ679" s="116"/>
      <c r="BA679" s="116"/>
      <c r="BB679" s="116"/>
      <c r="BC679" s="116"/>
      <c r="BD679" s="116"/>
      <c r="BE679" s="116"/>
      <c r="BF679" s="116"/>
      <c r="BG679" s="116"/>
      <c r="BH679" s="124"/>
      <c r="BI679" s="124"/>
      <c r="BJ679" s="116"/>
      <c r="BK679" s="116"/>
      <c r="BL679" s="116"/>
      <c r="BM679" s="116"/>
      <c r="BN679" s="116"/>
      <c r="BO679" s="116"/>
      <c r="BP679" s="125"/>
      <c r="BQ679" s="116"/>
    </row>
    <row r="680">
      <c r="A680" s="116"/>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c r="AA680" s="116"/>
      <c r="AB680" s="116"/>
      <c r="AC680" s="116"/>
      <c r="AD680" s="116"/>
      <c r="AE680" s="116"/>
      <c r="AF680" s="116"/>
      <c r="AG680" s="116"/>
      <c r="AH680" s="116"/>
      <c r="AI680" s="116"/>
      <c r="AJ680" s="116"/>
      <c r="AK680" s="116"/>
      <c r="AL680" s="116"/>
      <c r="AM680" s="116"/>
      <c r="AN680" s="116"/>
      <c r="AO680" s="116"/>
      <c r="AP680" s="116"/>
      <c r="AQ680" s="116"/>
      <c r="AR680" s="116"/>
      <c r="AS680" s="116"/>
      <c r="AT680" s="116"/>
      <c r="AU680" s="116"/>
      <c r="AV680" s="116"/>
      <c r="AW680" s="116"/>
      <c r="AX680" s="116"/>
      <c r="AY680" s="116"/>
      <c r="AZ680" s="116"/>
      <c r="BA680" s="116"/>
      <c r="BB680" s="116"/>
      <c r="BC680" s="116"/>
      <c r="BD680" s="116"/>
      <c r="BE680" s="116"/>
      <c r="BF680" s="116"/>
      <c r="BG680" s="116"/>
      <c r="BH680" s="124"/>
      <c r="BI680" s="124"/>
      <c r="BJ680" s="116"/>
      <c r="BK680" s="116"/>
      <c r="BL680" s="116"/>
      <c r="BM680" s="116"/>
      <c r="BN680" s="116"/>
      <c r="BO680" s="116"/>
      <c r="BP680" s="125"/>
      <c r="BQ680" s="116"/>
    </row>
    <row r="681">
      <c r="A681" s="116"/>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c r="AA681" s="116"/>
      <c r="AB681" s="116"/>
      <c r="AC681" s="116"/>
      <c r="AD681" s="116"/>
      <c r="AE681" s="116"/>
      <c r="AF681" s="116"/>
      <c r="AG681" s="116"/>
      <c r="AH681" s="116"/>
      <c r="AI681" s="116"/>
      <c r="AJ681" s="116"/>
      <c r="AK681" s="116"/>
      <c r="AL681" s="116"/>
      <c r="AM681" s="116"/>
      <c r="AN681" s="116"/>
      <c r="AO681" s="116"/>
      <c r="AP681" s="116"/>
      <c r="AQ681" s="116"/>
      <c r="AR681" s="116"/>
      <c r="AS681" s="116"/>
      <c r="AT681" s="116"/>
      <c r="AU681" s="116"/>
      <c r="AV681" s="116"/>
      <c r="AW681" s="116"/>
      <c r="AX681" s="116"/>
      <c r="AY681" s="116"/>
      <c r="AZ681" s="116"/>
      <c r="BA681" s="116"/>
      <c r="BB681" s="116"/>
      <c r="BC681" s="116"/>
      <c r="BD681" s="116"/>
      <c r="BE681" s="116"/>
      <c r="BF681" s="116"/>
      <c r="BG681" s="116"/>
      <c r="BH681" s="124"/>
      <c r="BI681" s="124"/>
      <c r="BJ681" s="116"/>
      <c r="BK681" s="116"/>
      <c r="BL681" s="116"/>
      <c r="BM681" s="116"/>
      <c r="BN681" s="116"/>
      <c r="BO681" s="116"/>
      <c r="BP681" s="125"/>
      <c r="BQ681" s="116"/>
    </row>
    <row r="682">
      <c r="A682" s="116"/>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c r="AA682" s="116"/>
      <c r="AB682" s="116"/>
      <c r="AC682" s="116"/>
      <c r="AD682" s="116"/>
      <c r="AE682" s="116"/>
      <c r="AF682" s="116"/>
      <c r="AG682" s="116"/>
      <c r="AH682" s="116"/>
      <c r="AI682" s="116"/>
      <c r="AJ682" s="116"/>
      <c r="AK682" s="116"/>
      <c r="AL682" s="116"/>
      <c r="AM682" s="116"/>
      <c r="AN682" s="116"/>
      <c r="AO682" s="116"/>
      <c r="AP682" s="116"/>
      <c r="AQ682" s="116"/>
      <c r="AR682" s="116"/>
      <c r="AS682" s="116"/>
      <c r="AT682" s="116"/>
      <c r="AU682" s="116"/>
      <c r="AV682" s="116"/>
      <c r="AW682" s="116"/>
      <c r="AX682" s="116"/>
      <c r="AY682" s="116"/>
      <c r="AZ682" s="116"/>
      <c r="BA682" s="116"/>
      <c r="BB682" s="116"/>
      <c r="BC682" s="116"/>
      <c r="BD682" s="116"/>
      <c r="BE682" s="116"/>
      <c r="BF682" s="116"/>
      <c r="BG682" s="116"/>
      <c r="BH682" s="124"/>
      <c r="BI682" s="124"/>
      <c r="BJ682" s="116"/>
      <c r="BK682" s="116"/>
      <c r="BL682" s="116"/>
      <c r="BM682" s="116"/>
      <c r="BN682" s="116"/>
      <c r="BO682" s="116"/>
      <c r="BP682" s="125"/>
      <c r="BQ682" s="116"/>
    </row>
    <row r="683">
      <c r="A683" s="116"/>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c r="AA683" s="116"/>
      <c r="AB683" s="116"/>
      <c r="AC683" s="116"/>
      <c r="AD683" s="116"/>
      <c r="AE683" s="116"/>
      <c r="AF683" s="116"/>
      <c r="AG683" s="116"/>
      <c r="AH683" s="116"/>
      <c r="AI683" s="116"/>
      <c r="AJ683" s="116"/>
      <c r="AK683" s="116"/>
      <c r="AL683" s="116"/>
      <c r="AM683" s="116"/>
      <c r="AN683" s="116"/>
      <c r="AO683" s="116"/>
      <c r="AP683" s="116"/>
      <c r="AQ683" s="116"/>
      <c r="AR683" s="116"/>
      <c r="AS683" s="116"/>
      <c r="AT683" s="116"/>
      <c r="AU683" s="116"/>
      <c r="AV683" s="116"/>
      <c r="AW683" s="116"/>
      <c r="AX683" s="116"/>
      <c r="AY683" s="116"/>
      <c r="AZ683" s="116"/>
      <c r="BA683" s="116"/>
      <c r="BB683" s="116"/>
      <c r="BC683" s="116"/>
      <c r="BD683" s="116"/>
      <c r="BE683" s="116"/>
      <c r="BF683" s="116"/>
      <c r="BG683" s="116"/>
      <c r="BH683" s="124"/>
      <c r="BI683" s="124"/>
      <c r="BJ683" s="116"/>
      <c r="BK683" s="116"/>
      <c r="BL683" s="116"/>
      <c r="BM683" s="116"/>
      <c r="BN683" s="116"/>
      <c r="BO683" s="116"/>
      <c r="BP683" s="125"/>
      <c r="BQ683" s="116"/>
    </row>
    <row r="684">
      <c r="A684" s="116"/>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c r="AA684" s="116"/>
      <c r="AB684" s="116"/>
      <c r="AC684" s="116"/>
      <c r="AD684" s="116"/>
      <c r="AE684" s="116"/>
      <c r="AF684" s="116"/>
      <c r="AG684" s="116"/>
      <c r="AH684" s="116"/>
      <c r="AI684" s="116"/>
      <c r="AJ684" s="116"/>
      <c r="AK684" s="116"/>
      <c r="AL684" s="116"/>
      <c r="AM684" s="116"/>
      <c r="AN684" s="116"/>
      <c r="AO684" s="116"/>
      <c r="AP684" s="116"/>
      <c r="AQ684" s="116"/>
      <c r="AR684" s="116"/>
      <c r="AS684" s="116"/>
      <c r="AT684" s="116"/>
      <c r="AU684" s="116"/>
      <c r="AV684" s="116"/>
      <c r="AW684" s="116"/>
      <c r="AX684" s="116"/>
      <c r="AY684" s="116"/>
      <c r="AZ684" s="116"/>
      <c r="BA684" s="116"/>
      <c r="BB684" s="116"/>
      <c r="BC684" s="116"/>
      <c r="BD684" s="116"/>
      <c r="BE684" s="116"/>
      <c r="BF684" s="116"/>
      <c r="BG684" s="116"/>
      <c r="BH684" s="124"/>
      <c r="BI684" s="124"/>
      <c r="BJ684" s="116"/>
      <c r="BK684" s="116"/>
      <c r="BL684" s="116"/>
      <c r="BM684" s="116"/>
      <c r="BN684" s="116"/>
      <c r="BO684" s="116"/>
      <c r="BP684" s="125"/>
      <c r="BQ684" s="116"/>
    </row>
    <row r="685">
      <c r="A685" s="116"/>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c r="AA685" s="116"/>
      <c r="AB685" s="116"/>
      <c r="AC685" s="116"/>
      <c r="AD685" s="116"/>
      <c r="AE685" s="116"/>
      <c r="AF685" s="116"/>
      <c r="AG685" s="116"/>
      <c r="AH685" s="116"/>
      <c r="AI685" s="116"/>
      <c r="AJ685" s="116"/>
      <c r="AK685" s="116"/>
      <c r="AL685" s="116"/>
      <c r="AM685" s="116"/>
      <c r="AN685" s="116"/>
      <c r="AO685" s="116"/>
      <c r="AP685" s="116"/>
      <c r="AQ685" s="116"/>
      <c r="AR685" s="116"/>
      <c r="AS685" s="116"/>
      <c r="AT685" s="116"/>
      <c r="AU685" s="116"/>
      <c r="AV685" s="116"/>
      <c r="AW685" s="116"/>
      <c r="AX685" s="116"/>
      <c r="AY685" s="116"/>
      <c r="AZ685" s="116"/>
      <c r="BA685" s="116"/>
      <c r="BB685" s="116"/>
      <c r="BC685" s="116"/>
      <c r="BD685" s="116"/>
      <c r="BE685" s="116"/>
      <c r="BF685" s="116"/>
      <c r="BG685" s="116"/>
      <c r="BH685" s="124"/>
      <c r="BI685" s="124"/>
      <c r="BJ685" s="116"/>
      <c r="BK685" s="116"/>
      <c r="BL685" s="116"/>
      <c r="BM685" s="116"/>
      <c r="BN685" s="116"/>
      <c r="BO685" s="116"/>
      <c r="BP685" s="125"/>
      <c r="BQ685" s="116"/>
    </row>
    <row r="686">
      <c r="A686" s="11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c r="AA686" s="116"/>
      <c r="AB686" s="116"/>
      <c r="AC686" s="116"/>
      <c r="AD686" s="116"/>
      <c r="AE686" s="116"/>
      <c r="AF686" s="116"/>
      <c r="AG686" s="116"/>
      <c r="AH686" s="116"/>
      <c r="AI686" s="116"/>
      <c r="AJ686" s="116"/>
      <c r="AK686" s="116"/>
      <c r="AL686" s="116"/>
      <c r="AM686" s="116"/>
      <c r="AN686" s="116"/>
      <c r="AO686" s="116"/>
      <c r="AP686" s="116"/>
      <c r="AQ686" s="116"/>
      <c r="AR686" s="116"/>
      <c r="AS686" s="116"/>
      <c r="AT686" s="116"/>
      <c r="AU686" s="116"/>
      <c r="AV686" s="116"/>
      <c r="AW686" s="116"/>
      <c r="AX686" s="116"/>
      <c r="AY686" s="116"/>
      <c r="AZ686" s="116"/>
      <c r="BA686" s="116"/>
      <c r="BB686" s="116"/>
      <c r="BC686" s="116"/>
      <c r="BD686" s="116"/>
      <c r="BE686" s="116"/>
      <c r="BF686" s="116"/>
      <c r="BG686" s="116"/>
      <c r="BH686" s="124"/>
      <c r="BI686" s="124"/>
      <c r="BJ686" s="116"/>
      <c r="BK686" s="116"/>
      <c r="BL686" s="116"/>
      <c r="BM686" s="116"/>
      <c r="BN686" s="116"/>
      <c r="BO686" s="116"/>
      <c r="BP686" s="125"/>
      <c r="BQ686" s="116"/>
    </row>
    <row r="687">
      <c r="A687" s="116"/>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c r="AA687" s="116"/>
      <c r="AB687" s="116"/>
      <c r="AC687" s="116"/>
      <c r="AD687" s="116"/>
      <c r="AE687" s="116"/>
      <c r="AF687" s="116"/>
      <c r="AG687" s="116"/>
      <c r="AH687" s="116"/>
      <c r="AI687" s="116"/>
      <c r="AJ687" s="116"/>
      <c r="AK687" s="116"/>
      <c r="AL687" s="116"/>
      <c r="AM687" s="116"/>
      <c r="AN687" s="116"/>
      <c r="AO687" s="116"/>
      <c r="AP687" s="116"/>
      <c r="AQ687" s="116"/>
      <c r="AR687" s="116"/>
      <c r="AS687" s="116"/>
      <c r="AT687" s="116"/>
      <c r="AU687" s="116"/>
      <c r="AV687" s="116"/>
      <c r="AW687" s="116"/>
      <c r="AX687" s="116"/>
      <c r="AY687" s="116"/>
      <c r="AZ687" s="116"/>
      <c r="BA687" s="116"/>
      <c r="BB687" s="116"/>
      <c r="BC687" s="116"/>
      <c r="BD687" s="116"/>
      <c r="BE687" s="116"/>
      <c r="BF687" s="116"/>
      <c r="BG687" s="116"/>
      <c r="BH687" s="124"/>
      <c r="BI687" s="124"/>
      <c r="BJ687" s="116"/>
      <c r="BK687" s="116"/>
      <c r="BL687" s="116"/>
      <c r="BM687" s="116"/>
      <c r="BN687" s="116"/>
      <c r="BO687" s="116"/>
      <c r="BP687" s="125"/>
      <c r="BQ687" s="116"/>
    </row>
    <row r="688">
      <c r="A688" s="116"/>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c r="AA688" s="116"/>
      <c r="AB688" s="116"/>
      <c r="AC688" s="116"/>
      <c r="AD688" s="116"/>
      <c r="AE688" s="116"/>
      <c r="AF688" s="116"/>
      <c r="AG688" s="116"/>
      <c r="AH688" s="116"/>
      <c r="AI688" s="116"/>
      <c r="AJ688" s="116"/>
      <c r="AK688" s="116"/>
      <c r="AL688" s="116"/>
      <c r="AM688" s="116"/>
      <c r="AN688" s="116"/>
      <c r="AO688" s="116"/>
      <c r="AP688" s="116"/>
      <c r="AQ688" s="116"/>
      <c r="AR688" s="116"/>
      <c r="AS688" s="116"/>
      <c r="AT688" s="116"/>
      <c r="AU688" s="116"/>
      <c r="AV688" s="116"/>
      <c r="AW688" s="116"/>
      <c r="AX688" s="116"/>
      <c r="AY688" s="116"/>
      <c r="AZ688" s="116"/>
      <c r="BA688" s="116"/>
      <c r="BB688" s="116"/>
      <c r="BC688" s="116"/>
      <c r="BD688" s="116"/>
      <c r="BE688" s="116"/>
      <c r="BF688" s="116"/>
      <c r="BG688" s="116"/>
      <c r="BH688" s="124"/>
      <c r="BI688" s="124"/>
      <c r="BJ688" s="116"/>
      <c r="BK688" s="116"/>
      <c r="BL688" s="116"/>
      <c r="BM688" s="116"/>
      <c r="BN688" s="116"/>
      <c r="BO688" s="116"/>
      <c r="BP688" s="125"/>
      <c r="BQ688" s="116"/>
    </row>
    <row r="689">
      <c r="A689" s="116"/>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c r="AA689" s="116"/>
      <c r="AB689" s="116"/>
      <c r="AC689" s="116"/>
      <c r="AD689" s="116"/>
      <c r="AE689" s="116"/>
      <c r="AF689" s="116"/>
      <c r="AG689" s="116"/>
      <c r="AH689" s="116"/>
      <c r="AI689" s="116"/>
      <c r="AJ689" s="116"/>
      <c r="AK689" s="116"/>
      <c r="AL689" s="116"/>
      <c r="AM689" s="116"/>
      <c r="AN689" s="116"/>
      <c r="AO689" s="116"/>
      <c r="AP689" s="116"/>
      <c r="AQ689" s="116"/>
      <c r="AR689" s="116"/>
      <c r="AS689" s="116"/>
      <c r="AT689" s="116"/>
      <c r="AU689" s="116"/>
      <c r="AV689" s="116"/>
      <c r="AW689" s="116"/>
      <c r="AX689" s="116"/>
      <c r="AY689" s="116"/>
      <c r="AZ689" s="116"/>
      <c r="BA689" s="116"/>
      <c r="BB689" s="116"/>
      <c r="BC689" s="116"/>
      <c r="BD689" s="116"/>
      <c r="BE689" s="116"/>
      <c r="BF689" s="116"/>
      <c r="BG689" s="116"/>
      <c r="BH689" s="124"/>
      <c r="BI689" s="124"/>
      <c r="BJ689" s="116"/>
      <c r="BK689" s="116"/>
      <c r="BL689" s="116"/>
      <c r="BM689" s="116"/>
      <c r="BN689" s="116"/>
      <c r="BO689" s="116"/>
      <c r="BP689" s="125"/>
      <c r="BQ689" s="116"/>
    </row>
    <row r="690">
      <c r="A690" s="116"/>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c r="AA690" s="116"/>
      <c r="AB690" s="116"/>
      <c r="AC690" s="116"/>
      <c r="AD690" s="116"/>
      <c r="AE690" s="116"/>
      <c r="AF690" s="116"/>
      <c r="AG690" s="116"/>
      <c r="AH690" s="116"/>
      <c r="AI690" s="116"/>
      <c r="AJ690" s="116"/>
      <c r="AK690" s="116"/>
      <c r="AL690" s="116"/>
      <c r="AM690" s="116"/>
      <c r="AN690" s="116"/>
      <c r="AO690" s="116"/>
      <c r="AP690" s="116"/>
      <c r="AQ690" s="116"/>
      <c r="AR690" s="116"/>
      <c r="AS690" s="116"/>
      <c r="AT690" s="116"/>
      <c r="AU690" s="116"/>
      <c r="AV690" s="116"/>
      <c r="AW690" s="116"/>
      <c r="AX690" s="116"/>
      <c r="AY690" s="116"/>
      <c r="AZ690" s="116"/>
      <c r="BA690" s="116"/>
      <c r="BB690" s="116"/>
      <c r="BC690" s="116"/>
      <c r="BD690" s="116"/>
      <c r="BE690" s="116"/>
      <c r="BF690" s="116"/>
      <c r="BG690" s="116"/>
      <c r="BH690" s="124"/>
      <c r="BI690" s="124"/>
      <c r="BJ690" s="116"/>
      <c r="BK690" s="116"/>
      <c r="BL690" s="116"/>
      <c r="BM690" s="116"/>
      <c r="BN690" s="116"/>
      <c r="BO690" s="116"/>
      <c r="BP690" s="125"/>
      <c r="BQ690" s="116"/>
    </row>
    <row r="691">
      <c r="A691" s="116"/>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c r="AA691" s="116"/>
      <c r="AB691" s="116"/>
      <c r="AC691" s="116"/>
      <c r="AD691" s="116"/>
      <c r="AE691" s="116"/>
      <c r="AF691" s="116"/>
      <c r="AG691" s="116"/>
      <c r="AH691" s="116"/>
      <c r="AI691" s="116"/>
      <c r="AJ691" s="116"/>
      <c r="AK691" s="116"/>
      <c r="AL691" s="116"/>
      <c r="AM691" s="116"/>
      <c r="AN691" s="116"/>
      <c r="AO691" s="116"/>
      <c r="AP691" s="116"/>
      <c r="AQ691" s="116"/>
      <c r="AR691" s="116"/>
      <c r="AS691" s="116"/>
      <c r="AT691" s="116"/>
      <c r="AU691" s="116"/>
      <c r="AV691" s="116"/>
      <c r="AW691" s="116"/>
      <c r="AX691" s="116"/>
      <c r="AY691" s="116"/>
      <c r="AZ691" s="116"/>
      <c r="BA691" s="116"/>
      <c r="BB691" s="116"/>
      <c r="BC691" s="116"/>
      <c r="BD691" s="116"/>
      <c r="BE691" s="116"/>
      <c r="BF691" s="116"/>
      <c r="BG691" s="116"/>
      <c r="BH691" s="124"/>
      <c r="BI691" s="124"/>
      <c r="BJ691" s="116"/>
      <c r="BK691" s="116"/>
      <c r="BL691" s="116"/>
      <c r="BM691" s="116"/>
      <c r="BN691" s="116"/>
      <c r="BO691" s="116"/>
      <c r="BP691" s="125"/>
      <c r="BQ691" s="116"/>
    </row>
    <row r="692">
      <c r="A692" s="116"/>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c r="AA692" s="116"/>
      <c r="AB692" s="116"/>
      <c r="AC692" s="116"/>
      <c r="AD692" s="116"/>
      <c r="AE692" s="116"/>
      <c r="AF692" s="116"/>
      <c r="AG692" s="116"/>
      <c r="AH692" s="116"/>
      <c r="AI692" s="116"/>
      <c r="AJ692" s="116"/>
      <c r="AK692" s="116"/>
      <c r="AL692" s="116"/>
      <c r="AM692" s="116"/>
      <c r="AN692" s="116"/>
      <c r="AO692" s="116"/>
      <c r="AP692" s="116"/>
      <c r="AQ692" s="116"/>
      <c r="AR692" s="116"/>
      <c r="AS692" s="116"/>
      <c r="AT692" s="116"/>
      <c r="AU692" s="116"/>
      <c r="AV692" s="116"/>
      <c r="AW692" s="116"/>
      <c r="AX692" s="116"/>
      <c r="AY692" s="116"/>
      <c r="AZ692" s="116"/>
      <c r="BA692" s="116"/>
      <c r="BB692" s="116"/>
      <c r="BC692" s="116"/>
      <c r="BD692" s="116"/>
      <c r="BE692" s="116"/>
      <c r="BF692" s="116"/>
      <c r="BG692" s="116"/>
      <c r="BH692" s="124"/>
      <c r="BI692" s="124"/>
      <c r="BJ692" s="116"/>
      <c r="BK692" s="116"/>
      <c r="BL692" s="116"/>
      <c r="BM692" s="116"/>
      <c r="BN692" s="116"/>
      <c r="BO692" s="116"/>
      <c r="BP692" s="125"/>
      <c r="BQ692" s="116"/>
    </row>
    <row r="693">
      <c r="A693" s="116"/>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c r="AA693" s="116"/>
      <c r="AB693" s="116"/>
      <c r="AC693" s="116"/>
      <c r="AD693" s="116"/>
      <c r="AE693" s="116"/>
      <c r="AF693" s="116"/>
      <c r="AG693" s="116"/>
      <c r="AH693" s="116"/>
      <c r="AI693" s="116"/>
      <c r="AJ693" s="116"/>
      <c r="AK693" s="116"/>
      <c r="AL693" s="116"/>
      <c r="AM693" s="116"/>
      <c r="AN693" s="116"/>
      <c r="AO693" s="116"/>
      <c r="AP693" s="116"/>
      <c r="AQ693" s="116"/>
      <c r="AR693" s="116"/>
      <c r="AS693" s="116"/>
      <c r="AT693" s="116"/>
      <c r="AU693" s="116"/>
      <c r="AV693" s="116"/>
      <c r="AW693" s="116"/>
      <c r="AX693" s="116"/>
      <c r="AY693" s="116"/>
      <c r="AZ693" s="116"/>
      <c r="BA693" s="116"/>
      <c r="BB693" s="116"/>
      <c r="BC693" s="116"/>
      <c r="BD693" s="116"/>
      <c r="BE693" s="116"/>
      <c r="BF693" s="116"/>
      <c r="BG693" s="116"/>
      <c r="BH693" s="124"/>
      <c r="BI693" s="124"/>
      <c r="BJ693" s="116"/>
      <c r="BK693" s="116"/>
      <c r="BL693" s="116"/>
      <c r="BM693" s="116"/>
      <c r="BN693" s="116"/>
      <c r="BO693" s="116"/>
      <c r="BP693" s="125"/>
      <c r="BQ693" s="116"/>
    </row>
    <row r="694">
      <c r="A694" s="116"/>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c r="AA694" s="116"/>
      <c r="AB694" s="116"/>
      <c r="AC694" s="116"/>
      <c r="AD694" s="116"/>
      <c r="AE694" s="116"/>
      <c r="AF694" s="116"/>
      <c r="AG694" s="116"/>
      <c r="AH694" s="116"/>
      <c r="AI694" s="116"/>
      <c r="AJ694" s="116"/>
      <c r="AK694" s="116"/>
      <c r="AL694" s="116"/>
      <c r="AM694" s="116"/>
      <c r="AN694" s="116"/>
      <c r="AO694" s="116"/>
      <c r="AP694" s="116"/>
      <c r="AQ694" s="116"/>
      <c r="AR694" s="116"/>
      <c r="AS694" s="116"/>
      <c r="AT694" s="116"/>
      <c r="AU694" s="116"/>
      <c r="AV694" s="116"/>
      <c r="AW694" s="116"/>
      <c r="AX694" s="116"/>
      <c r="AY694" s="116"/>
      <c r="AZ694" s="116"/>
      <c r="BA694" s="116"/>
      <c r="BB694" s="116"/>
      <c r="BC694" s="116"/>
      <c r="BD694" s="116"/>
      <c r="BE694" s="116"/>
      <c r="BF694" s="116"/>
      <c r="BG694" s="116"/>
      <c r="BH694" s="124"/>
      <c r="BI694" s="124"/>
      <c r="BJ694" s="116"/>
      <c r="BK694" s="116"/>
      <c r="BL694" s="116"/>
      <c r="BM694" s="116"/>
      <c r="BN694" s="116"/>
      <c r="BO694" s="116"/>
      <c r="BP694" s="125"/>
      <c r="BQ694" s="116"/>
    </row>
    <row r="695">
      <c r="A695" s="116"/>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c r="AA695" s="116"/>
      <c r="AB695" s="116"/>
      <c r="AC695" s="116"/>
      <c r="AD695" s="116"/>
      <c r="AE695" s="116"/>
      <c r="AF695" s="116"/>
      <c r="AG695" s="116"/>
      <c r="AH695" s="116"/>
      <c r="AI695" s="116"/>
      <c r="AJ695" s="116"/>
      <c r="AK695" s="116"/>
      <c r="AL695" s="116"/>
      <c r="AM695" s="116"/>
      <c r="AN695" s="116"/>
      <c r="AO695" s="116"/>
      <c r="AP695" s="116"/>
      <c r="AQ695" s="116"/>
      <c r="AR695" s="116"/>
      <c r="AS695" s="116"/>
      <c r="AT695" s="116"/>
      <c r="AU695" s="116"/>
      <c r="AV695" s="116"/>
      <c r="AW695" s="116"/>
      <c r="AX695" s="116"/>
      <c r="AY695" s="116"/>
      <c r="AZ695" s="116"/>
      <c r="BA695" s="116"/>
      <c r="BB695" s="116"/>
      <c r="BC695" s="116"/>
      <c r="BD695" s="116"/>
      <c r="BE695" s="116"/>
      <c r="BF695" s="116"/>
      <c r="BG695" s="116"/>
      <c r="BH695" s="124"/>
      <c r="BI695" s="124"/>
      <c r="BJ695" s="116"/>
      <c r="BK695" s="116"/>
      <c r="BL695" s="116"/>
      <c r="BM695" s="116"/>
      <c r="BN695" s="116"/>
      <c r="BO695" s="116"/>
      <c r="BP695" s="125"/>
      <c r="BQ695" s="116"/>
    </row>
    <row r="696">
      <c r="A696" s="11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c r="AA696" s="116"/>
      <c r="AB696" s="116"/>
      <c r="AC696" s="116"/>
      <c r="AD696" s="116"/>
      <c r="AE696" s="116"/>
      <c r="AF696" s="116"/>
      <c r="AG696" s="116"/>
      <c r="AH696" s="116"/>
      <c r="AI696" s="116"/>
      <c r="AJ696" s="116"/>
      <c r="AK696" s="116"/>
      <c r="AL696" s="116"/>
      <c r="AM696" s="116"/>
      <c r="AN696" s="116"/>
      <c r="AO696" s="116"/>
      <c r="AP696" s="116"/>
      <c r="AQ696" s="116"/>
      <c r="AR696" s="116"/>
      <c r="AS696" s="116"/>
      <c r="AT696" s="116"/>
      <c r="AU696" s="116"/>
      <c r="AV696" s="116"/>
      <c r="AW696" s="116"/>
      <c r="AX696" s="116"/>
      <c r="AY696" s="116"/>
      <c r="AZ696" s="116"/>
      <c r="BA696" s="116"/>
      <c r="BB696" s="116"/>
      <c r="BC696" s="116"/>
      <c r="BD696" s="116"/>
      <c r="BE696" s="116"/>
      <c r="BF696" s="116"/>
      <c r="BG696" s="116"/>
      <c r="BH696" s="124"/>
      <c r="BI696" s="124"/>
      <c r="BJ696" s="116"/>
      <c r="BK696" s="116"/>
      <c r="BL696" s="116"/>
      <c r="BM696" s="116"/>
      <c r="BN696" s="116"/>
      <c r="BO696" s="116"/>
      <c r="BP696" s="125"/>
      <c r="BQ696" s="116"/>
    </row>
    <row r="697">
      <c r="A697" s="116"/>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c r="AA697" s="116"/>
      <c r="AB697" s="116"/>
      <c r="AC697" s="116"/>
      <c r="AD697" s="116"/>
      <c r="AE697" s="116"/>
      <c r="AF697" s="116"/>
      <c r="AG697" s="116"/>
      <c r="AH697" s="116"/>
      <c r="AI697" s="116"/>
      <c r="AJ697" s="116"/>
      <c r="AK697" s="116"/>
      <c r="AL697" s="116"/>
      <c r="AM697" s="116"/>
      <c r="AN697" s="116"/>
      <c r="AO697" s="116"/>
      <c r="AP697" s="116"/>
      <c r="AQ697" s="116"/>
      <c r="AR697" s="116"/>
      <c r="AS697" s="116"/>
      <c r="AT697" s="116"/>
      <c r="AU697" s="116"/>
      <c r="AV697" s="116"/>
      <c r="AW697" s="116"/>
      <c r="AX697" s="116"/>
      <c r="AY697" s="116"/>
      <c r="AZ697" s="116"/>
      <c r="BA697" s="116"/>
      <c r="BB697" s="116"/>
      <c r="BC697" s="116"/>
      <c r="BD697" s="116"/>
      <c r="BE697" s="116"/>
      <c r="BF697" s="116"/>
      <c r="BG697" s="116"/>
      <c r="BH697" s="124"/>
      <c r="BI697" s="124"/>
      <c r="BJ697" s="116"/>
      <c r="BK697" s="116"/>
      <c r="BL697" s="116"/>
      <c r="BM697" s="116"/>
      <c r="BN697" s="116"/>
      <c r="BO697" s="116"/>
      <c r="BP697" s="125"/>
      <c r="BQ697" s="116"/>
    </row>
    <row r="698">
      <c r="A698" s="116"/>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c r="AA698" s="116"/>
      <c r="AB698" s="116"/>
      <c r="AC698" s="116"/>
      <c r="AD698" s="116"/>
      <c r="AE698" s="116"/>
      <c r="AF698" s="116"/>
      <c r="AG698" s="116"/>
      <c r="AH698" s="116"/>
      <c r="AI698" s="116"/>
      <c r="AJ698" s="116"/>
      <c r="AK698" s="116"/>
      <c r="AL698" s="116"/>
      <c r="AM698" s="116"/>
      <c r="AN698" s="116"/>
      <c r="AO698" s="116"/>
      <c r="AP698" s="116"/>
      <c r="AQ698" s="116"/>
      <c r="AR698" s="116"/>
      <c r="AS698" s="116"/>
      <c r="AT698" s="116"/>
      <c r="AU698" s="116"/>
      <c r="AV698" s="116"/>
      <c r="AW698" s="116"/>
      <c r="AX698" s="116"/>
      <c r="AY698" s="116"/>
      <c r="AZ698" s="116"/>
      <c r="BA698" s="116"/>
      <c r="BB698" s="116"/>
      <c r="BC698" s="116"/>
      <c r="BD698" s="116"/>
      <c r="BE698" s="116"/>
      <c r="BF698" s="116"/>
      <c r="BG698" s="116"/>
      <c r="BH698" s="124"/>
      <c r="BI698" s="124"/>
      <c r="BJ698" s="116"/>
      <c r="BK698" s="116"/>
      <c r="BL698" s="116"/>
      <c r="BM698" s="116"/>
      <c r="BN698" s="116"/>
      <c r="BO698" s="116"/>
      <c r="BP698" s="125"/>
      <c r="BQ698" s="116"/>
    </row>
    <row r="699">
      <c r="A699" s="116"/>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c r="AA699" s="116"/>
      <c r="AB699" s="116"/>
      <c r="AC699" s="116"/>
      <c r="AD699" s="116"/>
      <c r="AE699" s="116"/>
      <c r="AF699" s="116"/>
      <c r="AG699" s="116"/>
      <c r="AH699" s="116"/>
      <c r="AI699" s="116"/>
      <c r="AJ699" s="116"/>
      <c r="AK699" s="116"/>
      <c r="AL699" s="116"/>
      <c r="AM699" s="116"/>
      <c r="AN699" s="116"/>
      <c r="AO699" s="116"/>
      <c r="AP699" s="116"/>
      <c r="AQ699" s="116"/>
      <c r="AR699" s="116"/>
      <c r="AS699" s="116"/>
      <c r="AT699" s="116"/>
      <c r="AU699" s="116"/>
      <c r="AV699" s="116"/>
      <c r="AW699" s="116"/>
      <c r="AX699" s="116"/>
      <c r="AY699" s="116"/>
      <c r="AZ699" s="116"/>
      <c r="BA699" s="116"/>
      <c r="BB699" s="116"/>
      <c r="BC699" s="116"/>
      <c r="BD699" s="116"/>
      <c r="BE699" s="116"/>
      <c r="BF699" s="116"/>
      <c r="BG699" s="116"/>
      <c r="BH699" s="124"/>
      <c r="BI699" s="124"/>
      <c r="BJ699" s="116"/>
      <c r="BK699" s="116"/>
      <c r="BL699" s="116"/>
      <c r="BM699" s="116"/>
      <c r="BN699" s="116"/>
      <c r="BO699" s="116"/>
      <c r="BP699" s="125"/>
      <c r="BQ699" s="116"/>
    </row>
    <row r="700">
      <c r="A700" s="116"/>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c r="AA700" s="116"/>
      <c r="AB700" s="116"/>
      <c r="AC700" s="116"/>
      <c r="AD700" s="116"/>
      <c r="AE700" s="116"/>
      <c r="AF700" s="116"/>
      <c r="AG700" s="116"/>
      <c r="AH700" s="116"/>
      <c r="AI700" s="116"/>
      <c r="AJ700" s="116"/>
      <c r="AK700" s="116"/>
      <c r="AL700" s="116"/>
      <c r="AM700" s="116"/>
      <c r="AN700" s="116"/>
      <c r="AO700" s="116"/>
      <c r="AP700" s="116"/>
      <c r="AQ700" s="116"/>
      <c r="AR700" s="116"/>
      <c r="AS700" s="116"/>
      <c r="AT700" s="116"/>
      <c r="AU700" s="116"/>
      <c r="AV700" s="116"/>
      <c r="AW700" s="116"/>
      <c r="AX700" s="116"/>
      <c r="AY700" s="116"/>
      <c r="AZ700" s="116"/>
      <c r="BA700" s="116"/>
      <c r="BB700" s="116"/>
      <c r="BC700" s="116"/>
      <c r="BD700" s="116"/>
      <c r="BE700" s="116"/>
      <c r="BF700" s="116"/>
      <c r="BG700" s="116"/>
      <c r="BH700" s="124"/>
      <c r="BI700" s="124"/>
      <c r="BJ700" s="116"/>
      <c r="BK700" s="116"/>
      <c r="BL700" s="116"/>
      <c r="BM700" s="116"/>
      <c r="BN700" s="116"/>
      <c r="BO700" s="116"/>
      <c r="BP700" s="125"/>
      <c r="BQ700" s="116"/>
    </row>
    <row r="701">
      <c r="A701" s="116"/>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c r="AA701" s="116"/>
      <c r="AB701" s="116"/>
      <c r="AC701" s="116"/>
      <c r="AD701" s="116"/>
      <c r="AE701" s="116"/>
      <c r="AF701" s="116"/>
      <c r="AG701" s="116"/>
      <c r="AH701" s="116"/>
      <c r="AI701" s="116"/>
      <c r="AJ701" s="116"/>
      <c r="AK701" s="116"/>
      <c r="AL701" s="116"/>
      <c r="AM701" s="116"/>
      <c r="AN701" s="116"/>
      <c r="AO701" s="116"/>
      <c r="AP701" s="116"/>
      <c r="AQ701" s="116"/>
      <c r="AR701" s="116"/>
      <c r="AS701" s="116"/>
      <c r="AT701" s="116"/>
      <c r="AU701" s="116"/>
      <c r="AV701" s="116"/>
      <c r="AW701" s="116"/>
      <c r="AX701" s="116"/>
      <c r="AY701" s="116"/>
      <c r="AZ701" s="116"/>
      <c r="BA701" s="116"/>
      <c r="BB701" s="116"/>
      <c r="BC701" s="116"/>
      <c r="BD701" s="116"/>
      <c r="BE701" s="116"/>
      <c r="BF701" s="116"/>
      <c r="BG701" s="116"/>
      <c r="BH701" s="124"/>
      <c r="BI701" s="124"/>
      <c r="BJ701" s="116"/>
      <c r="BK701" s="116"/>
      <c r="BL701" s="116"/>
      <c r="BM701" s="116"/>
      <c r="BN701" s="116"/>
      <c r="BO701" s="116"/>
      <c r="BP701" s="125"/>
      <c r="BQ701" s="116"/>
    </row>
    <row r="702">
      <c r="A702" s="116"/>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c r="AA702" s="116"/>
      <c r="AB702" s="116"/>
      <c r="AC702" s="116"/>
      <c r="AD702" s="116"/>
      <c r="AE702" s="116"/>
      <c r="AF702" s="116"/>
      <c r="AG702" s="116"/>
      <c r="AH702" s="116"/>
      <c r="AI702" s="116"/>
      <c r="AJ702" s="116"/>
      <c r="AK702" s="116"/>
      <c r="AL702" s="116"/>
      <c r="AM702" s="116"/>
      <c r="AN702" s="116"/>
      <c r="AO702" s="116"/>
      <c r="AP702" s="116"/>
      <c r="AQ702" s="116"/>
      <c r="AR702" s="116"/>
      <c r="AS702" s="116"/>
      <c r="AT702" s="116"/>
      <c r="AU702" s="116"/>
      <c r="AV702" s="116"/>
      <c r="AW702" s="116"/>
      <c r="AX702" s="116"/>
      <c r="AY702" s="116"/>
      <c r="AZ702" s="116"/>
      <c r="BA702" s="116"/>
      <c r="BB702" s="116"/>
      <c r="BC702" s="116"/>
      <c r="BD702" s="116"/>
      <c r="BE702" s="116"/>
      <c r="BF702" s="116"/>
      <c r="BG702" s="116"/>
      <c r="BH702" s="124"/>
      <c r="BI702" s="124"/>
      <c r="BJ702" s="116"/>
      <c r="BK702" s="116"/>
      <c r="BL702" s="116"/>
      <c r="BM702" s="116"/>
      <c r="BN702" s="116"/>
      <c r="BO702" s="116"/>
      <c r="BP702" s="125"/>
      <c r="BQ702" s="116"/>
    </row>
    <row r="703">
      <c r="A703" s="116"/>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c r="AA703" s="116"/>
      <c r="AB703" s="116"/>
      <c r="AC703" s="116"/>
      <c r="AD703" s="116"/>
      <c r="AE703" s="116"/>
      <c r="AF703" s="116"/>
      <c r="AG703" s="116"/>
      <c r="AH703" s="116"/>
      <c r="AI703" s="116"/>
      <c r="AJ703" s="116"/>
      <c r="AK703" s="116"/>
      <c r="AL703" s="116"/>
      <c r="AM703" s="116"/>
      <c r="AN703" s="116"/>
      <c r="AO703" s="116"/>
      <c r="AP703" s="116"/>
      <c r="AQ703" s="116"/>
      <c r="AR703" s="116"/>
      <c r="AS703" s="116"/>
      <c r="AT703" s="116"/>
      <c r="AU703" s="116"/>
      <c r="AV703" s="116"/>
      <c r="AW703" s="116"/>
      <c r="AX703" s="116"/>
      <c r="AY703" s="116"/>
      <c r="AZ703" s="116"/>
      <c r="BA703" s="116"/>
      <c r="BB703" s="116"/>
      <c r="BC703" s="116"/>
      <c r="BD703" s="116"/>
      <c r="BE703" s="116"/>
      <c r="BF703" s="116"/>
      <c r="BG703" s="116"/>
      <c r="BH703" s="124"/>
      <c r="BI703" s="124"/>
      <c r="BJ703" s="116"/>
      <c r="BK703" s="116"/>
      <c r="BL703" s="116"/>
      <c r="BM703" s="116"/>
      <c r="BN703" s="116"/>
      <c r="BO703" s="116"/>
      <c r="BP703" s="125"/>
      <c r="BQ703" s="116"/>
    </row>
    <row r="704">
      <c r="A704" s="116"/>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c r="AA704" s="116"/>
      <c r="AB704" s="116"/>
      <c r="AC704" s="116"/>
      <c r="AD704" s="116"/>
      <c r="AE704" s="116"/>
      <c r="AF704" s="116"/>
      <c r="AG704" s="116"/>
      <c r="AH704" s="116"/>
      <c r="AI704" s="116"/>
      <c r="AJ704" s="116"/>
      <c r="AK704" s="116"/>
      <c r="AL704" s="116"/>
      <c r="AM704" s="116"/>
      <c r="AN704" s="116"/>
      <c r="AO704" s="116"/>
      <c r="AP704" s="116"/>
      <c r="AQ704" s="116"/>
      <c r="AR704" s="116"/>
      <c r="AS704" s="116"/>
      <c r="AT704" s="116"/>
      <c r="AU704" s="116"/>
      <c r="AV704" s="116"/>
      <c r="AW704" s="116"/>
      <c r="AX704" s="116"/>
      <c r="AY704" s="116"/>
      <c r="AZ704" s="116"/>
      <c r="BA704" s="116"/>
      <c r="BB704" s="116"/>
      <c r="BC704" s="116"/>
      <c r="BD704" s="116"/>
      <c r="BE704" s="116"/>
      <c r="BF704" s="116"/>
      <c r="BG704" s="116"/>
      <c r="BH704" s="124"/>
      <c r="BI704" s="124"/>
      <c r="BJ704" s="116"/>
      <c r="BK704" s="116"/>
      <c r="BL704" s="116"/>
      <c r="BM704" s="116"/>
      <c r="BN704" s="116"/>
      <c r="BO704" s="116"/>
      <c r="BP704" s="125"/>
      <c r="BQ704" s="116"/>
    </row>
    <row r="705">
      <c r="A705" s="116"/>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c r="AA705" s="116"/>
      <c r="AB705" s="116"/>
      <c r="AC705" s="116"/>
      <c r="AD705" s="116"/>
      <c r="AE705" s="116"/>
      <c r="AF705" s="116"/>
      <c r="AG705" s="116"/>
      <c r="AH705" s="116"/>
      <c r="AI705" s="116"/>
      <c r="AJ705" s="116"/>
      <c r="AK705" s="116"/>
      <c r="AL705" s="116"/>
      <c r="AM705" s="116"/>
      <c r="AN705" s="116"/>
      <c r="AO705" s="116"/>
      <c r="AP705" s="116"/>
      <c r="AQ705" s="116"/>
      <c r="AR705" s="116"/>
      <c r="AS705" s="116"/>
      <c r="AT705" s="116"/>
      <c r="AU705" s="116"/>
      <c r="AV705" s="116"/>
      <c r="AW705" s="116"/>
      <c r="AX705" s="116"/>
      <c r="AY705" s="116"/>
      <c r="AZ705" s="116"/>
      <c r="BA705" s="116"/>
      <c r="BB705" s="116"/>
      <c r="BC705" s="116"/>
      <c r="BD705" s="116"/>
      <c r="BE705" s="116"/>
      <c r="BF705" s="116"/>
      <c r="BG705" s="116"/>
      <c r="BH705" s="124"/>
      <c r="BI705" s="124"/>
      <c r="BJ705" s="116"/>
      <c r="BK705" s="116"/>
      <c r="BL705" s="116"/>
      <c r="BM705" s="116"/>
      <c r="BN705" s="116"/>
      <c r="BO705" s="116"/>
      <c r="BP705" s="125"/>
      <c r="BQ705" s="116"/>
    </row>
    <row r="706">
      <c r="A706" s="11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c r="AA706" s="116"/>
      <c r="AB706" s="116"/>
      <c r="AC706" s="116"/>
      <c r="AD706" s="116"/>
      <c r="AE706" s="116"/>
      <c r="AF706" s="116"/>
      <c r="AG706" s="116"/>
      <c r="AH706" s="116"/>
      <c r="AI706" s="116"/>
      <c r="AJ706" s="116"/>
      <c r="AK706" s="116"/>
      <c r="AL706" s="116"/>
      <c r="AM706" s="116"/>
      <c r="AN706" s="116"/>
      <c r="AO706" s="116"/>
      <c r="AP706" s="116"/>
      <c r="AQ706" s="116"/>
      <c r="AR706" s="116"/>
      <c r="AS706" s="116"/>
      <c r="AT706" s="116"/>
      <c r="AU706" s="116"/>
      <c r="AV706" s="116"/>
      <c r="AW706" s="116"/>
      <c r="AX706" s="116"/>
      <c r="AY706" s="116"/>
      <c r="AZ706" s="116"/>
      <c r="BA706" s="116"/>
      <c r="BB706" s="116"/>
      <c r="BC706" s="116"/>
      <c r="BD706" s="116"/>
      <c r="BE706" s="116"/>
      <c r="BF706" s="116"/>
      <c r="BG706" s="116"/>
      <c r="BH706" s="124"/>
      <c r="BI706" s="124"/>
      <c r="BJ706" s="116"/>
      <c r="BK706" s="116"/>
      <c r="BL706" s="116"/>
      <c r="BM706" s="116"/>
      <c r="BN706" s="116"/>
      <c r="BO706" s="116"/>
      <c r="BP706" s="125"/>
      <c r="BQ706" s="116"/>
    </row>
    <row r="707">
      <c r="A707" s="116"/>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c r="AA707" s="116"/>
      <c r="AB707" s="116"/>
      <c r="AC707" s="116"/>
      <c r="AD707" s="116"/>
      <c r="AE707" s="116"/>
      <c r="AF707" s="116"/>
      <c r="AG707" s="116"/>
      <c r="AH707" s="116"/>
      <c r="AI707" s="116"/>
      <c r="AJ707" s="116"/>
      <c r="AK707" s="116"/>
      <c r="AL707" s="116"/>
      <c r="AM707" s="116"/>
      <c r="AN707" s="116"/>
      <c r="AO707" s="116"/>
      <c r="AP707" s="116"/>
      <c r="AQ707" s="116"/>
      <c r="AR707" s="116"/>
      <c r="AS707" s="116"/>
      <c r="AT707" s="116"/>
      <c r="AU707" s="116"/>
      <c r="AV707" s="116"/>
      <c r="AW707" s="116"/>
      <c r="AX707" s="116"/>
      <c r="AY707" s="116"/>
      <c r="AZ707" s="116"/>
      <c r="BA707" s="116"/>
      <c r="BB707" s="116"/>
      <c r="BC707" s="116"/>
      <c r="BD707" s="116"/>
      <c r="BE707" s="116"/>
      <c r="BF707" s="116"/>
      <c r="BG707" s="116"/>
      <c r="BH707" s="124"/>
      <c r="BI707" s="124"/>
      <c r="BJ707" s="116"/>
      <c r="BK707" s="116"/>
      <c r="BL707" s="116"/>
      <c r="BM707" s="116"/>
      <c r="BN707" s="116"/>
      <c r="BO707" s="116"/>
      <c r="BP707" s="125"/>
      <c r="BQ707" s="116"/>
    </row>
    <row r="708">
      <c r="A708" s="116"/>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c r="AA708" s="116"/>
      <c r="AB708" s="116"/>
      <c r="AC708" s="116"/>
      <c r="AD708" s="116"/>
      <c r="AE708" s="116"/>
      <c r="AF708" s="116"/>
      <c r="AG708" s="116"/>
      <c r="AH708" s="116"/>
      <c r="AI708" s="116"/>
      <c r="AJ708" s="116"/>
      <c r="AK708" s="116"/>
      <c r="AL708" s="116"/>
      <c r="AM708" s="116"/>
      <c r="AN708" s="116"/>
      <c r="AO708" s="116"/>
      <c r="AP708" s="116"/>
      <c r="AQ708" s="116"/>
      <c r="AR708" s="116"/>
      <c r="AS708" s="116"/>
      <c r="AT708" s="116"/>
      <c r="AU708" s="116"/>
      <c r="AV708" s="116"/>
      <c r="AW708" s="116"/>
      <c r="AX708" s="116"/>
      <c r="AY708" s="116"/>
      <c r="AZ708" s="116"/>
      <c r="BA708" s="116"/>
      <c r="BB708" s="116"/>
      <c r="BC708" s="116"/>
      <c r="BD708" s="116"/>
      <c r="BE708" s="116"/>
      <c r="BF708" s="116"/>
      <c r="BG708" s="116"/>
      <c r="BH708" s="124"/>
      <c r="BI708" s="124"/>
      <c r="BJ708" s="116"/>
      <c r="BK708" s="116"/>
      <c r="BL708" s="116"/>
      <c r="BM708" s="116"/>
      <c r="BN708" s="116"/>
      <c r="BO708" s="116"/>
      <c r="BP708" s="125"/>
      <c r="BQ708" s="116"/>
    </row>
    <row r="709">
      <c r="A709" s="116"/>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c r="AA709" s="116"/>
      <c r="AB709" s="116"/>
      <c r="AC709" s="116"/>
      <c r="AD709" s="116"/>
      <c r="AE709" s="116"/>
      <c r="AF709" s="116"/>
      <c r="AG709" s="116"/>
      <c r="AH709" s="116"/>
      <c r="AI709" s="116"/>
      <c r="AJ709" s="116"/>
      <c r="AK709" s="116"/>
      <c r="AL709" s="116"/>
      <c r="AM709" s="116"/>
      <c r="AN709" s="116"/>
      <c r="AO709" s="116"/>
      <c r="AP709" s="116"/>
      <c r="AQ709" s="116"/>
      <c r="AR709" s="116"/>
      <c r="AS709" s="116"/>
      <c r="AT709" s="116"/>
      <c r="AU709" s="116"/>
      <c r="AV709" s="116"/>
      <c r="AW709" s="116"/>
      <c r="AX709" s="116"/>
      <c r="AY709" s="116"/>
      <c r="AZ709" s="116"/>
      <c r="BA709" s="116"/>
      <c r="BB709" s="116"/>
      <c r="BC709" s="116"/>
      <c r="BD709" s="116"/>
      <c r="BE709" s="116"/>
      <c r="BF709" s="116"/>
      <c r="BG709" s="116"/>
      <c r="BH709" s="124"/>
      <c r="BI709" s="124"/>
      <c r="BJ709" s="116"/>
      <c r="BK709" s="116"/>
      <c r="BL709" s="116"/>
      <c r="BM709" s="116"/>
      <c r="BN709" s="116"/>
      <c r="BO709" s="116"/>
      <c r="BP709" s="125"/>
      <c r="BQ709" s="116"/>
    </row>
    <row r="710">
      <c r="A710" s="116"/>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c r="AA710" s="116"/>
      <c r="AB710" s="116"/>
      <c r="AC710" s="116"/>
      <c r="AD710" s="116"/>
      <c r="AE710" s="116"/>
      <c r="AF710" s="116"/>
      <c r="AG710" s="116"/>
      <c r="AH710" s="116"/>
      <c r="AI710" s="116"/>
      <c r="AJ710" s="116"/>
      <c r="AK710" s="116"/>
      <c r="AL710" s="116"/>
      <c r="AM710" s="116"/>
      <c r="AN710" s="116"/>
      <c r="AO710" s="116"/>
      <c r="AP710" s="116"/>
      <c r="AQ710" s="116"/>
      <c r="AR710" s="116"/>
      <c r="AS710" s="116"/>
      <c r="AT710" s="116"/>
      <c r="AU710" s="116"/>
      <c r="AV710" s="116"/>
      <c r="AW710" s="116"/>
      <c r="AX710" s="116"/>
      <c r="AY710" s="116"/>
      <c r="AZ710" s="116"/>
      <c r="BA710" s="116"/>
      <c r="BB710" s="116"/>
      <c r="BC710" s="116"/>
      <c r="BD710" s="116"/>
      <c r="BE710" s="116"/>
      <c r="BF710" s="116"/>
      <c r="BG710" s="116"/>
      <c r="BH710" s="124"/>
      <c r="BI710" s="124"/>
      <c r="BJ710" s="116"/>
      <c r="BK710" s="116"/>
      <c r="BL710" s="116"/>
      <c r="BM710" s="116"/>
      <c r="BN710" s="116"/>
      <c r="BO710" s="116"/>
      <c r="BP710" s="125"/>
      <c r="BQ710" s="116"/>
    </row>
    <row r="711">
      <c r="A711" s="116"/>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c r="AA711" s="116"/>
      <c r="AB711" s="116"/>
      <c r="AC711" s="116"/>
      <c r="AD711" s="116"/>
      <c r="AE711" s="116"/>
      <c r="AF711" s="116"/>
      <c r="AG711" s="116"/>
      <c r="AH711" s="116"/>
      <c r="AI711" s="116"/>
      <c r="AJ711" s="116"/>
      <c r="AK711" s="116"/>
      <c r="AL711" s="116"/>
      <c r="AM711" s="116"/>
      <c r="AN711" s="116"/>
      <c r="AO711" s="116"/>
      <c r="AP711" s="116"/>
      <c r="AQ711" s="116"/>
      <c r="AR711" s="116"/>
      <c r="AS711" s="116"/>
      <c r="AT711" s="116"/>
      <c r="AU711" s="116"/>
      <c r="AV711" s="116"/>
      <c r="AW711" s="116"/>
      <c r="AX711" s="116"/>
      <c r="AY711" s="116"/>
      <c r="AZ711" s="116"/>
      <c r="BA711" s="116"/>
      <c r="BB711" s="116"/>
      <c r="BC711" s="116"/>
      <c r="BD711" s="116"/>
      <c r="BE711" s="116"/>
      <c r="BF711" s="116"/>
      <c r="BG711" s="116"/>
      <c r="BH711" s="124"/>
      <c r="BI711" s="124"/>
      <c r="BJ711" s="116"/>
      <c r="BK711" s="116"/>
      <c r="BL711" s="116"/>
      <c r="BM711" s="116"/>
      <c r="BN711" s="116"/>
      <c r="BO711" s="116"/>
      <c r="BP711" s="125"/>
      <c r="BQ711" s="116"/>
    </row>
    <row r="712">
      <c r="A712" s="116"/>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c r="AA712" s="116"/>
      <c r="AB712" s="116"/>
      <c r="AC712" s="116"/>
      <c r="AD712" s="116"/>
      <c r="AE712" s="116"/>
      <c r="AF712" s="116"/>
      <c r="AG712" s="116"/>
      <c r="AH712" s="116"/>
      <c r="AI712" s="116"/>
      <c r="AJ712" s="116"/>
      <c r="AK712" s="116"/>
      <c r="AL712" s="116"/>
      <c r="AM712" s="116"/>
      <c r="AN712" s="116"/>
      <c r="AO712" s="116"/>
      <c r="AP712" s="116"/>
      <c r="AQ712" s="116"/>
      <c r="AR712" s="116"/>
      <c r="AS712" s="116"/>
      <c r="AT712" s="116"/>
      <c r="AU712" s="116"/>
      <c r="AV712" s="116"/>
      <c r="AW712" s="116"/>
      <c r="AX712" s="116"/>
      <c r="AY712" s="116"/>
      <c r="AZ712" s="116"/>
      <c r="BA712" s="116"/>
      <c r="BB712" s="116"/>
      <c r="BC712" s="116"/>
      <c r="BD712" s="116"/>
      <c r="BE712" s="116"/>
      <c r="BF712" s="116"/>
      <c r="BG712" s="116"/>
      <c r="BH712" s="124"/>
      <c r="BI712" s="124"/>
      <c r="BJ712" s="116"/>
      <c r="BK712" s="116"/>
      <c r="BL712" s="116"/>
      <c r="BM712" s="116"/>
      <c r="BN712" s="116"/>
      <c r="BO712" s="116"/>
      <c r="BP712" s="125"/>
      <c r="BQ712" s="116"/>
    </row>
    <row r="713">
      <c r="A713" s="116"/>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c r="AA713" s="116"/>
      <c r="AB713" s="116"/>
      <c r="AC713" s="116"/>
      <c r="AD713" s="116"/>
      <c r="AE713" s="116"/>
      <c r="AF713" s="116"/>
      <c r="AG713" s="116"/>
      <c r="AH713" s="116"/>
      <c r="AI713" s="116"/>
      <c r="AJ713" s="116"/>
      <c r="AK713" s="116"/>
      <c r="AL713" s="116"/>
      <c r="AM713" s="116"/>
      <c r="AN713" s="116"/>
      <c r="AO713" s="116"/>
      <c r="AP713" s="116"/>
      <c r="AQ713" s="116"/>
      <c r="AR713" s="116"/>
      <c r="AS713" s="116"/>
      <c r="AT713" s="116"/>
      <c r="AU713" s="116"/>
      <c r="AV713" s="116"/>
      <c r="AW713" s="116"/>
      <c r="AX713" s="116"/>
      <c r="AY713" s="116"/>
      <c r="AZ713" s="116"/>
      <c r="BA713" s="116"/>
      <c r="BB713" s="116"/>
      <c r="BC713" s="116"/>
      <c r="BD713" s="116"/>
      <c r="BE713" s="116"/>
      <c r="BF713" s="116"/>
      <c r="BG713" s="116"/>
      <c r="BH713" s="124"/>
      <c r="BI713" s="124"/>
      <c r="BJ713" s="116"/>
      <c r="BK713" s="116"/>
      <c r="BL713" s="116"/>
      <c r="BM713" s="116"/>
      <c r="BN713" s="116"/>
      <c r="BO713" s="116"/>
      <c r="BP713" s="125"/>
      <c r="BQ713" s="116"/>
    </row>
    <row r="714">
      <c r="A714" s="116"/>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c r="AA714" s="116"/>
      <c r="AB714" s="116"/>
      <c r="AC714" s="116"/>
      <c r="AD714" s="116"/>
      <c r="AE714" s="116"/>
      <c r="AF714" s="116"/>
      <c r="AG714" s="116"/>
      <c r="AH714" s="116"/>
      <c r="AI714" s="116"/>
      <c r="AJ714" s="116"/>
      <c r="AK714" s="116"/>
      <c r="AL714" s="116"/>
      <c r="AM714" s="116"/>
      <c r="AN714" s="116"/>
      <c r="AO714" s="116"/>
      <c r="AP714" s="116"/>
      <c r="AQ714" s="116"/>
      <c r="AR714" s="116"/>
      <c r="AS714" s="116"/>
      <c r="AT714" s="116"/>
      <c r="AU714" s="116"/>
      <c r="AV714" s="116"/>
      <c r="AW714" s="116"/>
      <c r="AX714" s="116"/>
      <c r="AY714" s="116"/>
      <c r="AZ714" s="116"/>
      <c r="BA714" s="116"/>
      <c r="BB714" s="116"/>
      <c r="BC714" s="116"/>
      <c r="BD714" s="116"/>
      <c r="BE714" s="116"/>
      <c r="BF714" s="116"/>
      <c r="BG714" s="116"/>
      <c r="BH714" s="124"/>
      <c r="BI714" s="124"/>
      <c r="BJ714" s="116"/>
      <c r="BK714" s="116"/>
      <c r="BL714" s="116"/>
      <c r="BM714" s="116"/>
      <c r="BN714" s="116"/>
      <c r="BO714" s="116"/>
      <c r="BP714" s="125"/>
      <c r="BQ714" s="116"/>
    </row>
    <row r="715">
      <c r="A715" s="116"/>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c r="AA715" s="116"/>
      <c r="AB715" s="116"/>
      <c r="AC715" s="116"/>
      <c r="AD715" s="116"/>
      <c r="AE715" s="116"/>
      <c r="AF715" s="116"/>
      <c r="AG715" s="116"/>
      <c r="AH715" s="116"/>
      <c r="AI715" s="116"/>
      <c r="AJ715" s="116"/>
      <c r="AK715" s="116"/>
      <c r="AL715" s="116"/>
      <c r="AM715" s="116"/>
      <c r="AN715" s="116"/>
      <c r="AO715" s="116"/>
      <c r="AP715" s="116"/>
      <c r="AQ715" s="116"/>
      <c r="AR715" s="116"/>
      <c r="AS715" s="116"/>
      <c r="AT715" s="116"/>
      <c r="AU715" s="116"/>
      <c r="AV715" s="116"/>
      <c r="AW715" s="116"/>
      <c r="AX715" s="116"/>
      <c r="AY715" s="116"/>
      <c r="AZ715" s="116"/>
      <c r="BA715" s="116"/>
      <c r="BB715" s="116"/>
      <c r="BC715" s="116"/>
      <c r="BD715" s="116"/>
      <c r="BE715" s="116"/>
      <c r="BF715" s="116"/>
      <c r="BG715" s="116"/>
      <c r="BH715" s="124"/>
      <c r="BI715" s="124"/>
      <c r="BJ715" s="116"/>
      <c r="BK715" s="116"/>
      <c r="BL715" s="116"/>
      <c r="BM715" s="116"/>
      <c r="BN715" s="116"/>
      <c r="BO715" s="116"/>
      <c r="BP715" s="125"/>
      <c r="BQ715" s="116"/>
    </row>
    <row r="716">
      <c r="A716" s="1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c r="AA716" s="116"/>
      <c r="AB716" s="116"/>
      <c r="AC716" s="116"/>
      <c r="AD716" s="116"/>
      <c r="AE716" s="116"/>
      <c r="AF716" s="116"/>
      <c r="AG716" s="116"/>
      <c r="AH716" s="116"/>
      <c r="AI716" s="116"/>
      <c r="AJ716" s="116"/>
      <c r="AK716" s="116"/>
      <c r="AL716" s="116"/>
      <c r="AM716" s="116"/>
      <c r="AN716" s="116"/>
      <c r="AO716" s="116"/>
      <c r="AP716" s="116"/>
      <c r="AQ716" s="116"/>
      <c r="AR716" s="116"/>
      <c r="AS716" s="116"/>
      <c r="AT716" s="116"/>
      <c r="AU716" s="116"/>
      <c r="AV716" s="116"/>
      <c r="AW716" s="116"/>
      <c r="AX716" s="116"/>
      <c r="AY716" s="116"/>
      <c r="AZ716" s="116"/>
      <c r="BA716" s="116"/>
      <c r="BB716" s="116"/>
      <c r="BC716" s="116"/>
      <c r="BD716" s="116"/>
      <c r="BE716" s="116"/>
      <c r="BF716" s="116"/>
      <c r="BG716" s="116"/>
      <c r="BH716" s="124"/>
      <c r="BI716" s="124"/>
      <c r="BJ716" s="116"/>
      <c r="BK716" s="116"/>
      <c r="BL716" s="116"/>
      <c r="BM716" s="116"/>
      <c r="BN716" s="116"/>
      <c r="BO716" s="116"/>
      <c r="BP716" s="125"/>
      <c r="BQ716" s="116"/>
    </row>
    <row r="717">
      <c r="A717" s="116"/>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c r="AA717" s="116"/>
      <c r="AB717" s="116"/>
      <c r="AC717" s="116"/>
      <c r="AD717" s="116"/>
      <c r="AE717" s="116"/>
      <c r="AF717" s="116"/>
      <c r="AG717" s="116"/>
      <c r="AH717" s="116"/>
      <c r="AI717" s="116"/>
      <c r="AJ717" s="116"/>
      <c r="AK717" s="116"/>
      <c r="AL717" s="116"/>
      <c r="AM717" s="116"/>
      <c r="AN717" s="116"/>
      <c r="AO717" s="116"/>
      <c r="AP717" s="116"/>
      <c r="AQ717" s="116"/>
      <c r="AR717" s="116"/>
      <c r="AS717" s="116"/>
      <c r="AT717" s="116"/>
      <c r="AU717" s="116"/>
      <c r="AV717" s="116"/>
      <c r="AW717" s="116"/>
      <c r="AX717" s="116"/>
      <c r="AY717" s="116"/>
      <c r="AZ717" s="116"/>
      <c r="BA717" s="116"/>
      <c r="BB717" s="116"/>
      <c r="BC717" s="116"/>
      <c r="BD717" s="116"/>
      <c r="BE717" s="116"/>
      <c r="BF717" s="116"/>
      <c r="BG717" s="116"/>
      <c r="BH717" s="124"/>
      <c r="BI717" s="124"/>
      <c r="BJ717" s="116"/>
      <c r="BK717" s="116"/>
      <c r="BL717" s="116"/>
      <c r="BM717" s="116"/>
      <c r="BN717" s="116"/>
      <c r="BO717" s="116"/>
      <c r="BP717" s="125"/>
      <c r="BQ717" s="116"/>
    </row>
    <row r="718">
      <c r="A718" s="116"/>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c r="AA718" s="116"/>
      <c r="AB718" s="116"/>
      <c r="AC718" s="116"/>
      <c r="AD718" s="116"/>
      <c r="AE718" s="116"/>
      <c r="AF718" s="116"/>
      <c r="AG718" s="116"/>
      <c r="AH718" s="116"/>
      <c r="AI718" s="116"/>
      <c r="AJ718" s="116"/>
      <c r="AK718" s="116"/>
      <c r="AL718" s="116"/>
      <c r="AM718" s="116"/>
      <c r="AN718" s="116"/>
      <c r="AO718" s="116"/>
      <c r="AP718" s="116"/>
      <c r="AQ718" s="116"/>
      <c r="AR718" s="116"/>
      <c r="AS718" s="116"/>
      <c r="AT718" s="116"/>
      <c r="AU718" s="116"/>
      <c r="AV718" s="116"/>
      <c r="AW718" s="116"/>
      <c r="AX718" s="116"/>
      <c r="AY718" s="116"/>
      <c r="AZ718" s="116"/>
      <c r="BA718" s="116"/>
      <c r="BB718" s="116"/>
      <c r="BC718" s="116"/>
      <c r="BD718" s="116"/>
      <c r="BE718" s="116"/>
      <c r="BF718" s="116"/>
      <c r="BG718" s="116"/>
      <c r="BH718" s="124"/>
      <c r="BI718" s="124"/>
      <c r="BJ718" s="116"/>
      <c r="BK718" s="116"/>
      <c r="BL718" s="116"/>
      <c r="BM718" s="116"/>
      <c r="BN718" s="116"/>
      <c r="BO718" s="116"/>
      <c r="BP718" s="125"/>
      <c r="BQ718" s="116"/>
    </row>
    <row r="719">
      <c r="A719" s="116"/>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c r="AA719" s="116"/>
      <c r="AB719" s="116"/>
      <c r="AC719" s="116"/>
      <c r="AD719" s="116"/>
      <c r="AE719" s="116"/>
      <c r="AF719" s="116"/>
      <c r="AG719" s="116"/>
      <c r="AH719" s="116"/>
      <c r="AI719" s="116"/>
      <c r="AJ719" s="116"/>
      <c r="AK719" s="116"/>
      <c r="AL719" s="116"/>
      <c r="AM719" s="116"/>
      <c r="AN719" s="116"/>
      <c r="AO719" s="116"/>
      <c r="AP719" s="116"/>
      <c r="AQ719" s="116"/>
      <c r="AR719" s="116"/>
      <c r="AS719" s="116"/>
      <c r="AT719" s="116"/>
      <c r="AU719" s="116"/>
      <c r="AV719" s="116"/>
      <c r="AW719" s="116"/>
      <c r="AX719" s="116"/>
      <c r="AY719" s="116"/>
      <c r="AZ719" s="116"/>
      <c r="BA719" s="116"/>
      <c r="BB719" s="116"/>
      <c r="BC719" s="116"/>
      <c r="BD719" s="116"/>
      <c r="BE719" s="116"/>
      <c r="BF719" s="116"/>
      <c r="BG719" s="116"/>
      <c r="BH719" s="124"/>
      <c r="BI719" s="124"/>
      <c r="BJ719" s="116"/>
      <c r="BK719" s="116"/>
      <c r="BL719" s="116"/>
      <c r="BM719" s="116"/>
      <c r="BN719" s="116"/>
      <c r="BO719" s="116"/>
      <c r="BP719" s="125"/>
      <c r="BQ719" s="116"/>
    </row>
    <row r="720">
      <c r="A720" s="116"/>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c r="AA720" s="116"/>
      <c r="AB720" s="116"/>
      <c r="AC720" s="116"/>
      <c r="AD720" s="116"/>
      <c r="AE720" s="116"/>
      <c r="AF720" s="116"/>
      <c r="AG720" s="116"/>
      <c r="AH720" s="116"/>
      <c r="AI720" s="116"/>
      <c r="AJ720" s="116"/>
      <c r="AK720" s="116"/>
      <c r="AL720" s="116"/>
      <c r="AM720" s="116"/>
      <c r="AN720" s="116"/>
      <c r="AO720" s="116"/>
      <c r="AP720" s="116"/>
      <c r="AQ720" s="116"/>
      <c r="AR720" s="116"/>
      <c r="AS720" s="116"/>
      <c r="AT720" s="116"/>
      <c r="AU720" s="116"/>
      <c r="AV720" s="116"/>
      <c r="AW720" s="116"/>
      <c r="AX720" s="116"/>
      <c r="AY720" s="116"/>
      <c r="AZ720" s="116"/>
      <c r="BA720" s="116"/>
      <c r="BB720" s="116"/>
      <c r="BC720" s="116"/>
      <c r="BD720" s="116"/>
      <c r="BE720" s="116"/>
      <c r="BF720" s="116"/>
      <c r="BG720" s="116"/>
      <c r="BH720" s="124"/>
      <c r="BI720" s="124"/>
      <c r="BJ720" s="116"/>
      <c r="BK720" s="116"/>
      <c r="BL720" s="116"/>
      <c r="BM720" s="116"/>
      <c r="BN720" s="116"/>
      <c r="BO720" s="116"/>
      <c r="BP720" s="125"/>
      <c r="BQ720" s="116"/>
    </row>
    <row r="721">
      <c r="A721" s="116"/>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c r="AA721" s="116"/>
      <c r="AB721" s="116"/>
      <c r="AC721" s="116"/>
      <c r="AD721" s="116"/>
      <c r="AE721" s="116"/>
      <c r="AF721" s="116"/>
      <c r="AG721" s="116"/>
      <c r="AH721" s="116"/>
      <c r="AI721" s="116"/>
      <c r="AJ721" s="116"/>
      <c r="AK721" s="116"/>
      <c r="AL721" s="116"/>
      <c r="AM721" s="116"/>
      <c r="AN721" s="116"/>
      <c r="AO721" s="116"/>
      <c r="AP721" s="116"/>
      <c r="AQ721" s="116"/>
      <c r="AR721" s="116"/>
      <c r="AS721" s="116"/>
      <c r="AT721" s="116"/>
      <c r="AU721" s="116"/>
      <c r="AV721" s="116"/>
      <c r="AW721" s="116"/>
      <c r="AX721" s="116"/>
      <c r="AY721" s="116"/>
      <c r="AZ721" s="116"/>
      <c r="BA721" s="116"/>
      <c r="BB721" s="116"/>
      <c r="BC721" s="116"/>
      <c r="BD721" s="116"/>
      <c r="BE721" s="116"/>
      <c r="BF721" s="116"/>
      <c r="BG721" s="116"/>
      <c r="BH721" s="124"/>
      <c r="BI721" s="124"/>
      <c r="BJ721" s="116"/>
      <c r="BK721" s="116"/>
      <c r="BL721" s="116"/>
      <c r="BM721" s="116"/>
      <c r="BN721" s="116"/>
      <c r="BO721" s="116"/>
      <c r="BP721" s="125"/>
      <c r="BQ721" s="116"/>
    </row>
    <row r="722">
      <c r="A722" s="116"/>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c r="AA722" s="116"/>
      <c r="AB722" s="116"/>
      <c r="AC722" s="116"/>
      <c r="AD722" s="116"/>
      <c r="AE722" s="116"/>
      <c r="AF722" s="116"/>
      <c r="AG722" s="116"/>
      <c r="AH722" s="116"/>
      <c r="AI722" s="116"/>
      <c r="AJ722" s="116"/>
      <c r="AK722" s="116"/>
      <c r="AL722" s="116"/>
      <c r="AM722" s="116"/>
      <c r="AN722" s="116"/>
      <c r="AO722" s="116"/>
      <c r="AP722" s="116"/>
      <c r="AQ722" s="116"/>
      <c r="AR722" s="116"/>
      <c r="AS722" s="116"/>
      <c r="AT722" s="116"/>
      <c r="AU722" s="116"/>
      <c r="AV722" s="116"/>
      <c r="AW722" s="116"/>
      <c r="AX722" s="116"/>
      <c r="AY722" s="116"/>
      <c r="AZ722" s="116"/>
      <c r="BA722" s="116"/>
      <c r="BB722" s="116"/>
      <c r="BC722" s="116"/>
      <c r="BD722" s="116"/>
      <c r="BE722" s="116"/>
      <c r="BF722" s="116"/>
      <c r="BG722" s="116"/>
      <c r="BH722" s="124"/>
      <c r="BI722" s="124"/>
      <c r="BJ722" s="116"/>
      <c r="BK722" s="116"/>
      <c r="BL722" s="116"/>
      <c r="BM722" s="116"/>
      <c r="BN722" s="116"/>
      <c r="BO722" s="116"/>
      <c r="BP722" s="125"/>
      <c r="BQ722" s="116"/>
    </row>
    <row r="723">
      <c r="A723" s="116"/>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c r="AA723" s="116"/>
      <c r="AB723" s="116"/>
      <c r="AC723" s="116"/>
      <c r="AD723" s="116"/>
      <c r="AE723" s="116"/>
      <c r="AF723" s="116"/>
      <c r="AG723" s="116"/>
      <c r="AH723" s="116"/>
      <c r="AI723" s="116"/>
      <c r="AJ723" s="116"/>
      <c r="AK723" s="116"/>
      <c r="AL723" s="116"/>
      <c r="AM723" s="116"/>
      <c r="AN723" s="116"/>
      <c r="AO723" s="116"/>
      <c r="AP723" s="116"/>
      <c r="AQ723" s="116"/>
      <c r="AR723" s="116"/>
      <c r="AS723" s="116"/>
      <c r="AT723" s="116"/>
      <c r="AU723" s="116"/>
      <c r="AV723" s="116"/>
      <c r="AW723" s="116"/>
      <c r="AX723" s="116"/>
      <c r="AY723" s="116"/>
      <c r="AZ723" s="116"/>
      <c r="BA723" s="116"/>
      <c r="BB723" s="116"/>
      <c r="BC723" s="116"/>
      <c r="BD723" s="116"/>
      <c r="BE723" s="116"/>
      <c r="BF723" s="116"/>
      <c r="BG723" s="116"/>
      <c r="BH723" s="124"/>
      <c r="BI723" s="124"/>
      <c r="BJ723" s="116"/>
      <c r="BK723" s="116"/>
      <c r="BL723" s="116"/>
      <c r="BM723" s="116"/>
      <c r="BN723" s="116"/>
      <c r="BO723" s="116"/>
      <c r="BP723" s="125"/>
      <c r="BQ723" s="116"/>
    </row>
    <row r="724">
      <c r="A724" s="116"/>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c r="AA724" s="116"/>
      <c r="AB724" s="116"/>
      <c r="AC724" s="116"/>
      <c r="AD724" s="116"/>
      <c r="AE724" s="116"/>
      <c r="AF724" s="116"/>
      <c r="AG724" s="116"/>
      <c r="AH724" s="116"/>
      <c r="AI724" s="116"/>
      <c r="AJ724" s="116"/>
      <c r="AK724" s="116"/>
      <c r="AL724" s="116"/>
      <c r="AM724" s="116"/>
      <c r="AN724" s="116"/>
      <c r="AO724" s="116"/>
      <c r="AP724" s="116"/>
      <c r="AQ724" s="116"/>
      <c r="AR724" s="116"/>
      <c r="AS724" s="116"/>
      <c r="AT724" s="116"/>
      <c r="AU724" s="116"/>
      <c r="AV724" s="116"/>
      <c r="AW724" s="116"/>
      <c r="AX724" s="116"/>
      <c r="AY724" s="116"/>
      <c r="AZ724" s="116"/>
      <c r="BA724" s="116"/>
      <c r="BB724" s="116"/>
      <c r="BC724" s="116"/>
      <c r="BD724" s="116"/>
      <c r="BE724" s="116"/>
      <c r="BF724" s="116"/>
      <c r="BG724" s="116"/>
      <c r="BH724" s="124"/>
      <c r="BI724" s="124"/>
      <c r="BJ724" s="116"/>
      <c r="BK724" s="116"/>
      <c r="BL724" s="116"/>
      <c r="BM724" s="116"/>
      <c r="BN724" s="116"/>
      <c r="BO724" s="116"/>
      <c r="BP724" s="125"/>
      <c r="BQ724" s="116"/>
    </row>
    <row r="725">
      <c r="A725" s="116"/>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c r="AA725" s="116"/>
      <c r="AB725" s="116"/>
      <c r="AC725" s="116"/>
      <c r="AD725" s="116"/>
      <c r="AE725" s="116"/>
      <c r="AF725" s="116"/>
      <c r="AG725" s="116"/>
      <c r="AH725" s="116"/>
      <c r="AI725" s="116"/>
      <c r="AJ725" s="116"/>
      <c r="AK725" s="116"/>
      <c r="AL725" s="116"/>
      <c r="AM725" s="116"/>
      <c r="AN725" s="116"/>
      <c r="AO725" s="116"/>
      <c r="AP725" s="116"/>
      <c r="AQ725" s="116"/>
      <c r="AR725" s="116"/>
      <c r="AS725" s="116"/>
      <c r="AT725" s="116"/>
      <c r="AU725" s="116"/>
      <c r="AV725" s="116"/>
      <c r="AW725" s="116"/>
      <c r="AX725" s="116"/>
      <c r="AY725" s="116"/>
      <c r="AZ725" s="116"/>
      <c r="BA725" s="116"/>
      <c r="BB725" s="116"/>
      <c r="BC725" s="116"/>
      <c r="BD725" s="116"/>
      <c r="BE725" s="116"/>
      <c r="BF725" s="116"/>
      <c r="BG725" s="116"/>
      <c r="BH725" s="124"/>
      <c r="BI725" s="124"/>
      <c r="BJ725" s="116"/>
      <c r="BK725" s="116"/>
      <c r="BL725" s="116"/>
      <c r="BM725" s="116"/>
      <c r="BN725" s="116"/>
      <c r="BO725" s="116"/>
      <c r="BP725" s="125"/>
      <c r="BQ725" s="116"/>
    </row>
    <row r="726">
      <c r="A726" s="11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c r="AA726" s="116"/>
      <c r="AB726" s="116"/>
      <c r="AC726" s="116"/>
      <c r="AD726" s="116"/>
      <c r="AE726" s="116"/>
      <c r="AF726" s="116"/>
      <c r="AG726" s="116"/>
      <c r="AH726" s="116"/>
      <c r="AI726" s="116"/>
      <c r="AJ726" s="116"/>
      <c r="AK726" s="116"/>
      <c r="AL726" s="116"/>
      <c r="AM726" s="116"/>
      <c r="AN726" s="116"/>
      <c r="AO726" s="116"/>
      <c r="AP726" s="116"/>
      <c r="AQ726" s="116"/>
      <c r="AR726" s="116"/>
      <c r="AS726" s="116"/>
      <c r="AT726" s="116"/>
      <c r="AU726" s="116"/>
      <c r="AV726" s="116"/>
      <c r="AW726" s="116"/>
      <c r="AX726" s="116"/>
      <c r="AY726" s="116"/>
      <c r="AZ726" s="116"/>
      <c r="BA726" s="116"/>
      <c r="BB726" s="116"/>
      <c r="BC726" s="116"/>
      <c r="BD726" s="116"/>
      <c r="BE726" s="116"/>
      <c r="BF726" s="116"/>
      <c r="BG726" s="116"/>
      <c r="BH726" s="124"/>
      <c r="BI726" s="124"/>
      <c r="BJ726" s="116"/>
      <c r="BK726" s="116"/>
      <c r="BL726" s="116"/>
      <c r="BM726" s="116"/>
      <c r="BN726" s="116"/>
      <c r="BO726" s="116"/>
      <c r="BP726" s="125"/>
      <c r="BQ726" s="116"/>
    </row>
    <row r="727">
      <c r="A727" s="116"/>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c r="AA727" s="116"/>
      <c r="AB727" s="116"/>
      <c r="AC727" s="116"/>
      <c r="AD727" s="116"/>
      <c r="AE727" s="116"/>
      <c r="AF727" s="116"/>
      <c r="AG727" s="116"/>
      <c r="AH727" s="116"/>
      <c r="AI727" s="116"/>
      <c r="AJ727" s="116"/>
      <c r="AK727" s="116"/>
      <c r="AL727" s="116"/>
      <c r="AM727" s="116"/>
      <c r="AN727" s="116"/>
      <c r="AO727" s="116"/>
      <c r="AP727" s="116"/>
      <c r="AQ727" s="116"/>
      <c r="AR727" s="116"/>
      <c r="AS727" s="116"/>
      <c r="AT727" s="116"/>
      <c r="AU727" s="116"/>
      <c r="AV727" s="116"/>
      <c r="AW727" s="116"/>
      <c r="AX727" s="116"/>
      <c r="AY727" s="116"/>
      <c r="AZ727" s="116"/>
      <c r="BA727" s="116"/>
      <c r="BB727" s="116"/>
      <c r="BC727" s="116"/>
      <c r="BD727" s="116"/>
      <c r="BE727" s="116"/>
      <c r="BF727" s="116"/>
      <c r="BG727" s="116"/>
      <c r="BH727" s="124"/>
      <c r="BI727" s="124"/>
      <c r="BJ727" s="116"/>
      <c r="BK727" s="116"/>
      <c r="BL727" s="116"/>
      <c r="BM727" s="116"/>
      <c r="BN727" s="116"/>
      <c r="BO727" s="116"/>
      <c r="BP727" s="125"/>
      <c r="BQ727" s="116"/>
    </row>
    <row r="728">
      <c r="A728" s="116"/>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c r="AA728" s="116"/>
      <c r="AB728" s="116"/>
      <c r="AC728" s="116"/>
      <c r="AD728" s="116"/>
      <c r="AE728" s="116"/>
      <c r="AF728" s="116"/>
      <c r="AG728" s="116"/>
      <c r="AH728" s="116"/>
      <c r="AI728" s="116"/>
      <c r="AJ728" s="116"/>
      <c r="AK728" s="116"/>
      <c r="AL728" s="116"/>
      <c r="AM728" s="116"/>
      <c r="AN728" s="116"/>
      <c r="AO728" s="116"/>
      <c r="AP728" s="116"/>
      <c r="AQ728" s="116"/>
      <c r="AR728" s="116"/>
      <c r="AS728" s="116"/>
      <c r="AT728" s="116"/>
      <c r="AU728" s="116"/>
      <c r="AV728" s="116"/>
      <c r="AW728" s="116"/>
      <c r="AX728" s="116"/>
      <c r="AY728" s="116"/>
      <c r="AZ728" s="116"/>
      <c r="BA728" s="116"/>
      <c r="BB728" s="116"/>
      <c r="BC728" s="116"/>
      <c r="BD728" s="116"/>
      <c r="BE728" s="116"/>
      <c r="BF728" s="116"/>
      <c r="BG728" s="116"/>
      <c r="BH728" s="124"/>
      <c r="BI728" s="124"/>
      <c r="BJ728" s="116"/>
      <c r="BK728" s="116"/>
      <c r="BL728" s="116"/>
      <c r="BM728" s="116"/>
      <c r="BN728" s="116"/>
      <c r="BO728" s="116"/>
      <c r="BP728" s="125"/>
      <c r="BQ728" s="116"/>
    </row>
    <row r="729">
      <c r="A729" s="116"/>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c r="AA729" s="116"/>
      <c r="AB729" s="116"/>
      <c r="AC729" s="116"/>
      <c r="AD729" s="116"/>
      <c r="AE729" s="116"/>
      <c r="AF729" s="116"/>
      <c r="AG729" s="116"/>
      <c r="AH729" s="116"/>
      <c r="AI729" s="116"/>
      <c r="AJ729" s="116"/>
      <c r="AK729" s="116"/>
      <c r="AL729" s="116"/>
      <c r="AM729" s="116"/>
      <c r="AN729" s="116"/>
      <c r="AO729" s="116"/>
      <c r="AP729" s="116"/>
      <c r="AQ729" s="116"/>
      <c r="AR729" s="116"/>
      <c r="AS729" s="116"/>
      <c r="AT729" s="116"/>
      <c r="AU729" s="116"/>
      <c r="AV729" s="116"/>
      <c r="AW729" s="116"/>
      <c r="AX729" s="116"/>
      <c r="AY729" s="116"/>
      <c r="AZ729" s="116"/>
      <c r="BA729" s="116"/>
      <c r="BB729" s="116"/>
      <c r="BC729" s="116"/>
      <c r="BD729" s="116"/>
      <c r="BE729" s="116"/>
      <c r="BF729" s="116"/>
      <c r="BG729" s="116"/>
      <c r="BH729" s="124"/>
      <c r="BI729" s="124"/>
      <c r="BJ729" s="116"/>
      <c r="BK729" s="116"/>
      <c r="BL729" s="116"/>
      <c r="BM729" s="116"/>
      <c r="BN729" s="116"/>
      <c r="BO729" s="116"/>
      <c r="BP729" s="125"/>
      <c r="BQ729" s="116"/>
    </row>
    <row r="730">
      <c r="A730" s="116"/>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c r="AA730" s="116"/>
      <c r="AB730" s="116"/>
      <c r="AC730" s="116"/>
      <c r="AD730" s="116"/>
      <c r="AE730" s="116"/>
      <c r="AF730" s="116"/>
      <c r="AG730" s="116"/>
      <c r="AH730" s="116"/>
      <c r="AI730" s="116"/>
      <c r="AJ730" s="116"/>
      <c r="AK730" s="116"/>
      <c r="AL730" s="116"/>
      <c r="AM730" s="116"/>
      <c r="AN730" s="116"/>
      <c r="AO730" s="116"/>
      <c r="AP730" s="116"/>
      <c r="AQ730" s="116"/>
      <c r="AR730" s="116"/>
      <c r="AS730" s="116"/>
      <c r="AT730" s="116"/>
      <c r="AU730" s="116"/>
      <c r="AV730" s="116"/>
      <c r="AW730" s="116"/>
      <c r="AX730" s="116"/>
      <c r="AY730" s="116"/>
      <c r="AZ730" s="116"/>
      <c r="BA730" s="116"/>
      <c r="BB730" s="116"/>
      <c r="BC730" s="116"/>
      <c r="BD730" s="116"/>
      <c r="BE730" s="116"/>
      <c r="BF730" s="116"/>
      <c r="BG730" s="116"/>
      <c r="BH730" s="124"/>
      <c r="BI730" s="124"/>
      <c r="BJ730" s="116"/>
      <c r="BK730" s="116"/>
      <c r="BL730" s="116"/>
      <c r="BM730" s="116"/>
      <c r="BN730" s="116"/>
      <c r="BO730" s="116"/>
      <c r="BP730" s="125"/>
      <c r="BQ730" s="116"/>
    </row>
    <row r="731">
      <c r="A731" s="116"/>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c r="AA731" s="116"/>
      <c r="AB731" s="116"/>
      <c r="AC731" s="116"/>
      <c r="AD731" s="116"/>
      <c r="AE731" s="116"/>
      <c r="AF731" s="116"/>
      <c r="AG731" s="116"/>
      <c r="AH731" s="116"/>
      <c r="AI731" s="116"/>
      <c r="AJ731" s="116"/>
      <c r="AK731" s="116"/>
      <c r="AL731" s="116"/>
      <c r="AM731" s="116"/>
      <c r="AN731" s="116"/>
      <c r="AO731" s="116"/>
      <c r="AP731" s="116"/>
      <c r="AQ731" s="116"/>
      <c r="AR731" s="116"/>
      <c r="AS731" s="116"/>
      <c r="AT731" s="116"/>
      <c r="AU731" s="116"/>
      <c r="AV731" s="116"/>
      <c r="AW731" s="116"/>
      <c r="AX731" s="116"/>
      <c r="AY731" s="116"/>
      <c r="AZ731" s="116"/>
      <c r="BA731" s="116"/>
      <c r="BB731" s="116"/>
      <c r="BC731" s="116"/>
      <c r="BD731" s="116"/>
      <c r="BE731" s="116"/>
      <c r="BF731" s="116"/>
      <c r="BG731" s="116"/>
      <c r="BH731" s="124"/>
      <c r="BI731" s="124"/>
      <c r="BJ731" s="116"/>
      <c r="BK731" s="116"/>
      <c r="BL731" s="116"/>
      <c r="BM731" s="116"/>
      <c r="BN731" s="116"/>
      <c r="BO731" s="116"/>
      <c r="BP731" s="125"/>
      <c r="BQ731" s="116"/>
    </row>
    <row r="732">
      <c r="A732" s="116"/>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c r="AA732" s="116"/>
      <c r="AB732" s="116"/>
      <c r="AC732" s="116"/>
      <c r="AD732" s="116"/>
      <c r="AE732" s="116"/>
      <c r="AF732" s="116"/>
      <c r="AG732" s="116"/>
      <c r="AH732" s="116"/>
      <c r="AI732" s="116"/>
      <c r="AJ732" s="116"/>
      <c r="AK732" s="116"/>
      <c r="AL732" s="116"/>
      <c r="AM732" s="116"/>
      <c r="AN732" s="116"/>
      <c r="AO732" s="116"/>
      <c r="AP732" s="116"/>
      <c r="AQ732" s="116"/>
      <c r="AR732" s="116"/>
      <c r="AS732" s="116"/>
      <c r="AT732" s="116"/>
      <c r="AU732" s="116"/>
      <c r="AV732" s="116"/>
      <c r="AW732" s="116"/>
      <c r="AX732" s="116"/>
      <c r="AY732" s="116"/>
      <c r="AZ732" s="116"/>
      <c r="BA732" s="116"/>
      <c r="BB732" s="116"/>
      <c r="BC732" s="116"/>
      <c r="BD732" s="116"/>
      <c r="BE732" s="116"/>
      <c r="BF732" s="116"/>
      <c r="BG732" s="116"/>
      <c r="BH732" s="124"/>
      <c r="BI732" s="124"/>
      <c r="BJ732" s="116"/>
      <c r="BK732" s="116"/>
      <c r="BL732" s="116"/>
      <c r="BM732" s="116"/>
      <c r="BN732" s="116"/>
      <c r="BO732" s="116"/>
      <c r="BP732" s="125"/>
      <c r="BQ732" s="116"/>
    </row>
    <row r="733">
      <c r="A733" s="116"/>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c r="AA733" s="116"/>
      <c r="AB733" s="116"/>
      <c r="AC733" s="116"/>
      <c r="AD733" s="116"/>
      <c r="AE733" s="116"/>
      <c r="AF733" s="116"/>
      <c r="AG733" s="116"/>
      <c r="AH733" s="116"/>
      <c r="AI733" s="116"/>
      <c r="AJ733" s="116"/>
      <c r="AK733" s="116"/>
      <c r="AL733" s="116"/>
      <c r="AM733" s="116"/>
      <c r="AN733" s="116"/>
      <c r="AO733" s="116"/>
      <c r="AP733" s="116"/>
      <c r="AQ733" s="116"/>
      <c r="AR733" s="116"/>
      <c r="AS733" s="116"/>
      <c r="AT733" s="116"/>
      <c r="AU733" s="116"/>
      <c r="AV733" s="116"/>
      <c r="AW733" s="116"/>
      <c r="AX733" s="116"/>
      <c r="AY733" s="116"/>
      <c r="AZ733" s="116"/>
      <c r="BA733" s="116"/>
      <c r="BB733" s="116"/>
      <c r="BC733" s="116"/>
      <c r="BD733" s="116"/>
      <c r="BE733" s="116"/>
      <c r="BF733" s="116"/>
      <c r="BG733" s="116"/>
      <c r="BH733" s="124"/>
      <c r="BI733" s="124"/>
      <c r="BJ733" s="116"/>
      <c r="BK733" s="116"/>
      <c r="BL733" s="116"/>
      <c r="BM733" s="116"/>
      <c r="BN733" s="116"/>
      <c r="BO733" s="116"/>
      <c r="BP733" s="125"/>
      <c r="BQ733" s="116"/>
    </row>
    <row r="734">
      <c r="A734" s="116"/>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c r="AA734" s="116"/>
      <c r="AB734" s="116"/>
      <c r="AC734" s="116"/>
      <c r="AD734" s="116"/>
      <c r="AE734" s="116"/>
      <c r="AF734" s="116"/>
      <c r="AG734" s="116"/>
      <c r="AH734" s="116"/>
      <c r="AI734" s="116"/>
      <c r="AJ734" s="116"/>
      <c r="AK734" s="116"/>
      <c r="AL734" s="116"/>
      <c r="AM734" s="116"/>
      <c r="AN734" s="116"/>
      <c r="AO734" s="116"/>
      <c r="AP734" s="116"/>
      <c r="AQ734" s="116"/>
      <c r="AR734" s="116"/>
      <c r="AS734" s="116"/>
      <c r="AT734" s="116"/>
      <c r="AU734" s="116"/>
      <c r="AV734" s="116"/>
      <c r="AW734" s="116"/>
      <c r="AX734" s="116"/>
      <c r="AY734" s="116"/>
      <c r="AZ734" s="116"/>
      <c r="BA734" s="116"/>
      <c r="BB734" s="116"/>
      <c r="BC734" s="116"/>
      <c r="BD734" s="116"/>
      <c r="BE734" s="116"/>
      <c r="BF734" s="116"/>
      <c r="BG734" s="116"/>
      <c r="BH734" s="124"/>
      <c r="BI734" s="124"/>
      <c r="BJ734" s="116"/>
      <c r="BK734" s="116"/>
      <c r="BL734" s="116"/>
      <c r="BM734" s="116"/>
      <c r="BN734" s="116"/>
      <c r="BO734" s="116"/>
      <c r="BP734" s="125"/>
      <c r="BQ734" s="116"/>
    </row>
    <row r="735">
      <c r="A735" s="116"/>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c r="AA735" s="116"/>
      <c r="AB735" s="116"/>
      <c r="AC735" s="116"/>
      <c r="AD735" s="116"/>
      <c r="AE735" s="116"/>
      <c r="AF735" s="116"/>
      <c r="AG735" s="116"/>
      <c r="AH735" s="116"/>
      <c r="AI735" s="116"/>
      <c r="AJ735" s="116"/>
      <c r="AK735" s="116"/>
      <c r="AL735" s="116"/>
      <c r="AM735" s="116"/>
      <c r="AN735" s="116"/>
      <c r="AO735" s="116"/>
      <c r="AP735" s="116"/>
      <c r="AQ735" s="116"/>
      <c r="AR735" s="116"/>
      <c r="AS735" s="116"/>
      <c r="AT735" s="116"/>
      <c r="AU735" s="116"/>
      <c r="AV735" s="116"/>
      <c r="AW735" s="116"/>
      <c r="AX735" s="116"/>
      <c r="AY735" s="116"/>
      <c r="AZ735" s="116"/>
      <c r="BA735" s="116"/>
      <c r="BB735" s="116"/>
      <c r="BC735" s="116"/>
      <c r="BD735" s="116"/>
      <c r="BE735" s="116"/>
      <c r="BF735" s="116"/>
      <c r="BG735" s="116"/>
      <c r="BH735" s="124"/>
      <c r="BI735" s="124"/>
      <c r="BJ735" s="116"/>
      <c r="BK735" s="116"/>
      <c r="BL735" s="116"/>
      <c r="BM735" s="116"/>
      <c r="BN735" s="116"/>
      <c r="BO735" s="116"/>
      <c r="BP735" s="125"/>
      <c r="BQ735" s="116"/>
    </row>
    <row r="736">
      <c r="A736" s="11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c r="AA736" s="116"/>
      <c r="AB736" s="116"/>
      <c r="AC736" s="116"/>
      <c r="AD736" s="116"/>
      <c r="AE736" s="116"/>
      <c r="AF736" s="116"/>
      <c r="AG736" s="116"/>
      <c r="AH736" s="116"/>
      <c r="AI736" s="116"/>
      <c r="AJ736" s="116"/>
      <c r="AK736" s="116"/>
      <c r="AL736" s="116"/>
      <c r="AM736" s="116"/>
      <c r="AN736" s="116"/>
      <c r="AO736" s="116"/>
      <c r="AP736" s="116"/>
      <c r="AQ736" s="116"/>
      <c r="AR736" s="116"/>
      <c r="AS736" s="116"/>
      <c r="AT736" s="116"/>
      <c r="AU736" s="116"/>
      <c r="AV736" s="116"/>
      <c r="AW736" s="116"/>
      <c r="AX736" s="116"/>
      <c r="AY736" s="116"/>
      <c r="AZ736" s="116"/>
      <c r="BA736" s="116"/>
      <c r="BB736" s="116"/>
      <c r="BC736" s="116"/>
      <c r="BD736" s="116"/>
      <c r="BE736" s="116"/>
      <c r="BF736" s="116"/>
      <c r="BG736" s="116"/>
      <c r="BH736" s="124"/>
      <c r="BI736" s="124"/>
      <c r="BJ736" s="116"/>
      <c r="BK736" s="116"/>
      <c r="BL736" s="116"/>
      <c r="BM736" s="116"/>
      <c r="BN736" s="116"/>
      <c r="BO736" s="116"/>
      <c r="BP736" s="125"/>
      <c r="BQ736" s="116"/>
    </row>
    <row r="737">
      <c r="A737" s="116"/>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c r="AA737" s="116"/>
      <c r="AB737" s="116"/>
      <c r="AC737" s="116"/>
      <c r="AD737" s="116"/>
      <c r="AE737" s="116"/>
      <c r="AF737" s="116"/>
      <c r="AG737" s="116"/>
      <c r="AH737" s="116"/>
      <c r="AI737" s="116"/>
      <c r="AJ737" s="116"/>
      <c r="AK737" s="116"/>
      <c r="AL737" s="116"/>
      <c r="AM737" s="116"/>
      <c r="AN737" s="116"/>
      <c r="AO737" s="116"/>
      <c r="AP737" s="116"/>
      <c r="AQ737" s="116"/>
      <c r="AR737" s="116"/>
      <c r="AS737" s="116"/>
      <c r="AT737" s="116"/>
      <c r="AU737" s="116"/>
      <c r="AV737" s="116"/>
      <c r="AW737" s="116"/>
      <c r="AX737" s="116"/>
      <c r="AY737" s="116"/>
      <c r="AZ737" s="116"/>
      <c r="BA737" s="116"/>
      <c r="BB737" s="116"/>
      <c r="BC737" s="116"/>
      <c r="BD737" s="116"/>
      <c r="BE737" s="116"/>
      <c r="BF737" s="116"/>
      <c r="BG737" s="116"/>
      <c r="BH737" s="124"/>
      <c r="BI737" s="124"/>
      <c r="BJ737" s="116"/>
      <c r="BK737" s="116"/>
      <c r="BL737" s="116"/>
      <c r="BM737" s="116"/>
      <c r="BN737" s="116"/>
      <c r="BO737" s="116"/>
      <c r="BP737" s="125"/>
      <c r="BQ737" s="116"/>
    </row>
    <row r="738">
      <c r="A738" s="116"/>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c r="AA738" s="116"/>
      <c r="AB738" s="116"/>
      <c r="AC738" s="116"/>
      <c r="AD738" s="116"/>
      <c r="AE738" s="116"/>
      <c r="AF738" s="116"/>
      <c r="AG738" s="116"/>
      <c r="AH738" s="116"/>
      <c r="AI738" s="116"/>
      <c r="AJ738" s="116"/>
      <c r="AK738" s="116"/>
      <c r="AL738" s="116"/>
      <c r="AM738" s="116"/>
      <c r="AN738" s="116"/>
      <c r="AO738" s="116"/>
      <c r="AP738" s="116"/>
      <c r="AQ738" s="116"/>
      <c r="AR738" s="116"/>
      <c r="AS738" s="116"/>
      <c r="AT738" s="116"/>
      <c r="AU738" s="116"/>
      <c r="AV738" s="116"/>
      <c r="AW738" s="116"/>
      <c r="AX738" s="116"/>
      <c r="AY738" s="116"/>
      <c r="AZ738" s="116"/>
      <c r="BA738" s="116"/>
      <c r="BB738" s="116"/>
      <c r="BC738" s="116"/>
      <c r="BD738" s="116"/>
      <c r="BE738" s="116"/>
      <c r="BF738" s="116"/>
      <c r="BG738" s="116"/>
      <c r="BH738" s="124"/>
      <c r="BI738" s="124"/>
      <c r="BJ738" s="116"/>
      <c r="BK738" s="116"/>
      <c r="BL738" s="116"/>
      <c r="BM738" s="116"/>
      <c r="BN738" s="116"/>
      <c r="BO738" s="116"/>
      <c r="BP738" s="125"/>
      <c r="BQ738" s="116"/>
    </row>
    <row r="739">
      <c r="A739" s="116"/>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c r="AA739" s="116"/>
      <c r="AB739" s="116"/>
      <c r="AC739" s="116"/>
      <c r="AD739" s="116"/>
      <c r="AE739" s="116"/>
      <c r="AF739" s="116"/>
      <c r="AG739" s="116"/>
      <c r="AH739" s="116"/>
      <c r="AI739" s="116"/>
      <c r="AJ739" s="116"/>
      <c r="AK739" s="116"/>
      <c r="AL739" s="116"/>
      <c r="AM739" s="116"/>
      <c r="AN739" s="116"/>
      <c r="AO739" s="116"/>
      <c r="AP739" s="116"/>
      <c r="AQ739" s="116"/>
      <c r="AR739" s="116"/>
      <c r="AS739" s="116"/>
      <c r="AT739" s="116"/>
      <c r="AU739" s="116"/>
      <c r="AV739" s="116"/>
      <c r="AW739" s="116"/>
      <c r="AX739" s="116"/>
      <c r="AY739" s="116"/>
      <c r="AZ739" s="116"/>
      <c r="BA739" s="116"/>
      <c r="BB739" s="116"/>
      <c r="BC739" s="116"/>
      <c r="BD739" s="116"/>
      <c r="BE739" s="116"/>
      <c r="BF739" s="116"/>
      <c r="BG739" s="116"/>
      <c r="BH739" s="124"/>
      <c r="BI739" s="124"/>
      <c r="BJ739" s="116"/>
      <c r="BK739" s="116"/>
      <c r="BL739" s="116"/>
      <c r="BM739" s="116"/>
      <c r="BN739" s="116"/>
      <c r="BO739" s="116"/>
      <c r="BP739" s="125"/>
      <c r="BQ739" s="116"/>
    </row>
    <row r="740">
      <c r="A740" s="116"/>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c r="AA740" s="116"/>
      <c r="AB740" s="116"/>
      <c r="AC740" s="116"/>
      <c r="AD740" s="116"/>
      <c r="AE740" s="116"/>
      <c r="AF740" s="116"/>
      <c r="AG740" s="116"/>
      <c r="AH740" s="116"/>
      <c r="AI740" s="116"/>
      <c r="AJ740" s="116"/>
      <c r="AK740" s="116"/>
      <c r="AL740" s="116"/>
      <c r="AM740" s="116"/>
      <c r="AN740" s="116"/>
      <c r="AO740" s="116"/>
      <c r="AP740" s="116"/>
      <c r="AQ740" s="116"/>
      <c r="AR740" s="116"/>
      <c r="AS740" s="116"/>
      <c r="AT740" s="116"/>
      <c r="AU740" s="116"/>
      <c r="AV740" s="116"/>
      <c r="AW740" s="116"/>
      <c r="AX740" s="116"/>
      <c r="AY740" s="116"/>
      <c r="AZ740" s="116"/>
      <c r="BA740" s="116"/>
      <c r="BB740" s="116"/>
      <c r="BC740" s="116"/>
      <c r="BD740" s="116"/>
      <c r="BE740" s="116"/>
      <c r="BF740" s="116"/>
      <c r="BG740" s="116"/>
      <c r="BH740" s="124"/>
      <c r="BI740" s="124"/>
      <c r="BJ740" s="116"/>
      <c r="BK740" s="116"/>
      <c r="BL740" s="116"/>
      <c r="BM740" s="116"/>
      <c r="BN740" s="116"/>
      <c r="BO740" s="116"/>
      <c r="BP740" s="125"/>
      <c r="BQ740" s="116"/>
    </row>
    <row r="741">
      <c r="A741" s="116"/>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c r="AA741" s="116"/>
      <c r="AB741" s="116"/>
      <c r="AC741" s="116"/>
      <c r="AD741" s="116"/>
      <c r="AE741" s="116"/>
      <c r="AF741" s="116"/>
      <c r="AG741" s="116"/>
      <c r="AH741" s="116"/>
      <c r="AI741" s="116"/>
      <c r="AJ741" s="116"/>
      <c r="AK741" s="116"/>
      <c r="AL741" s="116"/>
      <c r="AM741" s="116"/>
      <c r="AN741" s="116"/>
      <c r="AO741" s="116"/>
      <c r="AP741" s="116"/>
      <c r="AQ741" s="116"/>
      <c r="AR741" s="116"/>
      <c r="AS741" s="116"/>
      <c r="AT741" s="116"/>
      <c r="AU741" s="116"/>
      <c r="AV741" s="116"/>
      <c r="AW741" s="116"/>
      <c r="AX741" s="116"/>
      <c r="AY741" s="116"/>
      <c r="AZ741" s="116"/>
      <c r="BA741" s="116"/>
      <c r="BB741" s="116"/>
      <c r="BC741" s="116"/>
      <c r="BD741" s="116"/>
      <c r="BE741" s="116"/>
      <c r="BF741" s="116"/>
      <c r="BG741" s="116"/>
      <c r="BH741" s="124"/>
      <c r="BI741" s="124"/>
      <c r="BJ741" s="116"/>
      <c r="BK741" s="116"/>
      <c r="BL741" s="116"/>
      <c r="BM741" s="116"/>
      <c r="BN741" s="116"/>
      <c r="BO741" s="116"/>
      <c r="BP741" s="125"/>
      <c r="BQ741" s="116"/>
    </row>
    <row r="742">
      <c r="A742" s="116"/>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c r="AA742" s="116"/>
      <c r="AB742" s="116"/>
      <c r="AC742" s="116"/>
      <c r="AD742" s="116"/>
      <c r="AE742" s="116"/>
      <c r="AF742" s="116"/>
      <c r="AG742" s="116"/>
      <c r="AH742" s="116"/>
      <c r="AI742" s="116"/>
      <c r="AJ742" s="116"/>
      <c r="AK742" s="116"/>
      <c r="AL742" s="116"/>
      <c r="AM742" s="116"/>
      <c r="AN742" s="116"/>
      <c r="AO742" s="116"/>
      <c r="AP742" s="116"/>
      <c r="AQ742" s="116"/>
      <c r="AR742" s="116"/>
      <c r="AS742" s="116"/>
      <c r="AT742" s="116"/>
      <c r="AU742" s="116"/>
      <c r="AV742" s="116"/>
      <c r="AW742" s="116"/>
      <c r="AX742" s="116"/>
      <c r="AY742" s="116"/>
      <c r="AZ742" s="116"/>
      <c r="BA742" s="116"/>
      <c r="BB742" s="116"/>
      <c r="BC742" s="116"/>
      <c r="BD742" s="116"/>
      <c r="BE742" s="116"/>
      <c r="BF742" s="116"/>
      <c r="BG742" s="116"/>
      <c r="BH742" s="124"/>
      <c r="BI742" s="124"/>
      <c r="BJ742" s="116"/>
      <c r="BK742" s="116"/>
      <c r="BL742" s="116"/>
      <c r="BM742" s="116"/>
      <c r="BN742" s="116"/>
      <c r="BO742" s="116"/>
      <c r="BP742" s="125"/>
      <c r="BQ742" s="116"/>
    </row>
    <row r="743">
      <c r="A743" s="116"/>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c r="AA743" s="116"/>
      <c r="AB743" s="116"/>
      <c r="AC743" s="116"/>
      <c r="AD743" s="116"/>
      <c r="AE743" s="116"/>
      <c r="AF743" s="116"/>
      <c r="AG743" s="116"/>
      <c r="AH743" s="116"/>
      <c r="AI743" s="116"/>
      <c r="AJ743" s="116"/>
      <c r="AK743" s="116"/>
      <c r="AL743" s="116"/>
      <c r="AM743" s="116"/>
      <c r="AN743" s="116"/>
      <c r="AO743" s="116"/>
      <c r="AP743" s="116"/>
      <c r="AQ743" s="116"/>
      <c r="AR743" s="116"/>
      <c r="AS743" s="116"/>
      <c r="AT743" s="116"/>
      <c r="AU743" s="116"/>
      <c r="AV743" s="116"/>
      <c r="AW743" s="116"/>
      <c r="AX743" s="116"/>
      <c r="AY743" s="116"/>
      <c r="AZ743" s="116"/>
      <c r="BA743" s="116"/>
      <c r="BB743" s="116"/>
      <c r="BC743" s="116"/>
      <c r="BD743" s="116"/>
      <c r="BE743" s="116"/>
      <c r="BF743" s="116"/>
      <c r="BG743" s="116"/>
      <c r="BH743" s="124"/>
      <c r="BI743" s="124"/>
      <c r="BJ743" s="116"/>
      <c r="BK743" s="116"/>
      <c r="BL743" s="116"/>
      <c r="BM743" s="116"/>
      <c r="BN743" s="116"/>
      <c r="BO743" s="116"/>
      <c r="BP743" s="125"/>
      <c r="BQ743" s="116"/>
    </row>
    <row r="744">
      <c r="A744" s="116"/>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c r="AA744" s="116"/>
      <c r="AB744" s="116"/>
      <c r="AC744" s="116"/>
      <c r="AD744" s="116"/>
      <c r="AE744" s="116"/>
      <c r="AF744" s="116"/>
      <c r="AG744" s="116"/>
      <c r="AH744" s="116"/>
      <c r="AI744" s="116"/>
      <c r="AJ744" s="116"/>
      <c r="AK744" s="116"/>
      <c r="AL744" s="116"/>
      <c r="AM744" s="116"/>
      <c r="AN744" s="116"/>
      <c r="AO744" s="116"/>
      <c r="AP744" s="116"/>
      <c r="AQ744" s="116"/>
      <c r="AR744" s="116"/>
      <c r="AS744" s="116"/>
      <c r="AT744" s="116"/>
      <c r="AU744" s="116"/>
      <c r="AV744" s="116"/>
      <c r="AW744" s="116"/>
      <c r="AX744" s="116"/>
      <c r="AY744" s="116"/>
      <c r="AZ744" s="116"/>
      <c r="BA744" s="116"/>
      <c r="BB744" s="116"/>
      <c r="BC744" s="116"/>
      <c r="BD744" s="116"/>
      <c r="BE744" s="116"/>
      <c r="BF744" s="116"/>
      <c r="BG744" s="116"/>
      <c r="BH744" s="124"/>
      <c r="BI744" s="124"/>
      <c r="BJ744" s="116"/>
      <c r="BK744" s="116"/>
      <c r="BL744" s="116"/>
      <c r="BM744" s="116"/>
      <c r="BN744" s="116"/>
      <c r="BO744" s="116"/>
      <c r="BP744" s="125"/>
      <c r="BQ744" s="116"/>
    </row>
    <row r="745">
      <c r="A745" s="116"/>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c r="AA745" s="116"/>
      <c r="AB745" s="116"/>
      <c r="AC745" s="116"/>
      <c r="AD745" s="116"/>
      <c r="AE745" s="116"/>
      <c r="AF745" s="116"/>
      <c r="AG745" s="116"/>
      <c r="AH745" s="116"/>
      <c r="AI745" s="116"/>
      <c r="AJ745" s="116"/>
      <c r="AK745" s="116"/>
      <c r="AL745" s="116"/>
      <c r="AM745" s="116"/>
      <c r="AN745" s="116"/>
      <c r="AO745" s="116"/>
      <c r="AP745" s="116"/>
      <c r="AQ745" s="116"/>
      <c r="AR745" s="116"/>
      <c r="AS745" s="116"/>
      <c r="AT745" s="116"/>
      <c r="AU745" s="116"/>
      <c r="AV745" s="116"/>
      <c r="AW745" s="116"/>
      <c r="AX745" s="116"/>
      <c r="AY745" s="116"/>
      <c r="AZ745" s="116"/>
      <c r="BA745" s="116"/>
      <c r="BB745" s="116"/>
      <c r="BC745" s="116"/>
      <c r="BD745" s="116"/>
      <c r="BE745" s="116"/>
      <c r="BF745" s="116"/>
      <c r="BG745" s="116"/>
      <c r="BH745" s="124"/>
      <c r="BI745" s="124"/>
      <c r="BJ745" s="116"/>
      <c r="BK745" s="116"/>
      <c r="BL745" s="116"/>
      <c r="BM745" s="116"/>
      <c r="BN745" s="116"/>
      <c r="BO745" s="116"/>
      <c r="BP745" s="125"/>
      <c r="BQ745" s="116"/>
    </row>
    <row r="746">
      <c r="A746" s="11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c r="AA746" s="116"/>
      <c r="AB746" s="116"/>
      <c r="AC746" s="116"/>
      <c r="AD746" s="116"/>
      <c r="AE746" s="116"/>
      <c r="AF746" s="116"/>
      <c r="AG746" s="116"/>
      <c r="AH746" s="116"/>
      <c r="AI746" s="116"/>
      <c r="AJ746" s="116"/>
      <c r="AK746" s="116"/>
      <c r="AL746" s="116"/>
      <c r="AM746" s="116"/>
      <c r="AN746" s="116"/>
      <c r="AO746" s="116"/>
      <c r="AP746" s="116"/>
      <c r="AQ746" s="116"/>
      <c r="AR746" s="116"/>
      <c r="AS746" s="116"/>
      <c r="AT746" s="116"/>
      <c r="AU746" s="116"/>
      <c r="AV746" s="116"/>
      <c r="AW746" s="116"/>
      <c r="AX746" s="116"/>
      <c r="AY746" s="116"/>
      <c r="AZ746" s="116"/>
      <c r="BA746" s="116"/>
      <c r="BB746" s="116"/>
      <c r="BC746" s="116"/>
      <c r="BD746" s="116"/>
      <c r="BE746" s="116"/>
      <c r="BF746" s="116"/>
      <c r="BG746" s="116"/>
      <c r="BH746" s="124"/>
      <c r="BI746" s="124"/>
      <c r="BJ746" s="116"/>
      <c r="BK746" s="116"/>
      <c r="BL746" s="116"/>
      <c r="BM746" s="116"/>
      <c r="BN746" s="116"/>
      <c r="BO746" s="116"/>
      <c r="BP746" s="125"/>
      <c r="BQ746" s="116"/>
    </row>
    <row r="747">
      <c r="A747" s="116"/>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c r="AA747" s="116"/>
      <c r="AB747" s="116"/>
      <c r="AC747" s="116"/>
      <c r="AD747" s="116"/>
      <c r="AE747" s="116"/>
      <c r="AF747" s="116"/>
      <c r="AG747" s="116"/>
      <c r="AH747" s="116"/>
      <c r="AI747" s="116"/>
      <c r="AJ747" s="116"/>
      <c r="AK747" s="116"/>
      <c r="AL747" s="116"/>
      <c r="AM747" s="116"/>
      <c r="AN747" s="116"/>
      <c r="AO747" s="116"/>
      <c r="AP747" s="116"/>
      <c r="AQ747" s="116"/>
      <c r="AR747" s="116"/>
      <c r="AS747" s="116"/>
      <c r="AT747" s="116"/>
      <c r="AU747" s="116"/>
      <c r="AV747" s="116"/>
      <c r="AW747" s="116"/>
      <c r="AX747" s="116"/>
      <c r="AY747" s="116"/>
      <c r="AZ747" s="116"/>
      <c r="BA747" s="116"/>
      <c r="BB747" s="116"/>
      <c r="BC747" s="116"/>
      <c r="BD747" s="116"/>
      <c r="BE747" s="116"/>
      <c r="BF747" s="116"/>
      <c r="BG747" s="116"/>
      <c r="BH747" s="124"/>
      <c r="BI747" s="124"/>
      <c r="BJ747" s="116"/>
      <c r="BK747" s="116"/>
      <c r="BL747" s="116"/>
      <c r="BM747" s="116"/>
      <c r="BN747" s="116"/>
      <c r="BO747" s="116"/>
      <c r="BP747" s="125"/>
      <c r="BQ747" s="116"/>
    </row>
    <row r="748">
      <c r="A748" s="116"/>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c r="AA748" s="116"/>
      <c r="AB748" s="116"/>
      <c r="AC748" s="116"/>
      <c r="AD748" s="116"/>
      <c r="AE748" s="116"/>
      <c r="AF748" s="116"/>
      <c r="AG748" s="116"/>
      <c r="AH748" s="116"/>
      <c r="AI748" s="116"/>
      <c r="AJ748" s="116"/>
      <c r="AK748" s="116"/>
      <c r="AL748" s="116"/>
      <c r="AM748" s="116"/>
      <c r="AN748" s="116"/>
      <c r="AO748" s="116"/>
      <c r="AP748" s="116"/>
      <c r="AQ748" s="116"/>
      <c r="AR748" s="116"/>
      <c r="AS748" s="116"/>
      <c r="AT748" s="116"/>
      <c r="AU748" s="116"/>
      <c r="AV748" s="116"/>
      <c r="AW748" s="116"/>
      <c r="AX748" s="116"/>
      <c r="AY748" s="116"/>
      <c r="AZ748" s="116"/>
      <c r="BA748" s="116"/>
      <c r="BB748" s="116"/>
      <c r="BC748" s="116"/>
      <c r="BD748" s="116"/>
      <c r="BE748" s="116"/>
      <c r="BF748" s="116"/>
      <c r="BG748" s="116"/>
      <c r="BH748" s="124"/>
      <c r="BI748" s="124"/>
      <c r="BJ748" s="116"/>
      <c r="BK748" s="116"/>
      <c r="BL748" s="116"/>
      <c r="BM748" s="116"/>
      <c r="BN748" s="116"/>
      <c r="BO748" s="116"/>
      <c r="BP748" s="125"/>
      <c r="BQ748" s="116"/>
    </row>
    <row r="749">
      <c r="A749" s="116"/>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c r="AA749" s="116"/>
      <c r="AB749" s="116"/>
      <c r="AC749" s="116"/>
      <c r="AD749" s="116"/>
      <c r="AE749" s="116"/>
      <c r="AF749" s="116"/>
      <c r="AG749" s="116"/>
      <c r="AH749" s="116"/>
      <c r="AI749" s="116"/>
      <c r="AJ749" s="116"/>
      <c r="AK749" s="116"/>
      <c r="AL749" s="116"/>
      <c r="AM749" s="116"/>
      <c r="AN749" s="116"/>
      <c r="AO749" s="116"/>
      <c r="AP749" s="116"/>
      <c r="AQ749" s="116"/>
      <c r="AR749" s="116"/>
      <c r="AS749" s="116"/>
      <c r="AT749" s="116"/>
      <c r="AU749" s="116"/>
      <c r="AV749" s="116"/>
      <c r="AW749" s="116"/>
      <c r="AX749" s="116"/>
      <c r="AY749" s="116"/>
      <c r="AZ749" s="116"/>
      <c r="BA749" s="116"/>
      <c r="BB749" s="116"/>
      <c r="BC749" s="116"/>
      <c r="BD749" s="116"/>
      <c r="BE749" s="116"/>
      <c r="BF749" s="116"/>
      <c r="BG749" s="116"/>
      <c r="BH749" s="124"/>
      <c r="BI749" s="124"/>
      <c r="BJ749" s="116"/>
      <c r="BK749" s="116"/>
      <c r="BL749" s="116"/>
      <c r="BM749" s="116"/>
      <c r="BN749" s="116"/>
      <c r="BO749" s="116"/>
      <c r="BP749" s="125"/>
      <c r="BQ749" s="116"/>
    </row>
    <row r="750">
      <c r="A750" s="116"/>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c r="AA750" s="116"/>
      <c r="AB750" s="116"/>
      <c r="AC750" s="116"/>
      <c r="AD750" s="116"/>
      <c r="AE750" s="116"/>
      <c r="AF750" s="116"/>
      <c r="AG750" s="116"/>
      <c r="AH750" s="116"/>
      <c r="AI750" s="116"/>
      <c r="AJ750" s="116"/>
      <c r="AK750" s="116"/>
      <c r="AL750" s="116"/>
      <c r="AM750" s="116"/>
      <c r="AN750" s="116"/>
      <c r="AO750" s="116"/>
      <c r="AP750" s="116"/>
      <c r="AQ750" s="116"/>
      <c r="AR750" s="116"/>
      <c r="AS750" s="116"/>
      <c r="AT750" s="116"/>
      <c r="AU750" s="116"/>
      <c r="AV750" s="116"/>
      <c r="AW750" s="116"/>
      <c r="AX750" s="116"/>
      <c r="AY750" s="116"/>
      <c r="AZ750" s="116"/>
      <c r="BA750" s="116"/>
      <c r="BB750" s="116"/>
      <c r="BC750" s="116"/>
      <c r="BD750" s="116"/>
      <c r="BE750" s="116"/>
      <c r="BF750" s="116"/>
      <c r="BG750" s="116"/>
      <c r="BH750" s="124"/>
      <c r="BI750" s="124"/>
      <c r="BJ750" s="116"/>
      <c r="BK750" s="116"/>
      <c r="BL750" s="116"/>
      <c r="BM750" s="116"/>
      <c r="BN750" s="116"/>
      <c r="BO750" s="116"/>
      <c r="BP750" s="125"/>
      <c r="BQ750" s="116"/>
    </row>
    <row r="751">
      <c r="A751" s="116"/>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c r="AA751" s="116"/>
      <c r="AB751" s="116"/>
      <c r="AC751" s="116"/>
      <c r="AD751" s="116"/>
      <c r="AE751" s="116"/>
      <c r="AF751" s="116"/>
      <c r="AG751" s="116"/>
      <c r="AH751" s="116"/>
      <c r="AI751" s="116"/>
      <c r="AJ751" s="116"/>
      <c r="AK751" s="116"/>
      <c r="AL751" s="116"/>
      <c r="AM751" s="116"/>
      <c r="AN751" s="116"/>
      <c r="AO751" s="116"/>
      <c r="AP751" s="116"/>
      <c r="AQ751" s="116"/>
      <c r="AR751" s="116"/>
      <c r="AS751" s="116"/>
      <c r="AT751" s="116"/>
      <c r="AU751" s="116"/>
      <c r="AV751" s="116"/>
      <c r="AW751" s="116"/>
      <c r="AX751" s="116"/>
      <c r="AY751" s="116"/>
      <c r="AZ751" s="116"/>
      <c r="BA751" s="116"/>
      <c r="BB751" s="116"/>
      <c r="BC751" s="116"/>
      <c r="BD751" s="116"/>
      <c r="BE751" s="116"/>
      <c r="BF751" s="116"/>
      <c r="BG751" s="116"/>
      <c r="BH751" s="124"/>
      <c r="BI751" s="124"/>
      <c r="BJ751" s="116"/>
      <c r="BK751" s="116"/>
      <c r="BL751" s="116"/>
      <c r="BM751" s="116"/>
      <c r="BN751" s="116"/>
      <c r="BO751" s="116"/>
      <c r="BP751" s="125"/>
      <c r="BQ751" s="116"/>
    </row>
    <row r="752">
      <c r="A752" s="116"/>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c r="AA752" s="116"/>
      <c r="AB752" s="116"/>
      <c r="AC752" s="116"/>
      <c r="AD752" s="116"/>
      <c r="AE752" s="116"/>
      <c r="AF752" s="116"/>
      <c r="AG752" s="116"/>
      <c r="AH752" s="116"/>
      <c r="AI752" s="116"/>
      <c r="AJ752" s="116"/>
      <c r="AK752" s="116"/>
      <c r="AL752" s="116"/>
      <c r="AM752" s="116"/>
      <c r="AN752" s="116"/>
      <c r="AO752" s="116"/>
      <c r="AP752" s="116"/>
      <c r="AQ752" s="116"/>
      <c r="AR752" s="116"/>
      <c r="AS752" s="116"/>
      <c r="AT752" s="116"/>
      <c r="AU752" s="116"/>
      <c r="AV752" s="116"/>
      <c r="AW752" s="116"/>
      <c r="AX752" s="116"/>
      <c r="AY752" s="116"/>
      <c r="AZ752" s="116"/>
      <c r="BA752" s="116"/>
      <c r="BB752" s="116"/>
      <c r="BC752" s="116"/>
      <c r="BD752" s="116"/>
      <c r="BE752" s="116"/>
      <c r="BF752" s="116"/>
      <c r="BG752" s="116"/>
      <c r="BH752" s="124"/>
      <c r="BI752" s="124"/>
      <c r="BJ752" s="116"/>
      <c r="BK752" s="116"/>
      <c r="BL752" s="116"/>
      <c r="BM752" s="116"/>
      <c r="BN752" s="116"/>
      <c r="BO752" s="116"/>
      <c r="BP752" s="125"/>
      <c r="BQ752" s="116"/>
    </row>
    <row r="753">
      <c r="A753" s="116"/>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c r="AA753" s="116"/>
      <c r="AB753" s="116"/>
      <c r="AC753" s="116"/>
      <c r="AD753" s="116"/>
      <c r="AE753" s="116"/>
      <c r="AF753" s="116"/>
      <c r="AG753" s="116"/>
      <c r="AH753" s="116"/>
      <c r="AI753" s="116"/>
      <c r="AJ753" s="116"/>
      <c r="AK753" s="116"/>
      <c r="AL753" s="116"/>
      <c r="AM753" s="116"/>
      <c r="AN753" s="116"/>
      <c r="AO753" s="116"/>
      <c r="AP753" s="116"/>
      <c r="AQ753" s="116"/>
      <c r="AR753" s="116"/>
      <c r="AS753" s="116"/>
      <c r="AT753" s="116"/>
      <c r="AU753" s="116"/>
      <c r="AV753" s="116"/>
      <c r="AW753" s="116"/>
      <c r="AX753" s="116"/>
      <c r="AY753" s="116"/>
      <c r="AZ753" s="116"/>
      <c r="BA753" s="116"/>
      <c r="BB753" s="116"/>
      <c r="BC753" s="116"/>
      <c r="BD753" s="116"/>
      <c r="BE753" s="116"/>
      <c r="BF753" s="116"/>
      <c r="BG753" s="116"/>
      <c r="BH753" s="124"/>
      <c r="BI753" s="124"/>
      <c r="BJ753" s="116"/>
      <c r="BK753" s="116"/>
      <c r="BL753" s="116"/>
      <c r="BM753" s="116"/>
      <c r="BN753" s="116"/>
      <c r="BO753" s="116"/>
      <c r="BP753" s="125"/>
      <c r="BQ753" s="116"/>
    </row>
    <row r="754">
      <c r="A754" s="116"/>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c r="AA754" s="116"/>
      <c r="AB754" s="116"/>
      <c r="AC754" s="116"/>
      <c r="AD754" s="116"/>
      <c r="AE754" s="116"/>
      <c r="AF754" s="116"/>
      <c r="AG754" s="116"/>
      <c r="AH754" s="116"/>
      <c r="AI754" s="116"/>
      <c r="AJ754" s="116"/>
      <c r="AK754" s="116"/>
      <c r="AL754" s="116"/>
      <c r="AM754" s="116"/>
      <c r="AN754" s="116"/>
      <c r="AO754" s="116"/>
      <c r="AP754" s="116"/>
      <c r="AQ754" s="116"/>
      <c r="AR754" s="116"/>
      <c r="AS754" s="116"/>
      <c r="AT754" s="116"/>
      <c r="AU754" s="116"/>
      <c r="AV754" s="116"/>
      <c r="AW754" s="116"/>
      <c r="AX754" s="116"/>
      <c r="AY754" s="116"/>
      <c r="AZ754" s="116"/>
      <c r="BA754" s="116"/>
      <c r="BB754" s="116"/>
      <c r="BC754" s="116"/>
      <c r="BD754" s="116"/>
      <c r="BE754" s="116"/>
      <c r="BF754" s="116"/>
      <c r="BG754" s="116"/>
      <c r="BH754" s="124"/>
      <c r="BI754" s="124"/>
      <c r="BJ754" s="116"/>
      <c r="BK754" s="116"/>
      <c r="BL754" s="116"/>
      <c r="BM754" s="116"/>
      <c r="BN754" s="116"/>
      <c r="BO754" s="116"/>
      <c r="BP754" s="125"/>
      <c r="BQ754" s="116"/>
    </row>
    <row r="755">
      <c r="A755" s="116"/>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c r="AA755" s="116"/>
      <c r="AB755" s="116"/>
      <c r="AC755" s="116"/>
      <c r="AD755" s="116"/>
      <c r="AE755" s="116"/>
      <c r="AF755" s="116"/>
      <c r="AG755" s="116"/>
      <c r="AH755" s="116"/>
      <c r="AI755" s="116"/>
      <c r="AJ755" s="116"/>
      <c r="AK755" s="116"/>
      <c r="AL755" s="116"/>
      <c r="AM755" s="116"/>
      <c r="AN755" s="116"/>
      <c r="AO755" s="116"/>
      <c r="AP755" s="116"/>
      <c r="AQ755" s="116"/>
      <c r="AR755" s="116"/>
      <c r="AS755" s="116"/>
      <c r="AT755" s="116"/>
      <c r="AU755" s="116"/>
      <c r="AV755" s="116"/>
      <c r="AW755" s="116"/>
      <c r="AX755" s="116"/>
      <c r="AY755" s="116"/>
      <c r="AZ755" s="116"/>
      <c r="BA755" s="116"/>
      <c r="BB755" s="116"/>
      <c r="BC755" s="116"/>
      <c r="BD755" s="116"/>
      <c r="BE755" s="116"/>
      <c r="BF755" s="116"/>
      <c r="BG755" s="116"/>
      <c r="BH755" s="124"/>
      <c r="BI755" s="124"/>
      <c r="BJ755" s="116"/>
      <c r="BK755" s="116"/>
      <c r="BL755" s="116"/>
      <c r="BM755" s="116"/>
      <c r="BN755" s="116"/>
      <c r="BO755" s="116"/>
      <c r="BP755" s="125"/>
      <c r="BQ755" s="116"/>
    </row>
    <row r="756">
      <c r="A756" s="11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c r="AA756" s="116"/>
      <c r="AB756" s="116"/>
      <c r="AC756" s="116"/>
      <c r="AD756" s="116"/>
      <c r="AE756" s="116"/>
      <c r="AF756" s="116"/>
      <c r="AG756" s="116"/>
      <c r="AH756" s="116"/>
      <c r="AI756" s="116"/>
      <c r="AJ756" s="116"/>
      <c r="AK756" s="116"/>
      <c r="AL756" s="116"/>
      <c r="AM756" s="116"/>
      <c r="AN756" s="116"/>
      <c r="AO756" s="116"/>
      <c r="AP756" s="116"/>
      <c r="AQ756" s="116"/>
      <c r="AR756" s="116"/>
      <c r="AS756" s="116"/>
      <c r="AT756" s="116"/>
      <c r="AU756" s="116"/>
      <c r="AV756" s="116"/>
      <c r="AW756" s="116"/>
      <c r="AX756" s="116"/>
      <c r="AY756" s="116"/>
      <c r="AZ756" s="116"/>
      <c r="BA756" s="116"/>
      <c r="BB756" s="116"/>
      <c r="BC756" s="116"/>
      <c r="BD756" s="116"/>
      <c r="BE756" s="116"/>
      <c r="BF756" s="116"/>
      <c r="BG756" s="116"/>
      <c r="BH756" s="124"/>
      <c r="BI756" s="124"/>
      <c r="BJ756" s="116"/>
      <c r="BK756" s="116"/>
      <c r="BL756" s="116"/>
      <c r="BM756" s="116"/>
      <c r="BN756" s="116"/>
      <c r="BO756" s="116"/>
      <c r="BP756" s="125"/>
      <c r="BQ756" s="116"/>
    </row>
    <row r="757">
      <c r="A757" s="116"/>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c r="AA757" s="116"/>
      <c r="AB757" s="116"/>
      <c r="AC757" s="116"/>
      <c r="AD757" s="116"/>
      <c r="AE757" s="116"/>
      <c r="AF757" s="116"/>
      <c r="AG757" s="116"/>
      <c r="AH757" s="116"/>
      <c r="AI757" s="116"/>
      <c r="AJ757" s="116"/>
      <c r="AK757" s="116"/>
      <c r="AL757" s="116"/>
      <c r="AM757" s="116"/>
      <c r="AN757" s="116"/>
      <c r="AO757" s="116"/>
      <c r="AP757" s="116"/>
      <c r="AQ757" s="116"/>
      <c r="AR757" s="116"/>
      <c r="AS757" s="116"/>
      <c r="AT757" s="116"/>
      <c r="AU757" s="116"/>
      <c r="AV757" s="116"/>
      <c r="AW757" s="116"/>
      <c r="AX757" s="116"/>
      <c r="AY757" s="116"/>
      <c r="AZ757" s="116"/>
      <c r="BA757" s="116"/>
      <c r="BB757" s="116"/>
      <c r="BC757" s="116"/>
      <c r="BD757" s="116"/>
      <c r="BE757" s="116"/>
      <c r="BF757" s="116"/>
      <c r="BG757" s="116"/>
      <c r="BH757" s="124"/>
      <c r="BI757" s="124"/>
      <c r="BJ757" s="116"/>
      <c r="BK757" s="116"/>
      <c r="BL757" s="116"/>
      <c r="BM757" s="116"/>
      <c r="BN757" s="116"/>
      <c r="BO757" s="116"/>
      <c r="BP757" s="125"/>
      <c r="BQ757" s="116"/>
    </row>
    <row r="758">
      <c r="A758" s="116"/>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c r="AA758" s="116"/>
      <c r="AB758" s="116"/>
      <c r="AC758" s="116"/>
      <c r="AD758" s="116"/>
      <c r="AE758" s="116"/>
      <c r="AF758" s="116"/>
      <c r="AG758" s="116"/>
      <c r="AH758" s="116"/>
      <c r="AI758" s="116"/>
      <c r="AJ758" s="116"/>
      <c r="AK758" s="116"/>
      <c r="AL758" s="116"/>
      <c r="AM758" s="116"/>
      <c r="AN758" s="116"/>
      <c r="AO758" s="116"/>
      <c r="AP758" s="116"/>
      <c r="AQ758" s="116"/>
      <c r="AR758" s="116"/>
      <c r="AS758" s="116"/>
      <c r="AT758" s="116"/>
      <c r="AU758" s="116"/>
      <c r="AV758" s="116"/>
      <c r="AW758" s="116"/>
      <c r="AX758" s="116"/>
      <c r="AY758" s="116"/>
      <c r="AZ758" s="116"/>
      <c r="BA758" s="116"/>
      <c r="BB758" s="116"/>
      <c r="BC758" s="116"/>
      <c r="BD758" s="116"/>
      <c r="BE758" s="116"/>
      <c r="BF758" s="116"/>
      <c r="BG758" s="116"/>
      <c r="BH758" s="124"/>
      <c r="BI758" s="124"/>
      <c r="BJ758" s="116"/>
      <c r="BK758" s="116"/>
      <c r="BL758" s="116"/>
      <c r="BM758" s="116"/>
      <c r="BN758" s="116"/>
      <c r="BO758" s="116"/>
      <c r="BP758" s="125"/>
      <c r="BQ758" s="116"/>
    </row>
    <row r="759">
      <c r="A759" s="116"/>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c r="AA759" s="116"/>
      <c r="AB759" s="116"/>
      <c r="AC759" s="116"/>
      <c r="AD759" s="116"/>
      <c r="AE759" s="116"/>
      <c r="AF759" s="116"/>
      <c r="AG759" s="116"/>
      <c r="AH759" s="116"/>
      <c r="AI759" s="116"/>
      <c r="AJ759" s="116"/>
      <c r="AK759" s="116"/>
      <c r="AL759" s="116"/>
      <c r="AM759" s="116"/>
      <c r="AN759" s="116"/>
      <c r="AO759" s="116"/>
      <c r="AP759" s="116"/>
      <c r="AQ759" s="116"/>
      <c r="AR759" s="116"/>
      <c r="AS759" s="116"/>
      <c r="AT759" s="116"/>
      <c r="AU759" s="116"/>
      <c r="AV759" s="116"/>
      <c r="AW759" s="116"/>
      <c r="AX759" s="116"/>
      <c r="AY759" s="116"/>
      <c r="AZ759" s="116"/>
      <c r="BA759" s="116"/>
      <c r="BB759" s="116"/>
      <c r="BC759" s="116"/>
      <c r="BD759" s="116"/>
      <c r="BE759" s="116"/>
      <c r="BF759" s="116"/>
      <c r="BG759" s="116"/>
      <c r="BH759" s="124"/>
      <c r="BI759" s="124"/>
      <c r="BJ759" s="116"/>
      <c r="BK759" s="116"/>
      <c r="BL759" s="116"/>
      <c r="BM759" s="116"/>
      <c r="BN759" s="116"/>
      <c r="BO759" s="116"/>
      <c r="BP759" s="125"/>
      <c r="BQ759" s="116"/>
    </row>
    <row r="760">
      <c r="A760" s="116"/>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c r="AA760" s="116"/>
      <c r="AB760" s="116"/>
      <c r="AC760" s="116"/>
      <c r="AD760" s="116"/>
      <c r="AE760" s="116"/>
      <c r="AF760" s="116"/>
      <c r="AG760" s="116"/>
      <c r="AH760" s="116"/>
      <c r="AI760" s="116"/>
      <c r="AJ760" s="116"/>
      <c r="AK760" s="116"/>
      <c r="AL760" s="116"/>
      <c r="AM760" s="116"/>
      <c r="AN760" s="116"/>
      <c r="AO760" s="116"/>
      <c r="AP760" s="116"/>
      <c r="AQ760" s="116"/>
      <c r="AR760" s="116"/>
      <c r="AS760" s="116"/>
      <c r="AT760" s="116"/>
      <c r="AU760" s="116"/>
      <c r="AV760" s="116"/>
      <c r="AW760" s="116"/>
      <c r="AX760" s="116"/>
      <c r="AY760" s="116"/>
      <c r="AZ760" s="116"/>
      <c r="BA760" s="116"/>
      <c r="BB760" s="116"/>
      <c r="BC760" s="116"/>
      <c r="BD760" s="116"/>
      <c r="BE760" s="116"/>
      <c r="BF760" s="116"/>
      <c r="BG760" s="116"/>
      <c r="BH760" s="124"/>
      <c r="BI760" s="124"/>
      <c r="BJ760" s="116"/>
      <c r="BK760" s="116"/>
      <c r="BL760" s="116"/>
      <c r="BM760" s="116"/>
      <c r="BN760" s="116"/>
      <c r="BO760" s="116"/>
      <c r="BP760" s="125"/>
      <c r="BQ760" s="116"/>
    </row>
    <row r="761">
      <c r="A761" s="116"/>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c r="AA761" s="116"/>
      <c r="AB761" s="116"/>
      <c r="AC761" s="116"/>
      <c r="AD761" s="116"/>
      <c r="AE761" s="116"/>
      <c r="AF761" s="116"/>
      <c r="AG761" s="116"/>
      <c r="AH761" s="116"/>
      <c r="AI761" s="116"/>
      <c r="AJ761" s="116"/>
      <c r="AK761" s="116"/>
      <c r="AL761" s="116"/>
      <c r="AM761" s="116"/>
      <c r="AN761" s="116"/>
      <c r="AO761" s="116"/>
      <c r="AP761" s="116"/>
      <c r="AQ761" s="116"/>
      <c r="AR761" s="116"/>
      <c r="AS761" s="116"/>
      <c r="AT761" s="116"/>
      <c r="AU761" s="116"/>
      <c r="AV761" s="116"/>
      <c r="AW761" s="116"/>
      <c r="AX761" s="116"/>
      <c r="AY761" s="116"/>
      <c r="AZ761" s="116"/>
      <c r="BA761" s="116"/>
      <c r="BB761" s="116"/>
      <c r="BC761" s="116"/>
      <c r="BD761" s="116"/>
      <c r="BE761" s="116"/>
      <c r="BF761" s="116"/>
      <c r="BG761" s="116"/>
      <c r="BH761" s="124"/>
      <c r="BI761" s="124"/>
      <c r="BJ761" s="116"/>
      <c r="BK761" s="116"/>
      <c r="BL761" s="116"/>
      <c r="BM761" s="116"/>
      <c r="BN761" s="116"/>
      <c r="BO761" s="116"/>
      <c r="BP761" s="125"/>
      <c r="BQ761" s="116"/>
    </row>
    <row r="762">
      <c r="A762" s="116"/>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c r="AA762" s="116"/>
      <c r="AB762" s="116"/>
      <c r="AC762" s="116"/>
      <c r="AD762" s="116"/>
      <c r="AE762" s="116"/>
      <c r="AF762" s="116"/>
      <c r="AG762" s="116"/>
      <c r="AH762" s="116"/>
      <c r="AI762" s="116"/>
      <c r="AJ762" s="116"/>
      <c r="AK762" s="116"/>
      <c r="AL762" s="116"/>
      <c r="AM762" s="116"/>
      <c r="AN762" s="116"/>
      <c r="AO762" s="116"/>
      <c r="AP762" s="116"/>
      <c r="AQ762" s="116"/>
      <c r="AR762" s="116"/>
      <c r="AS762" s="116"/>
      <c r="AT762" s="116"/>
      <c r="AU762" s="116"/>
      <c r="AV762" s="116"/>
      <c r="AW762" s="116"/>
      <c r="AX762" s="116"/>
      <c r="AY762" s="116"/>
      <c r="AZ762" s="116"/>
      <c r="BA762" s="116"/>
      <c r="BB762" s="116"/>
      <c r="BC762" s="116"/>
      <c r="BD762" s="116"/>
      <c r="BE762" s="116"/>
      <c r="BF762" s="116"/>
      <c r="BG762" s="116"/>
      <c r="BH762" s="124"/>
      <c r="BI762" s="124"/>
      <c r="BJ762" s="116"/>
      <c r="BK762" s="116"/>
      <c r="BL762" s="116"/>
      <c r="BM762" s="116"/>
      <c r="BN762" s="116"/>
      <c r="BO762" s="116"/>
      <c r="BP762" s="125"/>
      <c r="BQ762" s="116"/>
    </row>
    <row r="763">
      <c r="A763" s="116"/>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c r="AA763" s="116"/>
      <c r="AB763" s="116"/>
      <c r="AC763" s="116"/>
      <c r="AD763" s="116"/>
      <c r="AE763" s="116"/>
      <c r="AF763" s="116"/>
      <c r="AG763" s="116"/>
      <c r="AH763" s="116"/>
      <c r="AI763" s="116"/>
      <c r="AJ763" s="116"/>
      <c r="AK763" s="116"/>
      <c r="AL763" s="116"/>
      <c r="AM763" s="116"/>
      <c r="AN763" s="116"/>
      <c r="AO763" s="116"/>
      <c r="AP763" s="116"/>
      <c r="AQ763" s="116"/>
      <c r="AR763" s="116"/>
      <c r="AS763" s="116"/>
      <c r="AT763" s="116"/>
      <c r="AU763" s="116"/>
      <c r="AV763" s="116"/>
      <c r="AW763" s="116"/>
      <c r="AX763" s="116"/>
      <c r="AY763" s="116"/>
      <c r="AZ763" s="116"/>
      <c r="BA763" s="116"/>
      <c r="BB763" s="116"/>
      <c r="BC763" s="116"/>
      <c r="BD763" s="116"/>
      <c r="BE763" s="116"/>
      <c r="BF763" s="116"/>
      <c r="BG763" s="116"/>
      <c r="BH763" s="124"/>
      <c r="BI763" s="124"/>
      <c r="BJ763" s="116"/>
      <c r="BK763" s="116"/>
      <c r="BL763" s="116"/>
      <c r="BM763" s="116"/>
      <c r="BN763" s="116"/>
      <c r="BO763" s="116"/>
      <c r="BP763" s="125"/>
      <c r="BQ763" s="116"/>
    </row>
    <row r="764">
      <c r="A764" s="116"/>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c r="AA764" s="116"/>
      <c r="AB764" s="116"/>
      <c r="AC764" s="116"/>
      <c r="AD764" s="116"/>
      <c r="AE764" s="116"/>
      <c r="AF764" s="116"/>
      <c r="AG764" s="116"/>
      <c r="AH764" s="116"/>
      <c r="AI764" s="116"/>
      <c r="AJ764" s="116"/>
      <c r="AK764" s="116"/>
      <c r="AL764" s="116"/>
      <c r="AM764" s="116"/>
      <c r="AN764" s="116"/>
      <c r="AO764" s="116"/>
      <c r="AP764" s="116"/>
      <c r="AQ764" s="116"/>
      <c r="AR764" s="116"/>
      <c r="AS764" s="116"/>
      <c r="AT764" s="116"/>
      <c r="AU764" s="116"/>
      <c r="AV764" s="116"/>
      <c r="AW764" s="116"/>
      <c r="AX764" s="116"/>
      <c r="AY764" s="116"/>
      <c r="AZ764" s="116"/>
      <c r="BA764" s="116"/>
      <c r="BB764" s="116"/>
      <c r="BC764" s="116"/>
      <c r="BD764" s="116"/>
      <c r="BE764" s="116"/>
      <c r="BF764" s="116"/>
      <c r="BG764" s="116"/>
      <c r="BH764" s="124"/>
      <c r="BI764" s="124"/>
      <c r="BJ764" s="116"/>
      <c r="BK764" s="116"/>
      <c r="BL764" s="116"/>
      <c r="BM764" s="116"/>
      <c r="BN764" s="116"/>
      <c r="BO764" s="116"/>
      <c r="BP764" s="125"/>
      <c r="BQ764" s="116"/>
    </row>
    <row r="765">
      <c r="A765" s="116"/>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c r="AA765" s="116"/>
      <c r="AB765" s="116"/>
      <c r="AC765" s="116"/>
      <c r="AD765" s="116"/>
      <c r="AE765" s="116"/>
      <c r="AF765" s="116"/>
      <c r="AG765" s="116"/>
      <c r="AH765" s="116"/>
      <c r="AI765" s="116"/>
      <c r="AJ765" s="116"/>
      <c r="AK765" s="116"/>
      <c r="AL765" s="116"/>
      <c r="AM765" s="116"/>
      <c r="AN765" s="116"/>
      <c r="AO765" s="116"/>
      <c r="AP765" s="116"/>
      <c r="AQ765" s="116"/>
      <c r="AR765" s="116"/>
      <c r="AS765" s="116"/>
      <c r="AT765" s="116"/>
      <c r="AU765" s="116"/>
      <c r="AV765" s="116"/>
      <c r="AW765" s="116"/>
      <c r="AX765" s="116"/>
      <c r="AY765" s="116"/>
      <c r="AZ765" s="116"/>
      <c r="BA765" s="116"/>
      <c r="BB765" s="116"/>
      <c r="BC765" s="116"/>
      <c r="BD765" s="116"/>
      <c r="BE765" s="116"/>
      <c r="BF765" s="116"/>
      <c r="BG765" s="116"/>
      <c r="BH765" s="124"/>
      <c r="BI765" s="124"/>
      <c r="BJ765" s="116"/>
      <c r="BK765" s="116"/>
      <c r="BL765" s="116"/>
      <c r="BM765" s="116"/>
      <c r="BN765" s="116"/>
      <c r="BO765" s="116"/>
      <c r="BP765" s="125"/>
      <c r="BQ765" s="116"/>
    </row>
    <row r="766">
      <c r="A766" s="11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c r="AA766" s="116"/>
      <c r="AB766" s="116"/>
      <c r="AC766" s="116"/>
      <c r="AD766" s="116"/>
      <c r="AE766" s="116"/>
      <c r="AF766" s="116"/>
      <c r="AG766" s="116"/>
      <c r="AH766" s="116"/>
      <c r="AI766" s="116"/>
      <c r="AJ766" s="116"/>
      <c r="AK766" s="116"/>
      <c r="AL766" s="116"/>
      <c r="AM766" s="116"/>
      <c r="AN766" s="116"/>
      <c r="AO766" s="116"/>
      <c r="AP766" s="116"/>
      <c r="AQ766" s="116"/>
      <c r="AR766" s="116"/>
      <c r="AS766" s="116"/>
      <c r="AT766" s="116"/>
      <c r="AU766" s="116"/>
      <c r="AV766" s="116"/>
      <c r="AW766" s="116"/>
      <c r="AX766" s="116"/>
      <c r="AY766" s="116"/>
      <c r="AZ766" s="116"/>
      <c r="BA766" s="116"/>
      <c r="BB766" s="116"/>
      <c r="BC766" s="116"/>
      <c r="BD766" s="116"/>
      <c r="BE766" s="116"/>
      <c r="BF766" s="116"/>
      <c r="BG766" s="116"/>
      <c r="BH766" s="124"/>
      <c r="BI766" s="124"/>
      <c r="BJ766" s="116"/>
      <c r="BK766" s="116"/>
      <c r="BL766" s="116"/>
      <c r="BM766" s="116"/>
      <c r="BN766" s="116"/>
      <c r="BO766" s="116"/>
      <c r="BP766" s="125"/>
      <c r="BQ766" s="116"/>
    </row>
    <row r="767">
      <c r="A767" s="116"/>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c r="AA767" s="116"/>
      <c r="AB767" s="116"/>
      <c r="AC767" s="116"/>
      <c r="AD767" s="116"/>
      <c r="AE767" s="116"/>
      <c r="AF767" s="116"/>
      <c r="AG767" s="116"/>
      <c r="AH767" s="116"/>
      <c r="AI767" s="116"/>
      <c r="AJ767" s="116"/>
      <c r="AK767" s="116"/>
      <c r="AL767" s="116"/>
      <c r="AM767" s="116"/>
      <c r="AN767" s="116"/>
      <c r="AO767" s="116"/>
      <c r="AP767" s="116"/>
      <c r="AQ767" s="116"/>
      <c r="AR767" s="116"/>
      <c r="AS767" s="116"/>
      <c r="AT767" s="116"/>
      <c r="AU767" s="116"/>
      <c r="AV767" s="116"/>
      <c r="AW767" s="116"/>
      <c r="AX767" s="116"/>
      <c r="AY767" s="116"/>
      <c r="AZ767" s="116"/>
      <c r="BA767" s="116"/>
      <c r="BB767" s="116"/>
      <c r="BC767" s="116"/>
      <c r="BD767" s="116"/>
      <c r="BE767" s="116"/>
      <c r="BF767" s="116"/>
      <c r="BG767" s="116"/>
      <c r="BH767" s="124"/>
      <c r="BI767" s="124"/>
      <c r="BJ767" s="116"/>
      <c r="BK767" s="116"/>
      <c r="BL767" s="116"/>
      <c r="BM767" s="116"/>
      <c r="BN767" s="116"/>
      <c r="BO767" s="116"/>
      <c r="BP767" s="125"/>
      <c r="BQ767" s="116"/>
    </row>
    <row r="768">
      <c r="A768" s="116"/>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c r="AA768" s="116"/>
      <c r="AB768" s="116"/>
      <c r="AC768" s="116"/>
      <c r="AD768" s="116"/>
      <c r="AE768" s="116"/>
      <c r="AF768" s="116"/>
      <c r="AG768" s="116"/>
      <c r="AH768" s="116"/>
      <c r="AI768" s="116"/>
      <c r="AJ768" s="116"/>
      <c r="AK768" s="116"/>
      <c r="AL768" s="116"/>
      <c r="AM768" s="116"/>
      <c r="AN768" s="116"/>
      <c r="AO768" s="116"/>
      <c r="AP768" s="116"/>
      <c r="AQ768" s="116"/>
      <c r="AR768" s="116"/>
      <c r="AS768" s="116"/>
      <c r="AT768" s="116"/>
      <c r="AU768" s="116"/>
      <c r="AV768" s="116"/>
      <c r="AW768" s="116"/>
      <c r="AX768" s="116"/>
      <c r="AY768" s="116"/>
      <c r="AZ768" s="116"/>
      <c r="BA768" s="116"/>
      <c r="BB768" s="116"/>
      <c r="BC768" s="116"/>
      <c r="BD768" s="116"/>
      <c r="BE768" s="116"/>
      <c r="BF768" s="116"/>
      <c r="BG768" s="116"/>
      <c r="BH768" s="124"/>
      <c r="BI768" s="124"/>
      <c r="BJ768" s="116"/>
      <c r="BK768" s="116"/>
      <c r="BL768" s="116"/>
      <c r="BM768" s="116"/>
      <c r="BN768" s="116"/>
      <c r="BO768" s="116"/>
      <c r="BP768" s="125"/>
      <c r="BQ768" s="116"/>
    </row>
    <row r="769">
      <c r="A769" s="116"/>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c r="AA769" s="116"/>
      <c r="AB769" s="116"/>
      <c r="AC769" s="116"/>
      <c r="AD769" s="116"/>
      <c r="AE769" s="116"/>
      <c r="AF769" s="116"/>
      <c r="AG769" s="116"/>
      <c r="AH769" s="116"/>
      <c r="AI769" s="116"/>
      <c r="AJ769" s="116"/>
      <c r="AK769" s="116"/>
      <c r="AL769" s="116"/>
      <c r="AM769" s="116"/>
      <c r="AN769" s="116"/>
      <c r="AO769" s="116"/>
      <c r="AP769" s="116"/>
      <c r="AQ769" s="116"/>
      <c r="AR769" s="116"/>
      <c r="AS769" s="116"/>
      <c r="AT769" s="116"/>
      <c r="AU769" s="116"/>
      <c r="AV769" s="116"/>
      <c r="AW769" s="116"/>
      <c r="AX769" s="116"/>
      <c r="AY769" s="116"/>
      <c r="AZ769" s="116"/>
      <c r="BA769" s="116"/>
      <c r="BB769" s="116"/>
      <c r="BC769" s="116"/>
      <c r="BD769" s="116"/>
      <c r="BE769" s="116"/>
      <c r="BF769" s="116"/>
      <c r="BG769" s="116"/>
      <c r="BH769" s="124"/>
      <c r="BI769" s="124"/>
      <c r="BJ769" s="116"/>
      <c r="BK769" s="116"/>
      <c r="BL769" s="116"/>
      <c r="BM769" s="116"/>
      <c r="BN769" s="116"/>
      <c r="BO769" s="116"/>
      <c r="BP769" s="125"/>
      <c r="BQ769" s="116"/>
    </row>
    <row r="770">
      <c r="A770" s="116"/>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c r="AA770" s="116"/>
      <c r="AB770" s="116"/>
      <c r="AC770" s="116"/>
      <c r="AD770" s="116"/>
      <c r="AE770" s="116"/>
      <c r="AF770" s="116"/>
      <c r="AG770" s="116"/>
      <c r="AH770" s="116"/>
      <c r="AI770" s="116"/>
      <c r="AJ770" s="116"/>
      <c r="AK770" s="116"/>
      <c r="AL770" s="116"/>
      <c r="AM770" s="116"/>
      <c r="AN770" s="116"/>
      <c r="AO770" s="116"/>
      <c r="AP770" s="116"/>
      <c r="AQ770" s="116"/>
      <c r="AR770" s="116"/>
      <c r="AS770" s="116"/>
      <c r="AT770" s="116"/>
      <c r="AU770" s="116"/>
      <c r="AV770" s="116"/>
      <c r="AW770" s="116"/>
      <c r="AX770" s="116"/>
      <c r="AY770" s="116"/>
      <c r="AZ770" s="116"/>
      <c r="BA770" s="116"/>
      <c r="BB770" s="116"/>
      <c r="BC770" s="116"/>
      <c r="BD770" s="116"/>
      <c r="BE770" s="116"/>
      <c r="BF770" s="116"/>
      <c r="BG770" s="116"/>
      <c r="BH770" s="124"/>
      <c r="BI770" s="124"/>
      <c r="BJ770" s="116"/>
      <c r="BK770" s="116"/>
      <c r="BL770" s="116"/>
      <c r="BM770" s="116"/>
      <c r="BN770" s="116"/>
      <c r="BO770" s="116"/>
      <c r="BP770" s="125"/>
      <c r="BQ770" s="116"/>
    </row>
    <row r="771">
      <c r="A771" s="116"/>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c r="AA771" s="116"/>
      <c r="AB771" s="116"/>
      <c r="AC771" s="116"/>
      <c r="AD771" s="116"/>
      <c r="AE771" s="116"/>
      <c r="AF771" s="116"/>
      <c r="AG771" s="116"/>
      <c r="AH771" s="116"/>
      <c r="AI771" s="116"/>
      <c r="AJ771" s="116"/>
      <c r="AK771" s="116"/>
      <c r="AL771" s="116"/>
      <c r="AM771" s="116"/>
      <c r="AN771" s="116"/>
      <c r="AO771" s="116"/>
      <c r="AP771" s="116"/>
      <c r="AQ771" s="116"/>
      <c r="AR771" s="116"/>
      <c r="AS771" s="116"/>
      <c r="AT771" s="116"/>
      <c r="AU771" s="116"/>
      <c r="AV771" s="116"/>
      <c r="AW771" s="116"/>
      <c r="AX771" s="116"/>
      <c r="AY771" s="116"/>
      <c r="AZ771" s="116"/>
      <c r="BA771" s="116"/>
      <c r="BB771" s="116"/>
      <c r="BC771" s="116"/>
      <c r="BD771" s="116"/>
      <c r="BE771" s="116"/>
      <c r="BF771" s="116"/>
      <c r="BG771" s="116"/>
      <c r="BH771" s="124"/>
      <c r="BI771" s="124"/>
      <c r="BJ771" s="116"/>
      <c r="BK771" s="116"/>
      <c r="BL771" s="116"/>
      <c r="BM771" s="116"/>
      <c r="BN771" s="116"/>
      <c r="BO771" s="116"/>
      <c r="BP771" s="125"/>
      <c r="BQ771" s="116"/>
    </row>
    <row r="772">
      <c r="A772" s="116"/>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c r="AA772" s="116"/>
      <c r="AB772" s="116"/>
      <c r="AC772" s="116"/>
      <c r="AD772" s="116"/>
      <c r="AE772" s="116"/>
      <c r="AF772" s="116"/>
      <c r="AG772" s="116"/>
      <c r="AH772" s="116"/>
      <c r="AI772" s="116"/>
      <c r="AJ772" s="116"/>
      <c r="AK772" s="116"/>
      <c r="AL772" s="116"/>
      <c r="AM772" s="116"/>
      <c r="AN772" s="116"/>
      <c r="AO772" s="116"/>
      <c r="AP772" s="116"/>
      <c r="AQ772" s="116"/>
      <c r="AR772" s="116"/>
      <c r="AS772" s="116"/>
      <c r="AT772" s="116"/>
      <c r="AU772" s="116"/>
      <c r="AV772" s="116"/>
      <c r="AW772" s="116"/>
      <c r="AX772" s="116"/>
      <c r="AY772" s="116"/>
      <c r="AZ772" s="116"/>
      <c r="BA772" s="116"/>
      <c r="BB772" s="116"/>
      <c r="BC772" s="116"/>
      <c r="BD772" s="116"/>
      <c r="BE772" s="116"/>
      <c r="BF772" s="116"/>
      <c r="BG772" s="116"/>
      <c r="BH772" s="124"/>
      <c r="BI772" s="124"/>
      <c r="BJ772" s="116"/>
      <c r="BK772" s="116"/>
      <c r="BL772" s="116"/>
      <c r="BM772" s="116"/>
      <c r="BN772" s="116"/>
      <c r="BO772" s="116"/>
      <c r="BP772" s="125"/>
      <c r="BQ772" s="116"/>
    </row>
    <row r="773">
      <c r="A773" s="116"/>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c r="AA773" s="116"/>
      <c r="AB773" s="116"/>
      <c r="AC773" s="116"/>
      <c r="AD773" s="116"/>
      <c r="AE773" s="116"/>
      <c r="AF773" s="116"/>
      <c r="AG773" s="116"/>
      <c r="AH773" s="116"/>
      <c r="AI773" s="116"/>
      <c r="AJ773" s="116"/>
      <c r="AK773" s="116"/>
      <c r="AL773" s="116"/>
      <c r="AM773" s="116"/>
      <c r="AN773" s="116"/>
      <c r="AO773" s="116"/>
      <c r="AP773" s="116"/>
      <c r="AQ773" s="116"/>
      <c r="AR773" s="116"/>
      <c r="AS773" s="116"/>
      <c r="AT773" s="116"/>
      <c r="AU773" s="116"/>
      <c r="AV773" s="116"/>
      <c r="AW773" s="116"/>
      <c r="AX773" s="116"/>
      <c r="AY773" s="116"/>
      <c r="AZ773" s="116"/>
      <c r="BA773" s="116"/>
      <c r="BB773" s="116"/>
      <c r="BC773" s="116"/>
      <c r="BD773" s="116"/>
      <c r="BE773" s="116"/>
      <c r="BF773" s="116"/>
      <c r="BG773" s="116"/>
      <c r="BH773" s="124"/>
      <c r="BI773" s="124"/>
      <c r="BJ773" s="116"/>
      <c r="BK773" s="116"/>
      <c r="BL773" s="116"/>
      <c r="BM773" s="116"/>
      <c r="BN773" s="116"/>
      <c r="BO773" s="116"/>
      <c r="BP773" s="125"/>
      <c r="BQ773" s="116"/>
    </row>
    <row r="774">
      <c r="A774" s="116"/>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c r="AA774" s="116"/>
      <c r="AB774" s="116"/>
      <c r="AC774" s="116"/>
      <c r="AD774" s="116"/>
      <c r="AE774" s="116"/>
      <c r="AF774" s="116"/>
      <c r="AG774" s="116"/>
      <c r="AH774" s="116"/>
      <c r="AI774" s="116"/>
      <c r="AJ774" s="116"/>
      <c r="AK774" s="116"/>
      <c r="AL774" s="116"/>
      <c r="AM774" s="116"/>
      <c r="AN774" s="116"/>
      <c r="AO774" s="116"/>
      <c r="AP774" s="116"/>
      <c r="AQ774" s="116"/>
      <c r="AR774" s="116"/>
      <c r="AS774" s="116"/>
      <c r="AT774" s="116"/>
      <c r="AU774" s="116"/>
      <c r="AV774" s="116"/>
      <c r="AW774" s="116"/>
      <c r="AX774" s="116"/>
      <c r="AY774" s="116"/>
      <c r="AZ774" s="116"/>
      <c r="BA774" s="116"/>
      <c r="BB774" s="116"/>
      <c r="BC774" s="116"/>
      <c r="BD774" s="116"/>
      <c r="BE774" s="116"/>
      <c r="BF774" s="116"/>
      <c r="BG774" s="116"/>
      <c r="BH774" s="124"/>
      <c r="BI774" s="124"/>
      <c r="BJ774" s="116"/>
      <c r="BK774" s="116"/>
      <c r="BL774" s="116"/>
      <c r="BM774" s="116"/>
      <c r="BN774" s="116"/>
      <c r="BO774" s="116"/>
      <c r="BP774" s="125"/>
      <c r="BQ774" s="116"/>
    </row>
    <row r="775">
      <c r="A775" s="116"/>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c r="AA775" s="116"/>
      <c r="AB775" s="116"/>
      <c r="AC775" s="116"/>
      <c r="AD775" s="116"/>
      <c r="AE775" s="116"/>
      <c r="AF775" s="116"/>
      <c r="AG775" s="116"/>
      <c r="AH775" s="116"/>
      <c r="AI775" s="116"/>
      <c r="AJ775" s="116"/>
      <c r="AK775" s="116"/>
      <c r="AL775" s="116"/>
      <c r="AM775" s="116"/>
      <c r="AN775" s="116"/>
      <c r="AO775" s="116"/>
      <c r="AP775" s="116"/>
      <c r="AQ775" s="116"/>
      <c r="AR775" s="116"/>
      <c r="AS775" s="116"/>
      <c r="AT775" s="116"/>
      <c r="AU775" s="116"/>
      <c r="AV775" s="116"/>
      <c r="AW775" s="116"/>
      <c r="AX775" s="116"/>
      <c r="AY775" s="116"/>
      <c r="AZ775" s="116"/>
      <c r="BA775" s="116"/>
      <c r="BB775" s="116"/>
      <c r="BC775" s="116"/>
      <c r="BD775" s="116"/>
      <c r="BE775" s="116"/>
      <c r="BF775" s="116"/>
      <c r="BG775" s="116"/>
      <c r="BH775" s="124"/>
      <c r="BI775" s="124"/>
      <c r="BJ775" s="116"/>
      <c r="BK775" s="116"/>
      <c r="BL775" s="116"/>
      <c r="BM775" s="116"/>
      <c r="BN775" s="116"/>
      <c r="BO775" s="116"/>
      <c r="BP775" s="125"/>
      <c r="BQ775" s="116"/>
    </row>
    <row r="776">
      <c r="A776" s="11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c r="AA776" s="116"/>
      <c r="AB776" s="116"/>
      <c r="AC776" s="116"/>
      <c r="AD776" s="116"/>
      <c r="AE776" s="116"/>
      <c r="AF776" s="116"/>
      <c r="AG776" s="116"/>
      <c r="AH776" s="116"/>
      <c r="AI776" s="116"/>
      <c r="AJ776" s="116"/>
      <c r="AK776" s="116"/>
      <c r="AL776" s="116"/>
      <c r="AM776" s="116"/>
      <c r="AN776" s="116"/>
      <c r="AO776" s="116"/>
      <c r="AP776" s="116"/>
      <c r="AQ776" s="116"/>
      <c r="AR776" s="116"/>
      <c r="AS776" s="116"/>
      <c r="AT776" s="116"/>
      <c r="AU776" s="116"/>
      <c r="AV776" s="116"/>
      <c r="AW776" s="116"/>
      <c r="AX776" s="116"/>
      <c r="AY776" s="116"/>
      <c r="AZ776" s="116"/>
      <c r="BA776" s="116"/>
      <c r="BB776" s="116"/>
      <c r="BC776" s="116"/>
      <c r="BD776" s="116"/>
      <c r="BE776" s="116"/>
      <c r="BF776" s="116"/>
      <c r="BG776" s="116"/>
      <c r="BH776" s="124"/>
      <c r="BI776" s="124"/>
      <c r="BJ776" s="116"/>
      <c r="BK776" s="116"/>
      <c r="BL776" s="116"/>
      <c r="BM776" s="116"/>
      <c r="BN776" s="116"/>
      <c r="BO776" s="116"/>
      <c r="BP776" s="125"/>
      <c r="BQ776" s="116"/>
    </row>
    <row r="777">
      <c r="A777" s="116"/>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c r="AA777" s="116"/>
      <c r="AB777" s="116"/>
      <c r="AC777" s="116"/>
      <c r="AD777" s="116"/>
      <c r="AE777" s="116"/>
      <c r="AF777" s="116"/>
      <c r="AG777" s="116"/>
      <c r="AH777" s="116"/>
      <c r="AI777" s="116"/>
      <c r="AJ777" s="116"/>
      <c r="AK777" s="116"/>
      <c r="AL777" s="116"/>
      <c r="AM777" s="116"/>
      <c r="AN777" s="116"/>
      <c r="AO777" s="116"/>
      <c r="AP777" s="116"/>
      <c r="AQ777" s="116"/>
      <c r="AR777" s="116"/>
      <c r="AS777" s="116"/>
      <c r="AT777" s="116"/>
      <c r="AU777" s="116"/>
      <c r="AV777" s="116"/>
      <c r="AW777" s="116"/>
      <c r="AX777" s="116"/>
      <c r="AY777" s="116"/>
      <c r="AZ777" s="116"/>
      <c r="BA777" s="116"/>
      <c r="BB777" s="116"/>
      <c r="BC777" s="116"/>
      <c r="BD777" s="116"/>
      <c r="BE777" s="116"/>
      <c r="BF777" s="116"/>
      <c r="BG777" s="116"/>
      <c r="BH777" s="124"/>
      <c r="BI777" s="124"/>
      <c r="BJ777" s="116"/>
      <c r="BK777" s="116"/>
      <c r="BL777" s="116"/>
      <c r="BM777" s="116"/>
      <c r="BN777" s="116"/>
      <c r="BO777" s="116"/>
      <c r="BP777" s="125"/>
      <c r="BQ777" s="116"/>
    </row>
    <row r="778">
      <c r="A778" s="116"/>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c r="AA778" s="116"/>
      <c r="AB778" s="116"/>
      <c r="AC778" s="116"/>
      <c r="AD778" s="116"/>
      <c r="AE778" s="116"/>
      <c r="AF778" s="116"/>
      <c r="AG778" s="116"/>
      <c r="AH778" s="116"/>
      <c r="AI778" s="116"/>
      <c r="AJ778" s="116"/>
      <c r="AK778" s="116"/>
      <c r="AL778" s="116"/>
      <c r="AM778" s="116"/>
      <c r="AN778" s="116"/>
      <c r="AO778" s="116"/>
      <c r="AP778" s="116"/>
      <c r="AQ778" s="116"/>
      <c r="AR778" s="116"/>
      <c r="AS778" s="116"/>
      <c r="AT778" s="116"/>
      <c r="AU778" s="116"/>
      <c r="AV778" s="116"/>
      <c r="AW778" s="116"/>
      <c r="AX778" s="116"/>
      <c r="AY778" s="116"/>
      <c r="AZ778" s="116"/>
      <c r="BA778" s="116"/>
      <c r="BB778" s="116"/>
      <c r="BC778" s="116"/>
      <c r="BD778" s="116"/>
      <c r="BE778" s="116"/>
      <c r="BF778" s="116"/>
      <c r="BG778" s="116"/>
      <c r="BH778" s="124"/>
      <c r="BI778" s="124"/>
      <c r="BJ778" s="116"/>
      <c r="BK778" s="116"/>
      <c r="BL778" s="116"/>
      <c r="BM778" s="116"/>
      <c r="BN778" s="116"/>
      <c r="BO778" s="116"/>
      <c r="BP778" s="125"/>
      <c r="BQ778" s="116"/>
    </row>
    <row r="779">
      <c r="A779" s="116"/>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c r="AA779" s="116"/>
      <c r="AB779" s="116"/>
      <c r="AC779" s="116"/>
      <c r="AD779" s="116"/>
      <c r="AE779" s="116"/>
      <c r="AF779" s="116"/>
      <c r="AG779" s="116"/>
      <c r="AH779" s="116"/>
      <c r="AI779" s="116"/>
      <c r="AJ779" s="116"/>
      <c r="AK779" s="116"/>
      <c r="AL779" s="116"/>
      <c r="AM779" s="116"/>
      <c r="AN779" s="116"/>
      <c r="AO779" s="116"/>
      <c r="AP779" s="116"/>
      <c r="AQ779" s="116"/>
      <c r="AR779" s="116"/>
      <c r="AS779" s="116"/>
      <c r="AT779" s="116"/>
      <c r="AU779" s="116"/>
      <c r="AV779" s="116"/>
      <c r="AW779" s="116"/>
      <c r="AX779" s="116"/>
      <c r="AY779" s="116"/>
      <c r="AZ779" s="116"/>
      <c r="BA779" s="116"/>
      <c r="BB779" s="116"/>
      <c r="BC779" s="116"/>
      <c r="BD779" s="116"/>
      <c r="BE779" s="116"/>
      <c r="BF779" s="116"/>
      <c r="BG779" s="116"/>
      <c r="BH779" s="124"/>
      <c r="BI779" s="124"/>
      <c r="BJ779" s="116"/>
      <c r="BK779" s="116"/>
      <c r="BL779" s="116"/>
      <c r="BM779" s="116"/>
      <c r="BN779" s="116"/>
      <c r="BO779" s="116"/>
      <c r="BP779" s="125"/>
      <c r="BQ779" s="116"/>
    </row>
    <row r="780">
      <c r="A780" s="116"/>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c r="AA780" s="116"/>
      <c r="AB780" s="116"/>
      <c r="AC780" s="116"/>
      <c r="AD780" s="116"/>
      <c r="AE780" s="116"/>
      <c r="AF780" s="116"/>
      <c r="AG780" s="116"/>
      <c r="AH780" s="116"/>
      <c r="AI780" s="116"/>
      <c r="AJ780" s="116"/>
      <c r="AK780" s="116"/>
      <c r="AL780" s="116"/>
      <c r="AM780" s="116"/>
      <c r="AN780" s="116"/>
      <c r="AO780" s="116"/>
      <c r="AP780" s="116"/>
      <c r="AQ780" s="116"/>
      <c r="AR780" s="116"/>
      <c r="AS780" s="116"/>
      <c r="AT780" s="116"/>
      <c r="AU780" s="116"/>
      <c r="AV780" s="116"/>
      <c r="AW780" s="116"/>
      <c r="AX780" s="116"/>
      <c r="AY780" s="116"/>
      <c r="AZ780" s="116"/>
      <c r="BA780" s="116"/>
      <c r="BB780" s="116"/>
      <c r="BC780" s="116"/>
      <c r="BD780" s="116"/>
      <c r="BE780" s="116"/>
      <c r="BF780" s="116"/>
      <c r="BG780" s="116"/>
      <c r="BH780" s="124"/>
      <c r="BI780" s="124"/>
      <c r="BJ780" s="116"/>
      <c r="BK780" s="116"/>
      <c r="BL780" s="116"/>
      <c r="BM780" s="116"/>
      <c r="BN780" s="116"/>
      <c r="BO780" s="116"/>
      <c r="BP780" s="125"/>
      <c r="BQ780" s="116"/>
    </row>
    <row r="781">
      <c r="A781" s="116"/>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c r="AA781" s="116"/>
      <c r="AB781" s="116"/>
      <c r="AC781" s="116"/>
      <c r="AD781" s="116"/>
      <c r="AE781" s="116"/>
      <c r="AF781" s="116"/>
      <c r="AG781" s="116"/>
      <c r="AH781" s="116"/>
      <c r="AI781" s="116"/>
      <c r="AJ781" s="116"/>
      <c r="AK781" s="116"/>
      <c r="AL781" s="116"/>
      <c r="AM781" s="116"/>
      <c r="AN781" s="116"/>
      <c r="AO781" s="116"/>
      <c r="AP781" s="116"/>
      <c r="AQ781" s="116"/>
      <c r="AR781" s="116"/>
      <c r="AS781" s="116"/>
      <c r="AT781" s="116"/>
      <c r="AU781" s="116"/>
      <c r="AV781" s="116"/>
      <c r="AW781" s="116"/>
      <c r="AX781" s="116"/>
      <c r="AY781" s="116"/>
      <c r="AZ781" s="116"/>
      <c r="BA781" s="116"/>
      <c r="BB781" s="116"/>
      <c r="BC781" s="116"/>
      <c r="BD781" s="116"/>
      <c r="BE781" s="116"/>
      <c r="BF781" s="116"/>
      <c r="BG781" s="116"/>
      <c r="BH781" s="124"/>
      <c r="BI781" s="124"/>
      <c r="BJ781" s="116"/>
      <c r="BK781" s="116"/>
      <c r="BL781" s="116"/>
      <c r="BM781" s="116"/>
      <c r="BN781" s="116"/>
      <c r="BO781" s="116"/>
      <c r="BP781" s="125"/>
      <c r="BQ781" s="116"/>
    </row>
    <row r="782">
      <c r="A782" s="116"/>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c r="AA782" s="116"/>
      <c r="AB782" s="116"/>
      <c r="AC782" s="116"/>
      <c r="AD782" s="116"/>
      <c r="AE782" s="116"/>
      <c r="AF782" s="116"/>
      <c r="AG782" s="116"/>
      <c r="AH782" s="116"/>
      <c r="AI782" s="116"/>
      <c r="AJ782" s="116"/>
      <c r="AK782" s="116"/>
      <c r="AL782" s="116"/>
      <c r="AM782" s="116"/>
      <c r="AN782" s="116"/>
      <c r="AO782" s="116"/>
      <c r="AP782" s="116"/>
      <c r="AQ782" s="116"/>
      <c r="AR782" s="116"/>
      <c r="AS782" s="116"/>
      <c r="AT782" s="116"/>
      <c r="AU782" s="116"/>
      <c r="AV782" s="116"/>
      <c r="AW782" s="116"/>
      <c r="AX782" s="116"/>
      <c r="AY782" s="116"/>
      <c r="AZ782" s="116"/>
      <c r="BA782" s="116"/>
      <c r="BB782" s="116"/>
      <c r="BC782" s="116"/>
      <c r="BD782" s="116"/>
      <c r="BE782" s="116"/>
      <c r="BF782" s="116"/>
      <c r="BG782" s="116"/>
      <c r="BH782" s="124"/>
      <c r="BI782" s="124"/>
      <c r="BJ782" s="116"/>
      <c r="BK782" s="116"/>
      <c r="BL782" s="116"/>
      <c r="BM782" s="116"/>
      <c r="BN782" s="116"/>
      <c r="BO782" s="116"/>
      <c r="BP782" s="125"/>
      <c r="BQ782" s="116"/>
    </row>
    <row r="783">
      <c r="A783" s="116"/>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c r="AA783" s="116"/>
      <c r="AB783" s="116"/>
      <c r="AC783" s="116"/>
      <c r="AD783" s="116"/>
      <c r="AE783" s="116"/>
      <c r="AF783" s="116"/>
      <c r="AG783" s="116"/>
      <c r="AH783" s="116"/>
      <c r="AI783" s="116"/>
      <c r="AJ783" s="116"/>
      <c r="AK783" s="116"/>
      <c r="AL783" s="116"/>
      <c r="AM783" s="116"/>
      <c r="AN783" s="116"/>
      <c r="AO783" s="116"/>
      <c r="AP783" s="116"/>
      <c r="AQ783" s="116"/>
      <c r="AR783" s="116"/>
      <c r="AS783" s="116"/>
      <c r="AT783" s="116"/>
      <c r="AU783" s="116"/>
      <c r="AV783" s="116"/>
      <c r="AW783" s="116"/>
      <c r="AX783" s="116"/>
      <c r="AY783" s="116"/>
      <c r="AZ783" s="116"/>
      <c r="BA783" s="116"/>
      <c r="BB783" s="116"/>
      <c r="BC783" s="116"/>
      <c r="BD783" s="116"/>
      <c r="BE783" s="116"/>
      <c r="BF783" s="116"/>
      <c r="BG783" s="116"/>
      <c r="BH783" s="124"/>
      <c r="BI783" s="124"/>
      <c r="BJ783" s="116"/>
      <c r="BK783" s="116"/>
      <c r="BL783" s="116"/>
      <c r="BM783" s="116"/>
      <c r="BN783" s="116"/>
      <c r="BO783" s="116"/>
      <c r="BP783" s="125"/>
      <c r="BQ783" s="116"/>
    </row>
    <row r="784">
      <c r="A784" s="116"/>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c r="AA784" s="116"/>
      <c r="AB784" s="116"/>
      <c r="AC784" s="116"/>
      <c r="AD784" s="116"/>
      <c r="AE784" s="116"/>
      <c r="AF784" s="116"/>
      <c r="AG784" s="116"/>
      <c r="AH784" s="116"/>
      <c r="AI784" s="116"/>
      <c r="AJ784" s="116"/>
      <c r="AK784" s="116"/>
      <c r="AL784" s="116"/>
      <c r="AM784" s="116"/>
      <c r="AN784" s="116"/>
      <c r="AO784" s="116"/>
      <c r="AP784" s="116"/>
      <c r="AQ784" s="116"/>
      <c r="AR784" s="116"/>
      <c r="AS784" s="116"/>
      <c r="AT784" s="116"/>
      <c r="AU784" s="116"/>
      <c r="AV784" s="116"/>
      <c r="AW784" s="116"/>
      <c r="AX784" s="116"/>
      <c r="AY784" s="116"/>
      <c r="AZ784" s="116"/>
      <c r="BA784" s="116"/>
      <c r="BB784" s="116"/>
      <c r="BC784" s="116"/>
      <c r="BD784" s="116"/>
      <c r="BE784" s="116"/>
      <c r="BF784" s="116"/>
      <c r="BG784" s="116"/>
      <c r="BH784" s="124"/>
      <c r="BI784" s="124"/>
      <c r="BJ784" s="116"/>
      <c r="BK784" s="116"/>
      <c r="BL784" s="116"/>
      <c r="BM784" s="116"/>
      <c r="BN784" s="116"/>
      <c r="BO784" s="116"/>
      <c r="BP784" s="125"/>
      <c r="BQ784" s="116"/>
    </row>
    <row r="785">
      <c r="A785" s="116"/>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c r="AA785" s="116"/>
      <c r="AB785" s="116"/>
      <c r="AC785" s="116"/>
      <c r="AD785" s="116"/>
      <c r="AE785" s="116"/>
      <c r="AF785" s="116"/>
      <c r="AG785" s="116"/>
      <c r="AH785" s="116"/>
      <c r="AI785" s="116"/>
      <c r="AJ785" s="116"/>
      <c r="AK785" s="116"/>
      <c r="AL785" s="116"/>
      <c r="AM785" s="116"/>
      <c r="AN785" s="116"/>
      <c r="AO785" s="116"/>
      <c r="AP785" s="116"/>
      <c r="AQ785" s="116"/>
      <c r="AR785" s="116"/>
      <c r="AS785" s="116"/>
      <c r="AT785" s="116"/>
      <c r="AU785" s="116"/>
      <c r="AV785" s="116"/>
      <c r="AW785" s="116"/>
      <c r="AX785" s="116"/>
      <c r="AY785" s="116"/>
      <c r="AZ785" s="116"/>
      <c r="BA785" s="116"/>
      <c r="BB785" s="116"/>
      <c r="BC785" s="116"/>
      <c r="BD785" s="116"/>
      <c r="BE785" s="116"/>
      <c r="BF785" s="116"/>
      <c r="BG785" s="116"/>
      <c r="BH785" s="124"/>
      <c r="BI785" s="124"/>
      <c r="BJ785" s="116"/>
      <c r="BK785" s="116"/>
      <c r="BL785" s="116"/>
      <c r="BM785" s="116"/>
      <c r="BN785" s="116"/>
      <c r="BO785" s="116"/>
      <c r="BP785" s="125"/>
      <c r="BQ785" s="116"/>
    </row>
    <row r="786">
      <c r="A786" s="11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c r="AA786" s="116"/>
      <c r="AB786" s="116"/>
      <c r="AC786" s="116"/>
      <c r="AD786" s="116"/>
      <c r="AE786" s="116"/>
      <c r="AF786" s="116"/>
      <c r="AG786" s="116"/>
      <c r="AH786" s="116"/>
      <c r="AI786" s="116"/>
      <c r="AJ786" s="116"/>
      <c r="AK786" s="116"/>
      <c r="AL786" s="116"/>
      <c r="AM786" s="116"/>
      <c r="AN786" s="116"/>
      <c r="AO786" s="116"/>
      <c r="AP786" s="116"/>
      <c r="AQ786" s="116"/>
      <c r="AR786" s="116"/>
      <c r="AS786" s="116"/>
      <c r="AT786" s="116"/>
      <c r="AU786" s="116"/>
      <c r="AV786" s="116"/>
      <c r="AW786" s="116"/>
      <c r="AX786" s="116"/>
      <c r="AY786" s="116"/>
      <c r="AZ786" s="116"/>
      <c r="BA786" s="116"/>
      <c r="BB786" s="116"/>
      <c r="BC786" s="116"/>
      <c r="BD786" s="116"/>
      <c r="BE786" s="116"/>
      <c r="BF786" s="116"/>
      <c r="BG786" s="116"/>
      <c r="BH786" s="124"/>
      <c r="BI786" s="124"/>
      <c r="BJ786" s="116"/>
      <c r="BK786" s="116"/>
      <c r="BL786" s="116"/>
      <c r="BM786" s="116"/>
      <c r="BN786" s="116"/>
      <c r="BO786" s="116"/>
      <c r="BP786" s="125"/>
      <c r="BQ786" s="116"/>
    </row>
    <row r="787">
      <c r="A787" s="116"/>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c r="AA787" s="116"/>
      <c r="AB787" s="116"/>
      <c r="AC787" s="116"/>
      <c r="AD787" s="116"/>
      <c r="AE787" s="116"/>
      <c r="AF787" s="116"/>
      <c r="AG787" s="116"/>
      <c r="AH787" s="116"/>
      <c r="AI787" s="116"/>
      <c r="AJ787" s="116"/>
      <c r="AK787" s="116"/>
      <c r="AL787" s="116"/>
      <c r="AM787" s="116"/>
      <c r="AN787" s="116"/>
      <c r="AO787" s="116"/>
      <c r="AP787" s="116"/>
      <c r="AQ787" s="116"/>
      <c r="AR787" s="116"/>
      <c r="AS787" s="116"/>
      <c r="AT787" s="116"/>
      <c r="AU787" s="116"/>
      <c r="AV787" s="116"/>
      <c r="AW787" s="116"/>
      <c r="AX787" s="116"/>
      <c r="AY787" s="116"/>
      <c r="AZ787" s="116"/>
      <c r="BA787" s="116"/>
      <c r="BB787" s="116"/>
      <c r="BC787" s="116"/>
      <c r="BD787" s="116"/>
      <c r="BE787" s="116"/>
      <c r="BF787" s="116"/>
      <c r="BG787" s="116"/>
      <c r="BH787" s="124"/>
      <c r="BI787" s="124"/>
      <c r="BJ787" s="116"/>
      <c r="BK787" s="116"/>
      <c r="BL787" s="116"/>
      <c r="BM787" s="116"/>
      <c r="BN787" s="116"/>
      <c r="BO787" s="116"/>
      <c r="BP787" s="125"/>
      <c r="BQ787" s="116"/>
    </row>
    <row r="788">
      <c r="A788" s="116"/>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c r="AA788" s="116"/>
      <c r="AB788" s="116"/>
      <c r="AC788" s="116"/>
      <c r="AD788" s="116"/>
      <c r="AE788" s="116"/>
      <c r="AF788" s="116"/>
      <c r="AG788" s="116"/>
      <c r="AH788" s="116"/>
      <c r="AI788" s="116"/>
      <c r="AJ788" s="116"/>
      <c r="AK788" s="116"/>
      <c r="AL788" s="116"/>
      <c r="AM788" s="116"/>
      <c r="AN788" s="116"/>
      <c r="AO788" s="116"/>
      <c r="AP788" s="116"/>
      <c r="AQ788" s="116"/>
      <c r="AR788" s="116"/>
      <c r="AS788" s="116"/>
      <c r="AT788" s="116"/>
      <c r="AU788" s="116"/>
      <c r="AV788" s="116"/>
      <c r="AW788" s="116"/>
      <c r="AX788" s="116"/>
      <c r="AY788" s="116"/>
      <c r="AZ788" s="116"/>
      <c r="BA788" s="116"/>
      <c r="BB788" s="116"/>
      <c r="BC788" s="116"/>
      <c r="BD788" s="116"/>
      <c r="BE788" s="116"/>
      <c r="BF788" s="116"/>
      <c r="BG788" s="116"/>
      <c r="BH788" s="124"/>
      <c r="BI788" s="124"/>
      <c r="BJ788" s="116"/>
      <c r="BK788" s="116"/>
      <c r="BL788" s="116"/>
      <c r="BM788" s="116"/>
      <c r="BN788" s="116"/>
      <c r="BO788" s="116"/>
      <c r="BP788" s="125"/>
      <c r="BQ788" s="116"/>
    </row>
    <row r="789">
      <c r="A789" s="116"/>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c r="AA789" s="116"/>
      <c r="AB789" s="116"/>
      <c r="AC789" s="116"/>
      <c r="AD789" s="116"/>
      <c r="AE789" s="116"/>
      <c r="AF789" s="116"/>
      <c r="AG789" s="116"/>
      <c r="AH789" s="116"/>
      <c r="AI789" s="116"/>
      <c r="AJ789" s="116"/>
      <c r="AK789" s="116"/>
      <c r="AL789" s="116"/>
      <c r="AM789" s="116"/>
      <c r="AN789" s="116"/>
      <c r="AO789" s="116"/>
      <c r="AP789" s="116"/>
      <c r="AQ789" s="116"/>
      <c r="AR789" s="116"/>
      <c r="AS789" s="116"/>
      <c r="AT789" s="116"/>
      <c r="AU789" s="116"/>
      <c r="AV789" s="116"/>
      <c r="AW789" s="116"/>
      <c r="AX789" s="116"/>
      <c r="AY789" s="116"/>
      <c r="AZ789" s="116"/>
      <c r="BA789" s="116"/>
      <c r="BB789" s="116"/>
      <c r="BC789" s="116"/>
      <c r="BD789" s="116"/>
      <c r="BE789" s="116"/>
      <c r="BF789" s="116"/>
      <c r="BG789" s="116"/>
      <c r="BH789" s="124"/>
      <c r="BI789" s="124"/>
      <c r="BJ789" s="116"/>
      <c r="BK789" s="116"/>
      <c r="BL789" s="116"/>
      <c r="BM789" s="116"/>
      <c r="BN789" s="116"/>
      <c r="BO789" s="116"/>
      <c r="BP789" s="125"/>
      <c r="BQ789" s="116"/>
    </row>
    <row r="790">
      <c r="A790" s="116"/>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c r="AA790" s="116"/>
      <c r="AB790" s="116"/>
      <c r="AC790" s="116"/>
      <c r="AD790" s="116"/>
      <c r="AE790" s="116"/>
      <c r="AF790" s="116"/>
      <c r="AG790" s="116"/>
      <c r="AH790" s="116"/>
      <c r="AI790" s="116"/>
      <c r="AJ790" s="116"/>
      <c r="AK790" s="116"/>
      <c r="AL790" s="116"/>
      <c r="AM790" s="116"/>
      <c r="AN790" s="116"/>
      <c r="AO790" s="116"/>
      <c r="AP790" s="116"/>
      <c r="AQ790" s="116"/>
      <c r="AR790" s="116"/>
      <c r="AS790" s="116"/>
      <c r="AT790" s="116"/>
      <c r="AU790" s="116"/>
      <c r="AV790" s="116"/>
      <c r="AW790" s="116"/>
      <c r="AX790" s="116"/>
      <c r="AY790" s="116"/>
      <c r="AZ790" s="116"/>
      <c r="BA790" s="116"/>
      <c r="BB790" s="116"/>
      <c r="BC790" s="116"/>
      <c r="BD790" s="116"/>
      <c r="BE790" s="116"/>
      <c r="BF790" s="116"/>
      <c r="BG790" s="116"/>
      <c r="BH790" s="124"/>
      <c r="BI790" s="124"/>
      <c r="BJ790" s="116"/>
      <c r="BK790" s="116"/>
      <c r="BL790" s="116"/>
      <c r="BM790" s="116"/>
      <c r="BN790" s="116"/>
      <c r="BO790" s="116"/>
      <c r="BP790" s="125"/>
      <c r="BQ790" s="116"/>
    </row>
    <row r="791">
      <c r="A791" s="116"/>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c r="AA791" s="116"/>
      <c r="AB791" s="116"/>
      <c r="AC791" s="116"/>
      <c r="AD791" s="116"/>
      <c r="AE791" s="116"/>
      <c r="AF791" s="116"/>
      <c r="AG791" s="116"/>
      <c r="AH791" s="116"/>
      <c r="AI791" s="116"/>
      <c r="AJ791" s="116"/>
      <c r="AK791" s="116"/>
      <c r="AL791" s="116"/>
      <c r="AM791" s="116"/>
      <c r="AN791" s="116"/>
      <c r="AO791" s="116"/>
      <c r="AP791" s="116"/>
      <c r="AQ791" s="116"/>
      <c r="AR791" s="116"/>
      <c r="AS791" s="116"/>
      <c r="AT791" s="116"/>
      <c r="AU791" s="116"/>
      <c r="AV791" s="116"/>
      <c r="AW791" s="116"/>
      <c r="AX791" s="116"/>
      <c r="AY791" s="116"/>
      <c r="AZ791" s="116"/>
      <c r="BA791" s="116"/>
      <c r="BB791" s="116"/>
      <c r="BC791" s="116"/>
      <c r="BD791" s="116"/>
      <c r="BE791" s="116"/>
      <c r="BF791" s="116"/>
      <c r="BG791" s="116"/>
      <c r="BH791" s="124"/>
      <c r="BI791" s="124"/>
      <c r="BJ791" s="116"/>
      <c r="BK791" s="116"/>
      <c r="BL791" s="116"/>
      <c r="BM791" s="116"/>
      <c r="BN791" s="116"/>
      <c r="BO791" s="116"/>
      <c r="BP791" s="125"/>
      <c r="BQ791" s="116"/>
    </row>
    <row r="792">
      <c r="A792" s="116"/>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c r="AA792" s="116"/>
      <c r="AB792" s="116"/>
      <c r="AC792" s="116"/>
      <c r="AD792" s="116"/>
      <c r="AE792" s="116"/>
      <c r="AF792" s="116"/>
      <c r="AG792" s="116"/>
      <c r="AH792" s="116"/>
      <c r="AI792" s="116"/>
      <c r="AJ792" s="116"/>
      <c r="AK792" s="116"/>
      <c r="AL792" s="116"/>
      <c r="AM792" s="116"/>
      <c r="AN792" s="116"/>
      <c r="AO792" s="116"/>
      <c r="AP792" s="116"/>
      <c r="AQ792" s="116"/>
      <c r="AR792" s="116"/>
      <c r="AS792" s="116"/>
      <c r="AT792" s="116"/>
      <c r="AU792" s="116"/>
      <c r="AV792" s="116"/>
      <c r="AW792" s="116"/>
      <c r="AX792" s="116"/>
      <c r="AY792" s="116"/>
      <c r="AZ792" s="116"/>
      <c r="BA792" s="116"/>
      <c r="BB792" s="116"/>
      <c r="BC792" s="116"/>
      <c r="BD792" s="116"/>
      <c r="BE792" s="116"/>
      <c r="BF792" s="116"/>
      <c r="BG792" s="116"/>
      <c r="BH792" s="124"/>
      <c r="BI792" s="124"/>
      <c r="BJ792" s="116"/>
      <c r="BK792" s="116"/>
      <c r="BL792" s="116"/>
      <c r="BM792" s="116"/>
      <c r="BN792" s="116"/>
      <c r="BO792" s="116"/>
      <c r="BP792" s="125"/>
      <c r="BQ792" s="116"/>
    </row>
    <row r="793">
      <c r="A793" s="116"/>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c r="AA793" s="116"/>
      <c r="AB793" s="116"/>
      <c r="AC793" s="116"/>
      <c r="AD793" s="116"/>
      <c r="AE793" s="116"/>
      <c r="AF793" s="116"/>
      <c r="AG793" s="116"/>
      <c r="AH793" s="116"/>
      <c r="AI793" s="116"/>
      <c r="AJ793" s="116"/>
      <c r="AK793" s="116"/>
      <c r="AL793" s="116"/>
      <c r="AM793" s="116"/>
      <c r="AN793" s="116"/>
      <c r="AO793" s="116"/>
      <c r="AP793" s="116"/>
      <c r="AQ793" s="116"/>
      <c r="AR793" s="116"/>
      <c r="AS793" s="116"/>
      <c r="AT793" s="116"/>
      <c r="AU793" s="116"/>
      <c r="AV793" s="116"/>
      <c r="AW793" s="116"/>
      <c r="AX793" s="116"/>
      <c r="AY793" s="116"/>
      <c r="AZ793" s="116"/>
      <c r="BA793" s="116"/>
      <c r="BB793" s="116"/>
      <c r="BC793" s="116"/>
      <c r="BD793" s="116"/>
      <c r="BE793" s="116"/>
      <c r="BF793" s="116"/>
      <c r="BG793" s="116"/>
      <c r="BH793" s="124"/>
      <c r="BI793" s="124"/>
      <c r="BJ793" s="116"/>
      <c r="BK793" s="116"/>
      <c r="BL793" s="116"/>
      <c r="BM793" s="116"/>
      <c r="BN793" s="116"/>
      <c r="BO793" s="116"/>
      <c r="BP793" s="125"/>
      <c r="BQ793" s="116"/>
    </row>
    <row r="794">
      <c r="A794" s="116"/>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c r="AA794" s="116"/>
      <c r="AB794" s="116"/>
      <c r="AC794" s="116"/>
      <c r="AD794" s="116"/>
      <c r="AE794" s="116"/>
      <c r="AF794" s="116"/>
      <c r="AG794" s="116"/>
      <c r="AH794" s="116"/>
      <c r="AI794" s="116"/>
      <c r="AJ794" s="116"/>
      <c r="AK794" s="116"/>
      <c r="AL794" s="116"/>
      <c r="AM794" s="116"/>
      <c r="AN794" s="116"/>
      <c r="AO794" s="116"/>
      <c r="AP794" s="116"/>
      <c r="AQ794" s="116"/>
      <c r="AR794" s="116"/>
      <c r="AS794" s="116"/>
      <c r="AT794" s="116"/>
      <c r="AU794" s="116"/>
      <c r="AV794" s="116"/>
      <c r="AW794" s="116"/>
      <c r="AX794" s="116"/>
      <c r="AY794" s="116"/>
      <c r="AZ794" s="116"/>
      <c r="BA794" s="116"/>
      <c r="BB794" s="116"/>
      <c r="BC794" s="116"/>
      <c r="BD794" s="116"/>
      <c r="BE794" s="116"/>
      <c r="BF794" s="116"/>
      <c r="BG794" s="116"/>
      <c r="BH794" s="124"/>
      <c r="BI794" s="124"/>
      <c r="BJ794" s="116"/>
      <c r="BK794" s="116"/>
      <c r="BL794" s="116"/>
      <c r="BM794" s="116"/>
      <c r="BN794" s="116"/>
      <c r="BO794" s="116"/>
      <c r="BP794" s="125"/>
      <c r="BQ794" s="116"/>
    </row>
    <row r="795">
      <c r="A795" s="116"/>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c r="AA795" s="116"/>
      <c r="AB795" s="116"/>
      <c r="AC795" s="116"/>
      <c r="AD795" s="116"/>
      <c r="AE795" s="116"/>
      <c r="AF795" s="116"/>
      <c r="AG795" s="116"/>
      <c r="AH795" s="116"/>
      <c r="AI795" s="116"/>
      <c r="AJ795" s="116"/>
      <c r="AK795" s="116"/>
      <c r="AL795" s="116"/>
      <c r="AM795" s="116"/>
      <c r="AN795" s="116"/>
      <c r="AO795" s="116"/>
      <c r="AP795" s="116"/>
      <c r="AQ795" s="116"/>
      <c r="AR795" s="116"/>
      <c r="AS795" s="116"/>
      <c r="AT795" s="116"/>
      <c r="AU795" s="116"/>
      <c r="AV795" s="116"/>
      <c r="AW795" s="116"/>
      <c r="AX795" s="116"/>
      <c r="AY795" s="116"/>
      <c r="AZ795" s="116"/>
      <c r="BA795" s="116"/>
      <c r="BB795" s="116"/>
      <c r="BC795" s="116"/>
      <c r="BD795" s="116"/>
      <c r="BE795" s="116"/>
      <c r="BF795" s="116"/>
      <c r="BG795" s="116"/>
      <c r="BH795" s="124"/>
      <c r="BI795" s="124"/>
      <c r="BJ795" s="116"/>
      <c r="BK795" s="116"/>
      <c r="BL795" s="116"/>
      <c r="BM795" s="116"/>
      <c r="BN795" s="116"/>
      <c r="BO795" s="116"/>
      <c r="BP795" s="125"/>
      <c r="BQ795" s="116"/>
    </row>
    <row r="796">
      <c r="A796" s="11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c r="AA796" s="116"/>
      <c r="AB796" s="116"/>
      <c r="AC796" s="116"/>
      <c r="AD796" s="116"/>
      <c r="AE796" s="116"/>
      <c r="AF796" s="116"/>
      <c r="AG796" s="116"/>
      <c r="AH796" s="116"/>
      <c r="AI796" s="116"/>
      <c r="AJ796" s="116"/>
      <c r="AK796" s="116"/>
      <c r="AL796" s="116"/>
      <c r="AM796" s="116"/>
      <c r="AN796" s="116"/>
      <c r="AO796" s="116"/>
      <c r="AP796" s="116"/>
      <c r="AQ796" s="116"/>
      <c r="AR796" s="116"/>
      <c r="AS796" s="116"/>
      <c r="AT796" s="116"/>
      <c r="AU796" s="116"/>
      <c r="AV796" s="116"/>
      <c r="AW796" s="116"/>
      <c r="AX796" s="116"/>
      <c r="AY796" s="116"/>
      <c r="AZ796" s="116"/>
      <c r="BA796" s="116"/>
      <c r="BB796" s="116"/>
      <c r="BC796" s="116"/>
      <c r="BD796" s="116"/>
      <c r="BE796" s="116"/>
      <c r="BF796" s="116"/>
      <c r="BG796" s="116"/>
      <c r="BH796" s="124"/>
      <c r="BI796" s="124"/>
      <c r="BJ796" s="116"/>
      <c r="BK796" s="116"/>
      <c r="BL796" s="116"/>
      <c r="BM796" s="116"/>
      <c r="BN796" s="116"/>
      <c r="BO796" s="116"/>
      <c r="BP796" s="125"/>
      <c r="BQ796" s="116"/>
    </row>
    <row r="797">
      <c r="A797" s="116"/>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c r="AA797" s="116"/>
      <c r="AB797" s="116"/>
      <c r="AC797" s="116"/>
      <c r="AD797" s="116"/>
      <c r="AE797" s="116"/>
      <c r="AF797" s="116"/>
      <c r="AG797" s="116"/>
      <c r="AH797" s="116"/>
      <c r="AI797" s="116"/>
      <c r="AJ797" s="116"/>
      <c r="AK797" s="116"/>
      <c r="AL797" s="116"/>
      <c r="AM797" s="116"/>
      <c r="AN797" s="116"/>
      <c r="AO797" s="116"/>
      <c r="AP797" s="116"/>
      <c r="AQ797" s="116"/>
      <c r="AR797" s="116"/>
      <c r="AS797" s="116"/>
      <c r="AT797" s="116"/>
      <c r="AU797" s="116"/>
      <c r="AV797" s="116"/>
      <c r="AW797" s="116"/>
      <c r="AX797" s="116"/>
      <c r="AY797" s="116"/>
      <c r="AZ797" s="116"/>
      <c r="BA797" s="116"/>
      <c r="BB797" s="116"/>
      <c r="BC797" s="116"/>
      <c r="BD797" s="116"/>
      <c r="BE797" s="116"/>
      <c r="BF797" s="116"/>
      <c r="BG797" s="116"/>
      <c r="BH797" s="124"/>
      <c r="BI797" s="124"/>
      <c r="BJ797" s="116"/>
      <c r="BK797" s="116"/>
      <c r="BL797" s="116"/>
      <c r="BM797" s="116"/>
      <c r="BN797" s="116"/>
      <c r="BO797" s="116"/>
      <c r="BP797" s="125"/>
      <c r="BQ797" s="116"/>
    </row>
    <row r="798">
      <c r="A798" s="116"/>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c r="AA798" s="116"/>
      <c r="AB798" s="116"/>
      <c r="AC798" s="116"/>
      <c r="AD798" s="116"/>
      <c r="AE798" s="116"/>
      <c r="AF798" s="116"/>
      <c r="AG798" s="116"/>
      <c r="AH798" s="116"/>
      <c r="AI798" s="116"/>
      <c r="AJ798" s="116"/>
      <c r="AK798" s="116"/>
      <c r="AL798" s="116"/>
      <c r="AM798" s="116"/>
      <c r="AN798" s="116"/>
      <c r="AO798" s="116"/>
      <c r="AP798" s="116"/>
      <c r="AQ798" s="116"/>
      <c r="AR798" s="116"/>
      <c r="AS798" s="116"/>
      <c r="AT798" s="116"/>
      <c r="AU798" s="116"/>
      <c r="AV798" s="116"/>
      <c r="AW798" s="116"/>
      <c r="AX798" s="116"/>
      <c r="AY798" s="116"/>
      <c r="AZ798" s="116"/>
      <c r="BA798" s="116"/>
      <c r="BB798" s="116"/>
      <c r="BC798" s="116"/>
      <c r="BD798" s="116"/>
      <c r="BE798" s="116"/>
      <c r="BF798" s="116"/>
      <c r="BG798" s="116"/>
      <c r="BH798" s="124"/>
      <c r="BI798" s="124"/>
      <c r="BJ798" s="116"/>
      <c r="BK798" s="116"/>
      <c r="BL798" s="116"/>
      <c r="BM798" s="116"/>
      <c r="BN798" s="116"/>
      <c r="BO798" s="116"/>
      <c r="BP798" s="125"/>
      <c r="BQ798" s="116"/>
    </row>
    <row r="799">
      <c r="A799" s="116"/>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c r="AA799" s="116"/>
      <c r="AB799" s="116"/>
      <c r="AC799" s="116"/>
      <c r="AD799" s="116"/>
      <c r="AE799" s="116"/>
      <c r="AF799" s="116"/>
      <c r="AG799" s="116"/>
      <c r="AH799" s="116"/>
      <c r="AI799" s="116"/>
      <c r="AJ799" s="116"/>
      <c r="AK799" s="116"/>
      <c r="AL799" s="116"/>
      <c r="AM799" s="116"/>
      <c r="AN799" s="116"/>
      <c r="AO799" s="116"/>
      <c r="AP799" s="116"/>
      <c r="AQ799" s="116"/>
      <c r="AR799" s="116"/>
      <c r="AS799" s="116"/>
      <c r="AT799" s="116"/>
      <c r="AU799" s="116"/>
      <c r="AV799" s="116"/>
      <c r="AW799" s="116"/>
      <c r="AX799" s="116"/>
      <c r="AY799" s="116"/>
      <c r="AZ799" s="116"/>
      <c r="BA799" s="116"/>
      <c r="BB799" s="116"/>
      <c r="BC799" s="116"/>
      <c r="BD799" s="116"/>
      <c r="BE799" s="116"/>
      <c r="BF799" s="116"/>
      <c r="BG799" s="116"/>
      <c r="BH799" s="124"/>
      <c r="BI799" s="124"/>
      <c r="BJ799" s="116"/>
      <c r="BK799" s="116"/>
      <c r="BL799" s="116"/>
      <c r="BM799" s="116"/>
      <c r="BN799" s="116"/>
      <c r="BO799" s="116"/>
      <c r="BP799" s="125"/>
      <c r="BQ799" s="116"/>
    </row>
    <row r="800">
      <c r="A800" s="116"/>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c r="AA800" s="116"/>
      <c r="AB800" s="116"/>
      <c r="AC800" s="116"/>
      <c r="AD800" s="116"/>
      <c r="AE800" s="116"/>
      <c r="AF800" s="116"/>
      <c r="AG800" s="116"/>
      <c r="AH800" s="116"/>
      <c r="AI800" s="116"/>
      <c r="AJ800" s="116"/>
      <c r="AK800" s="116"/>
      <c r="AL800" s="116"/>
      <c r="AM800" s="116"/>
      <c r="AN800" s="116"/>
      <c r="AO800" s="116"/>
      <c r="AP800" s="116"/>
      <c r="AQ800" s="116"/>
      <c r="AR800" s="116"/>
      <c r="AS800" s="116"/>
      <c r="AT800" s="116"/>
      <c r="AU800" s="116"/>
      <c r="AV800" s="116"/>
      <c r="AW800" s="116"/>
      <c r="AX800" s="116"/>
      <c r="AY800" s="116"/>
      <c r="AZ800" s="116"/>
      <c r="BA800" s="116"/>
      <c r="BB800" s="116"/>
      <c r="BC800" s="116"/>
      <c r="BD800" s="116"/>
      <c r="BE800" s="116"/>
      <c r="BF800" s="116"/>
      <c r="BG800" s="116"/>
      <c r="BH800" s="124"/>
      <c r="BI800" s="124"/>
      <c r="BJ800" s="116"/>
      <c r="BK800" s="116"/>
      <c r="BL800" s="116"/>
      <c r="BM800" s="116"/>
      <c r="BN800" s="116"/>
      <c r="BO800" s="116"/>
      <c r="BP800" s="125"/>
      <c r="BQ800" s="116"/>
    </row>
    <row r="801">
      <c r="A801" s="116"/>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c r="AA801" s="116"/>
      <c r="AB801" s="116"/>
      <c r="AC801" s="116"/>
      <c r="AD801" s="116"/>
      <c r="AE801" s="116"/>
      <c r="AF801" s="116"/>
      <c r="AG801" s="116"/>
      <c r="AH801" s="116"/>
      <c r="AI801" s="116"/>
      <c r="AJ801" s="116"/>
      <c r="AK801" s="116"/>
      <c r="AL801" s="116"/>
      <c r="AM801" s="116"/>
      <c r="AN801" s="116"/>
      <c r="AO801" s="116"/>
      <c r="AP801" s="116"/>
      <c r="AQ801" s="116"/>
      <c r="AR801" s="116"/>
      <c r="AS801" s="116"/>
      <c r="AT801" s="116"/>
      <c r="AU801" s="116"/>
      <c r="AV801" s="116"/>
      <c r="AW801" s="116"/>
      <c r="AX801" s="116"/>
      <c r="AY801" s="116"/>
      <c r="AZ801" s="116"/>
      <c r="BA801" s="116"/>
      <c r="BB801" s="116"/>
      <c r="BC801" s="116"/>
      <c r="BD801" s="116"/>
      <c r="BE801" s="116"/>
      <c r="BF801" s="116"/>
      <c r="BG801" s="116"/>
      <c r="BH801" s="124"/>
      <c r="BI801" s="124"/>
      <c r="BJ801" s="116"/>
      <c r="BK801" s="116"/>
      <c r="BL801" s="116"/>
      <c r="BM801" s="116"/>
      <c r="BN801" s="116"/>
      <c r="BO801" s="116"/>
      <c r="BP801" s="125"/>
      <c r="BQ801" s="116"/>
    </row>
    <row r="802">
      <c r="A802" s="116"/>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c r="AA802" s="116"/>
      <c r="AB802" s="116"/>
      <c r="AC802" s="116"/>
      <c r="AD802" s="116"/>
      <c r="AE802" s="116"/>
      <c r="AF802" s="116"/>
      <c r="AG802" s="116"/>
      <c r="AH802" s="116"/>
      <c r="AI802" s="116"/>
      <c r="AJ802" s="116"/>
      <c r="AK802" s="116"/>
      <c r="AL802" s="116"/>
      <c r="AM802" s="116"/>
      <c r="AN802" s="116"/>
      <c r="AO802" s="116"/>
      <c r="AP802" s="116"/>
      <c r="AQ802" s="116"/>
      <c r="AR802" s="116"/>
      <c r="AS802" s="116"/>
      <c r="AT802" s="116"/>
      <c r="AU802" s="116"/>
      <c r="AV802" s="116"/>
      <c r="AW802" s="116"/>
      <c r="AX802" s="116"/>
      <c r="AY802" s="116"/>
      <c r="AZ802" s="116"/>
      <c r="BA802" s="116"/>
      <c r="BB802" s="116"/>
      <c r="BC802" s="116"/>
      <c r="BD802" s="116"/>
      <c r="BE802" s="116"/>
      <c r="BF802" s="116"/>
      <c r="BG802" s="116"/>
      <c r="BH802" s="124"/>
      <c r="BI802" s="124"/>
      <c r="BJ802" s="116"/>
      <c r="BK802" s="116"/>
      <c r="BL802" s="116"/>
      <c r="BM802" s="116"/>
      <c r="BN802" s="116"/>
      <c r="BO802" s="116"/>
      <c r="BP802" s="125"/>
      <c r="BQ802" s="116"/>
    </row>
    <row r="803">
      <c r="A803" s="116"/>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c r="AA803" s="116"/>
      <c r="AB803" s="116"/>
      <c r="AC803" s="116"/>
      <c r="AD803" s="116"/>
      <c r="AE803" s="116"/>
      <c r="AF803" s="116"/>
      <c r="AG803" s="116"/>
      <c r="AH803" s="116"/>
      <c r="AI803" s="116"/>
      <c r="AJ803" s="116"/>
      <c r="AK803" s="116"/>
      <c r="AL803" s="116"/>
      <c r="AM803" s="116"/>
      <c r="AN803" s="116"/>
      <c r="AO803" s="116"/>
      <c r="AP803" s="116"/>
      <c r="AQ803" s="116"/>
      <c r="AR803" s="116"/>
      <c r="AS803" s="116"/>
      <c r="AT803" s="116"/>
      <c r="AU803" s="116"/>
      <c r="AV803" s="116"/>
      <c r="AW803" s="116"/>
      <c r="AX803" s="116"/>
      <c r="AY803" s="116"/>
      <c r="AZ803" s="116"/>
      <c r="BA803" s="116"/>
      <c r="BB803" s="116"/>
      <c r="BC803" s="116"/>
      <c r="BD803" s="116"/>
      <c r="BE803" s="116"/>
      <c r="BF803" s="116"/>
      <c r="BG803" s="116"/>
      <c r="BH803" s="124"/>
      <c r="BI803" s="124"/>
      <c r="BJ803" s="116"/>
      <c r="BK803" s="116"/>
      <c r="BL803" s="116"/>
      <c r="BM803" s="116"/>
      <c r="BN803" s="116"/>
      <c r="BO803" s="116"/>
      <c r="BP803" s="125"/>
      <c r="BQ803" s="116"/>
    </row>
    <row r="804">
      <c r="A804" s="116"/>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c r="AA804" s="116"/>
      <c r="AB804" s="116"/>
      <c r="AC804" s="116"/>
      <c r="AD804" s="116"/>
      <c r="AE804" s="116"/>
      <c r="AF804" s="116"/>
      <c r="AG804" s="116"/>
      <c r="AH804" s="116"/>
      <c r="AI804" s="116"/>
      <c r="AJ804" s="116"/>
      <c r="AK804" s="116"/>
      <c r="AL804" s="116"/>
      <c r="AM804" s="116"/>
      <c r="AN804" s="116"/>
      <c r="AO804" s="116"/>
      <c r="AP804" s="116"/>
      <c r="AQ804" s="116"/>
      <c r="AR804" s="116"/>
      <c r="AS804" s="116"/>
      <c r="AT804" s="116"/>
      <c r="AU804" s="116"/>
      <c r="AV804" s="116"/>
      <c r="AW804" s="116"/>
      <c r="AX804" s="116"/>
      <c r="AY804" s="116"/>
      <c r="AZ804" s="116"/>
      <c r="BA804" s="116"/>
      <c r="BB804" s="116"/>
      <c r="BC804" s="116"/>
      <c r="BD804" s="116"/>
      <c r="BE804" s="116"/>
      <c r="BF804" s="116"/>
      <c r="BG804" s="116"/>
      <c r="BH804" s="124"/>
      <c r="BI804" s="124"/>
      <c r="BJ804" s="116"/>
      <c r="BK804" s="116"/>
      <c r="BL804" s="116"/>
      <c r="BM804" s="116"/>
      <c r="BN804" s="116"/>
      <c r="BO804" s="116"/>
      <c r="BP804" s="125"/>
      <c r="BQ804" s="116"/>
    </row>
    <row r="805">
      <c r="A805" s="116"/>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c r="AA805" s="116"/>
      <c r="AB805" s="116"/>
      <c r="AC805" s="116"/>
      <c r="AD805" s="116"/>
      <c r="AE805" s="116"/>
      <c r="AF805" s="116"/>
      <c r="AG805" s="116"/>
      <c r="AH805" s="116"/>
      <c r="AI805" s="116"/>
      <c r="AJ805" s="116"/>
      <c r="AK805" s="116"/>
      <c r="AL805" s="116"/>
      <c r="AM805" s="116"/>
      <c r="AN805" s="116"/>
      <c r="AO805" s="116"/>
      <c r="AP805" s="116"/>
      <c r="AQ805" s="116"/>
      <c r="AR805" s="116"/>
      <c r="AS805" s="116"/>
      <c r="AT805" s="116"/>
      <c r="AU805" s="116"/>
      <c r="AV805" s="116"/>
      <c r="AW805" s="116"/>
      <c r="AX805" s="116"/>
      <c r="AY805" s="116"/>
      <c r="AZ805" s="116"/>
      <c r="BA805" s="116"/>
      <c r="BB805" s="116"/>
      <c r="BC805" s="116"/>
      <c r="BD805" s="116"/>
      <c r="BE805" s="116"/>
      <c r="BF805" s="116"/>
      <c r="BG805" s="116"/>
      <c r="BH805" s="124"/>
      <c r="BI805" s="124"/>
      <c r="BJ805" s="116"/>
      <c r="BK805" s="116"/>
      <c r="BL805" s="116"/>
      <c r="BM805" s="116"/>
      <c r="BN805" s="116"/>
      <c r="BO805" s="116"/>
      <c r="BP805" s="125"/>
      <c r="BQ805" s="116"/>
    </row>
    <row r="806">
      <c r="A806" s="11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c r="AA806" s="116"/>
      <c r="AB806" s="116"/>
      <c r="AC806" s="116"/>
      <c r="AD806" s="116"/>
      <c r="AE806" s="116"/>
      <c r="AF806" s="116"/>
      <c r="AG806" s="116"/>
      <c r="AH806" s="116"/>
      <c r="AI806" s="116"/>
      <c r="AJ806" s="116"/>
      <c r="AK806" s="116"/>
      <c r="AL806" s="116"/>
      <c r="AM806" s="116"/>
      <c r="AN806" s="116"/>
      <c r="AO806" s="116"/>
      <c r="AP806" s="116"/>
      <c r="AQ806" s="116"/>
      <c r="AR806" s="116"/>
      <c r="AS806" s="116"/>
      <c r="AT806" s="116"/>
      <c r="AU806" s="116"/>
      <c r="AV806" s="116"/>
      <c r="AW806" s="116"/>
      <c r="AX806" s="116"/>
      <c r="AY806" s="116"/>
      <c r="AZ806" s="116"/>
      <c r="BA806" s="116"/>
      <c r="BB806" s="116"/>
      <c r="BC806" s="116"/>
      <c r="BD806" s="116"/>
      <c r="BE806" s="116"/>
      <c r="BF806" s="116"/>
      <c r="BG806" s="116"/>
      <c r="BH806" s="124"/>
      <c r="BI806" s="124"/>
      <c r="BJ806" s="116"/>
      <c r="BK806" s="116"/>
      <c r="BL806" s="116"/>
      <c r="BM806" s="116"/>
      <c r="BN806" s="116"/>
      <c r="BO806" s="116"/>
      <c r="BP806" s="125"/>
      <c r="BQ806" s="116"/>
    </row>
    <row r="807">
      <c r="A807" s="116"/>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c r="AA807" s="116"/>
      <c r="AB807" s="116"/>
      <c r="AC807" s="116"/>
      <c r="AD807" s="116"/>
      <c r="AE807" s="116"/>
      <c r="AF807" s="116"/>
      <c r="AG807" s="116"/>
      <c r="AH807" s="116"/>
      <c r="AI807" s="116"/>
      <c r="AJ807" s="116"/>
      <c r="AK807" s="116"/>
      <c r="AL807" s="116"/>
      <c r="AM807" s="116"/>
      <c r="AN807" s="116"/>
      <c r="AO807" s="116"/>
      <c r="AP807" s="116"/>
      <c r="AQ807" s="116"/>
      <c r="AR807" s="116"/>
      <c r="AS807" s="116"/>
      <c r="AT807" s="116"/>
      <c r="AU807" s="116"/>
      <c r="AV807" s="116"/>
      <c r="AW807" s="116"/>
      <c r="AX807" s="116"/>
      <c r="AY807" s="116"/>
      <c r="AZ807" s="116"/>
      <c r="BA807" s="116"/>
      <c r="BB807" s="116"/>
      <c r="BC807" s="116"/>
      <c r="BD807" s="116"/>
      <c r="BE807" s="116"/>
      <c r="BF807" s="116"/>
      <c r="BG807" s="116"/>
      <c r="BH807" s="124"/>
      <c r="BI807" s="124"/>
      <c r="BJ807" s="116"/>
      <c r="BK807" s="116"/>
      <c r="BL807" s="116"/>
      <c r="BM807" s="116"/>
      <c r="BN807" s="116"/>
      <c r="BO807" s="116"/>
      <c r="BP807" s="125"/>
      <c r="BQ807" s="116"/>
    </row>
    <row r="808">
      <c r="A808" s="116"/>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c r="AA808" s="116"/>
      <c r="AB808" s="116"/>
      <c r="AC808" s="116"/>
      <c r="AD808" s="116"/>
      <c r="AE808" s="116"/>
      <c r="AF808" s="116"/>
      <c r="AG808" s="116"/>
      <c r="AH808" s="116"/>
      <c r="AI808" s="116"/>
      <c r="AJ808" s="116"/>
      <c r="AK808" s="116"/>
      <c r="AL808" s="116"/>
      <c r="AM808" s="116"/>
      <c r="AN808" s="116"/>
      <c r="AO808" s="116"/>
      <c r="AP808" s="116"/>
      <c r="AQ808" s="116"/>
      <c r="AR808" s="116"/>
      <c r="AS808" s="116"/>
      <c r="AT808" s="116"/>
      <c r="AU808" s="116"/>
      <c r="AV808" s="116"/>
      <c r="AW808" s="116"/>
      <c r="AX808" s="116"/>
      <c r="AY808" s="116"/>
      <c r="AZ808" s="116"/>
      <c r="BA808" s="116"/>
      <c r="BB808" s="116"/>
      <c r="BC808" s="116"/>
      <c r="BD808" s="116"/>
      <c r="BE808" s="116"/>
      <c r="BF808" s="116"/>
      <c r="BG808" s="116"/>
      <c r="BH808" s="124"/>
      <c r="BI808" s="124"/>
      <c r="BJ808" s="116"/>
      <c r="BK808" s="116"/>
      <c r="BL808" s="116"/>
      <c r="BM808" s="116"/>
      <c r="BN808" s="116"/>
      <c r="BO808" s="116"/>
      <c r="BP808" s="125"/>
      <c r="BQ808" s="116"/>
    </row>
    <row r="809">
      <c r="A809" s="116"/>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c r="AA809" s="116"/>
      <c r="AB809" s="116"/>
      <c r="AC809" s="116"/>
      <c r="AD809" s="116"/>
      <c r="AE809" s="116"/>
      <c r="AF809" s="116"/>
      <c r="AG809" s="116"/>
      <c r="AH809" s="116"/>
      <c r="AI809" s="116"/>
      <c r="AJ809" s="116"/>
      <c r="AK809" s="116"/>
      <c r="AL809" s="116"/>
      <c r="AM809" s="116"/>
      <c r="AN809" s="116"/>
      <c r="AO809" s="116"/>
      <c r="AP809" s="116"/>
      <c r="AQ809" s="116"/>
      <c r="AR809" s="116"/>
      <c r="AS809" s="116"/>
      <c r="AT809" s="116"/>
      <c r="AU809" s="116"/>
      <c r="AV809" s="116"/>
      <c r="AW809" s="116"/>
      <c r="AX809" s="116"/>
      <c r="AY809" s="116"/>
      <c r="AZ809" s="116"/>
      <c r="BA809" s="116"/>
      <c r="BB809" s="116"/>
      <c r="BC809" s="116"/>
      <c r="BD809" s="116"/>
      <c r="BE809" s="116"/>
      <c r="BF809" s="116"/>
      <c r="BG809" s="116"/>
      <c r="BH809" s="124"/>
      <c r="BI809" s="124"/>
      <c r="BJ809" s="116"/>
      <c r="BK809" s="116"/>
      <c r="BL809" s="116"/>
      <c r="BM809" s="116"/>
      <c r="BN809" s="116"/>
      <c r="BO809" s="116"/>
      <c r="BP809" s="125"/>
      <c r="BQ809" s="116"/>
    </row>
    <row r="810">
      <c r="A810" s="116"/>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c r="AA810" s="116"/>
      <c r="AB810" s="116"/>
      <c r="AC810" s="116"/>
      <c r="AD810" s="116"/>
      <c r="AE810" s="116"/>
      <c r="AF810" s="116"/>
      <c r="AG810" s="116"/>
      <c r="AH810" s="116"/>
      <c r="AI810" s="116"/>
      <c r="AJ810" s="116"/>
      <c r="AK810" s="116"/>
      <c r="AL810" s="116"/>
      <c r="AM810" s="116"/>
      <c r="AN810" s="116"/>
      <c r="AO810" s="116"/>
      <c r="AP810" s="116"/>
      <c r="AQ810" s="116"/>
      <c r="AR810" s="116"/>
      <c r="AS810" s="116"/>
      <c r="AT810" s="116"/>
      <c r="AU810" s="116"/>
      <c r="AV810" s="116"/>
      <c r="AW810" s="116"/>
      <c r="AX810" s="116"/>
      <c r="AY810" s="116"/>
      <c r="AZ810" s="116"/>
      <c r="BA810" s="116"/>
      <c r="BB810" s="116"/>
      <c r="BC810" s="116"/>
      <c r="BD810" s="116"/>
      <c r="BE810" s="116"/>
      <c r="BF810" s="116"/>
      <c r="BG810" s="116"/>
      <c r="BH810" s="124"/>
      <c r="BI810" s="124"/>
      <c r="BJ810" s="116"/>
      <c r="BK810" s="116"/>
      <c r="BL810" s="116"/>
      <c r="BM810" s="116"/>
      <c r="BN810" s="116"/>
      <c r="BO810" s="116"/>
      <c r="BP810" s="125"/>
      <c r="BQ810" s="116"/>
    </row>
    <row r="811">
      <c r="A811" s="116"/>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c r="AA811" s="116"/>
      <c r="AB811" s="116"/>
      <c r="AC811" s="116"/>
      <c r="AD811" s="116"/>
      <c r="AE811" s="116"/>
      <c r="AF811" s="116"/>
      <c r="AG811" s="116"/>
      <c r="AH811" s="116"/>
      <c r="AI811" s="116"/>
      <c r="AJ811" s="116"/>
      <c r="AK811" s="116"/>
      <c r="AL811" s="116"/>
      <c r="AM811" s="116"/>
      <c r="AN811" s="116"/>
      <c r="AO811" s="116"/>
      <c r="AP811" s="116"/>
      <c r="AQ811" s="116"/>
      <c r="AR811" s="116"/>
      <c r="AS811" s="116"/>
      <c r="AT811" s="116"/>
      <c r="AU811" s="116"/>
      <c r="AV811" s="116"/>
      <c r="AW811" s="116"/>
      <c r="AX811" s="116"/>
      <c r="AY811" s="116"/>
      <c r="AZ811" s="116"/>
      <c r="BA811" s="116"/>
      <c r="BB811" s="116"/>
      <c r="BC811" s="116"/>
      <c r="BD811" s="116"/>
      <c r="BE811" s="116"/>
      <c r="BF811" s="116"/>
      <c r="BG811" s="116"/>
      <c r="BH811" s="124"/>
      <c r="BI811" s="124"/>
      <c r="BJ811" s="116"/>
      <c r="BK811" s="116"/>
      <c r="BL811" s="116"/>
      <c r="BM811" s="116"/>
      <c r="BN811" s="116"/>
      <c r="BO811" s="116"/>
      <c r="BP811" s="125"/>
      <c r="BQ811" s="116"/>
    </row>
    <row r="812">
      <c r="A812" s="116"/>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c r="AA812" s="116"/>
      <c r="AB812" s="116"/>
      <c r="AC812" s="116"/>
      <c r="AD812" s="116"/>
      <c r="AE812" s="116"/>
      <c r="AF812" s="116"/>
      <c r="AG812" s="116"/>
      <c r="AH812" s="116"/>
      <c r="AI812" s="116"/>
      <c r="AJ812" s="116"/>
      <c r="AK812" s="116"/>
      <c r="AL812" s="116"/>
      <c r="AM812" s="116"/>
      <c r="AN812" s="116"/>
      <c r="AO812" s="116"/>
      <c r="AP812" s="116"/>
      <c r="AQ812" s="116"/>
      <c r="AR812" s="116"/>
      <c r="AS812" s="116"/>
      <c r="AT812" s="116"/>
      <c r="AU812" s="116"/>
      <c r="AV812" s="116"/>
      <c r="AW812" s="116"/>
      <c r="AX812" s="116"/>
      <c r="AY812" s="116"/>
      <c r="AZ812" s="116"/>
      <c r="BA812" s="116"/>
      <c r="BB812" s="116"/>
      <c r="BC812" s="116"/>
      <c r="BD812" s="116"/>
      <c r="BE812" s="116"/>
      <c r="BF812" s="116"/>
      <c r="BG812" s="116"/>
      <c r="BH812" s="124"/>
      <c r="BI812" s="124"/>
      <c r="BJ812" s="116"/>
      <c r="BK812" s="116"/>
      <c r="BL812" s="116"/>
      <c r="BM812" s="116"/>
      <c r="BN812" s="116"/>
      <c r="BO812" s="116"/>
      <c r="BP812" s="125"/>
      <c r="BQ812" s="116"/>
    </row>
    <row r="813">
      <c r="A813" s="116"/>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c r="AA813" s="116"/>
      <c r="AB813" s="116"/>
      <c r="AC813" s="116"/>
      <c r="AD813" s="116"/>
      <c r="AE813" s="116"/>
      <c r="AF813" s="116"/>
      <c r="AG813" s="116"/>
      <c r="AH813" s="116"/>
      <c r="AI813" s="116"/>
      <c r="AJ813" s="116"/>
      <c r="AK813" s="116"/>
      <c r="AL813" s="116"/>
      <c r="AM813" s="116"/>
      <c r="AN813" s="116"/>
      <c r="AO813" s="116"/>
      <c r="AP813" s="116"/>
      <c r="AQ813" s="116"/>
      <c r="AR813" s="116"/>
      <c r="AS813" s="116"/>
      <c r="AT813" s="116"/>
      <c r="AU813" s="116"/>
      <c r="AV813" s="116"/>
      <c r="AW813" s="116"/>
      <c r="AX813" s="116"/>
      <c r="AY813" s="116"/>
      <c r="AZ813" s="116"/>
      <c r="BA813" s="116"/>
      <c r="BB813" s="116"/>
      <c r="BC813" s="116"/>
      <c r="BD813" s="116"/>
      <c r="BE813" s="116"/>
      <c r="BF813" s="116"/>
      <c r="BG813" s="116"/>
      <c r="BH813" s="124"/>
      <c r="BI813" s="124"/>
      <c r="BJ813" s="116"/>
      <c r="BK813" s="116"/>
      <c r="BL813" s="116"/>
      <c r="BM813" s="116"/>
      <c r="BN813" s="116"/>
      <c r="BO813" s="116"/>
      <c r="BP813" s="125"/>
      <c r="BQ813" s="116"/>
    </row>
    <row r="814">
      <c r="A814" s="116"/>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c r="AA814" s="116"/>
      <c r="AB814" s="116"/>
      <c r="AC814" s="116"/>
      <c r="AD814" s="116"/>
      <c r="AE814" s="116"/>
      <c r="AF814" s="116"/>
      <c r="AG814" s="116"/>
      <c r="AH814" s="116"/>
      <c r="AI814" s="116"/>
      <c r="AJ814" s="116"/>
      <c r="AK814" s="116"/>
      <c r="AL814" s="116"/>
      <c r="AM814" s="116"/>
      <c r="AN814" s="116"/>
      <c r="AO814" s="116"/>
      <c r="AP814" s="116"/>
      <c r="AQ814" s="116"/>
      <c r="AR814" s="116"/>
      <c r="AS814" s="116"/>
      <c r="AT814" s="116"/>
      <c r="AU814" s="116"/>
      <c r="AV814" s="116"/>
      <c r="AW814" s="116"/>
      <c r="AX814" s="116"/>
      <c r="AY814" s="116"/>
      <c r="AZ814" s="116"/>
      <c r="BA814" s="116"/>
      <c r="BB814" s="116"/>
      <c r="BC814" s="116"/>
      <c r="BD814" s="116"/>
      <c r="BE814" s="116"/>
      <c r="BF814" s="116"/>
      <c r="BG814" s="116"/>
      <c r="BH814" s="124"/>
      <c r="BI814" s="124"/>
      <c r="BJ814" s="116"/>
      <c r="BK814" s="116"/>
      <c r="BL814" s="116"/>
      <c r="BM814" s="116"/>
      <c r="BN814" s="116"/>
      <c r="BO814" s="116"/>
      <c r="BP814" s="125"/>
      <c r="BQ814" s="116"/>
    </row>
    <row r="815">
      <c r="A815" s="116"/>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c r="AA815" s="116"/>
      <c r="AB815" s="116"/>
      <c r="AC815" s="116"/>
      <c r="AD815" s="116"/>
      <c r="AE815" s="116"/>
      <c r="AF815" s="116"/>
      <c r="AG815" s="116"/>
      <c r="AH815" s="116"/>
      <c r="AI815" s="116"/>
      <c r="AJ815" s="116"/>
      <c r="AK815" s="116"/>
      <c r="AL815" s="116"/>
      <c r="AM815" s="116"/>
      <c r="AN815" s="116"/>
      <c r="AO815" s="116"/>
      <c r="AP815" s="116"/>
      <c r="AQ815" s="116"/>
      <c r="AR815" s="116"/>
      <c r="AS815" s="116"/>
      <c r="AT815" s="116"/>
      <c r="AU815" s="116"/>
      <c r="AV815" s="116"/>
      <c r="AW815" s="116"/>
      <c r="AX815" s="116"/>
      <c r="AY815" s="116"/>
      <c r="AZ815" s="116"/>
      <c r="BA815" s="116"/>
      <c r="BB815" s="116"/>
      <c r="BC815" s="116"/>
      <c r="BD815" s="116"/>
      <c r="BE815" s="116"/>
      <c r="BF815" s="116"/>
      <c r="BG815" s="116"/>
      <c r="BH815" s="124"/>
      <c r="BI815" s="124"/>
      <c r="BJ815" s="116"/>
      <c r="BK815" s="116"/>
      <c r="BL815" s="116"/>
      <c r="BM815" s="116"/>
      <c r="BN815" s="116"/>
      <c r="BO815" s="116"/>
      <c r="BP815" s="125"/>
      <c r="BQ815" s="116"/>
    </row>
    <row r="816">
      <c r="A816" s="1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c r="AA816" s="116"/>
      <c r="AB816" s="116"/>
      <c r="AC816" s="116"/>
      <c r="AD816" s="116"/>
      <c r="AE816" s="116"/>
      <c r="AF816" s="116"/>
      <c r="AG816" s="116"/>
      <c r="AH816" s="116"/>
      <c r="AI816" s="116"/>
      <c r="AJ816" s="116"/>
      <c r="AK816" s="116"/>
      <c r="AL816" s="116"/>
      <c r="AM816" s="116"/>
      <c r="AN816" s="116"/>
      <c r="AO816" s="116"/>
      <c r="AP816" s="116"/>
      <c r="AQ816" s="116"/>
      <c r="AR816" s="116"/>
      <c r="AS816" s="116"/>
      <c r="AT816" s="116"/>
      <c r="AU816" s="116"/>
      <c r="AV816" s="116"/>
      <c r="AW816" s="116"/>
      <c r="AX816" s="116"/>
      <c r="AY816" s="116"/>
      <c r="AZ816" s="116"/>
      <c r="BA816" s="116"/>
      <c r="BB816" s="116"/>
      <c r="BC816" s="116"/>
      <c r="BD816" s="116"/>
      <c r="BE816" s="116"/>
      <c r="BF816" s="116"/>
      <c r="BG816" s="116"/>
      <c r="BH816" s="124"/>
      <c r="BI816" s="124"/>
      <c r="BJ816" s="116"/>
      <c r="BK816" s="116"/>
      <c r="BL816" s="116"/>
      <c r="BM816" s="116"/>
      <c r="BN816" s="116"/>
      <c r="BO816" s="116"/>
      <c r="BP816" s="125"/>
      <c r="BQ816" s="116"/>
    </row>
    <row r="817">
      <c r="A817" s="116"/>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c r="AA817" s="116"/>
      <c r="AB817" s="116"/>
      <c r="AC817" s="116"/>
      <c r="AD817" s="116"/>
      <c r="AE817" s="116"/>
      <c r="AF817" s="116"/>
      <c r="AG817" s="116"/>
      <c r="AH817" s="116"/>
      <c r="AI817" s="116"/>
      <c r="AJ817" s="116"/>
      <c r="AK817" s="116"/>
      <c r="AL817" s="116"/>
      <c r="AM817" s="116"/>
      <c r="AN817" s="116"/>
      <c r="AO817" s="116"/>
      <c r="AP817" s="116"/>
      <c r="AQ817" s="116"/>
      <c r="AR817" s="116"/>
      <c r="AS817" s="116"/>
      <c r="AT817" s="116"/>
      <c r="AU817" s="116"/>
      <c r="AV817" s="116"/>
      <c r="AW817" s="116"/>
      <c r="AX817" s="116"/>
      <c r="AY817" s="116"/>
      <c r="AZ817" s="116"/>
      <c r="BA817" s="116"/>
      <c r="BB817" s="116"/>
      <c r="BC817" s="116"/>
      <c r="BD817" s="116"/>
      <c r="BE817" s="116"/>
      <c r="BF817" s="116"/>
      <c r="BG817" s="116"/>
      <c r="BH817" s="124"/>
      <c r="BI817" s="124"/>
      <c r="BJ817" s="116"/>
      <c r="BK817" s="116"/>
      <c r="BL817" s="116"/>
      <c r="BM817" s="116"/>
      <c r="BN817" s="116"/>
      <c r="BO817" s="116"/>
      <c r="BP817" s="125"/>
      <c r="BQ817" s="116"/>
    </row>
    <row r="818">
      <c r="A818" s="116"/>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c r="AA818" s="116"/>
      <c r="AB818" s="116"/>
      <c r="AC818" s="116"/>
      <c r="AD818" s="116"/>
      <c r="AE818" s="116"/>
      <c r="AF818" s="116"/>
      <c r="AG818" s="116"/>
      <c r="AH818" s="116"/>
      <c r="AI818" s="116"/>
      <c r="AJ818" s="116"/>
      <c r="AK818" s="116"/>
      <c r="AL818" s="116"/>
      <c r="AM818" s="116"/>
      <c r="AN818" s="116"/>
      <c r="AO818" s="116"/>
      <c r="AP818" s="116"/>
      <c r="AQ818" s="116"/>
      <c r="AR818" s="116"/>
      <c r="AS818" s="116"/>
      <c r="AT818" s="116"/>
      <c r="AU818" s="116"/>
      <c r="AV818" s="116"/>
      <c r="AW818" s="116"/>
      <c r="AX818" s="116"/>
      <c r="AY818" s="116"/>
      <c r="AZ818" s="116"/>
      <c r="BA818" s="116"/>
      <c r="BB818" s="116"/>
      <c r="BC818" s="116"/>
      <c r="BD818" s="116"/>
      <c r="BE818" s="116"/>
      <c r="BF818" s="116"/>
      <c r="BG818" s="116"/>
      <c r="BH818" s="124"/>
      <c r="BI818" s="124"/>
      <c r="BJ818" s="116"/>
      <c r="BK818" s="116"/>
      <c r="BL818" s="116"/>
      <c r="BM818" s="116"/>
      <c r="BN818" s="116"/>
      <c r="BO818" s="116"/>
      <c r="BP818" s="125"/>
      <c r="BQ818" s="116"/>
    </row>
    <row r="819">
      <c r="A819" s="116"/>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c r="AA819" s="116"/>
      <c r="AB819" s="116"/>
      <c r="AC819" s="116"/>
      <c r="AD819" s="116"/>
      <c r="AE819" s="116"/>
      <c r="AF819" s="116"/>
      <c r="AG819" s="116"/>
      <c r="AH819" s="116"/>
      <c r="AI819" s="116"/>
      <c r="AJ819" s="116"/>
      <c r="AK819" s="116"/>
      <c r="AL819" s="116"/>
      <c r="AM819" s="116"/>
      <c r="AN819" s="116"/>
      <c r="AO819" s="116"/>
      <c r="AP819" s="116"/>
      <c r="AQ819" s="116"/>
      <c r="AR819" s="116"/>
      <c r="AS819" s="116"/>
      <c r="AT819" s="116"/>
      <c r="AU819" s="116"/>
      <c r="AV819" s="116"/>
      <c r="AW819" s="116"/>
      <c r="AX819" s="116"/>
      <c r="AY819" s="116"/>
      <c r="AZ819" s="116"/>
      <c r="BA819" s="116"/>
      <c r="BB819" s="116"/>
      <c r="BC819" s="116"/>
      <c r="BD819" s="116"/>
      <c r="BE819" s="116"/>
      <c r="BF819" s="116"/>
      <c r="BG819" s="116"/>
      <c r="BH819" s="124"/>
      <c r="BI819" s="124"/>
      <c r="BJ819" s="116"/>
      <c r="BK819" s="116"/>
      <c r="BL819" s="116"/>
      <c r="BM819" s="116"/>
      <c r="BN819" s="116"/>
      <c r="BO819" s="116"/>
      <c r="BP819" s="125"/>
      <c r="BQ819" s="116"/>
    </row>
    <row r="820">
      <c r="A820" s="116"/>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c r="AA820" s="116"/>
      <c r="AB820" s="116"/>
      <c r="AC820" s="116"/>
      <c r="AD820" s="116"/>
      <c r="AE820" s="116"/>
      <c r="AF820" s="116"/>
      <c r="AG820" s="116"/>
      <c r="AH820" s="116"/>
      <c r="AI820" s="116"/>
      <c r="AJ820" s="116"/>
      <c r="AK820" s="116"/>
      <c r="AL820" s="116"/>
      <c r="AM820" s="116"/>
      <c r="AN820" s="116"/>
      <c r="AO820" s="116"/>
      <c r="AP820" s="116"/>
      <c r="AQ820" s="116"/>
      <c r="AR820" s="116"/>
      <c r="AS820" s="116"/>
      <c r="AT820" s="116"/>
      <c r="AU820" s="116"/>
      <c r="AV820" s="116"/>
      <c r="AW820" s="116"/>
      <c r="AX820" s="116"/>
      <c r="AY820" s="116"/>
      <c r="AZ820" s="116"/>
      <c r="BA820" s="116"/>
      <c r="BB820" s="116"/>
      <c r="BC820" s="116"/>
      <c r="BD820" s="116"/>
      <c r="BE820" s="116"/>
      <c r="BF820" s="116"/>
      <c r="BG820" s="116"/>
      <c r="BH820" s="124"/>
      <c r="BI820" s="124"/>
      <c r="BJ820" s="116"/>
      <c r="BK820" s="116"/>
      <c r="BL820" s="116"/>
      <c r="BM820" s="116"/>
      <c r="BN820" s="116"/>
      <c r="BO820" s="116"/>
      <c r="BP820" s="125"/>
      <c r="BQ820" s="116"/>
    </row>
    <row r="821">
      <c r="A821" s="116"/>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c r="AA821" s="116"/>
      <c r="AB821" s="116"/>
      <c r="AC821" s="116"/>
      <c r="AD821" s="116"/>
      <c r="AE821" s="116"/>
      <c r="AF821" s="116"/>
      <c r="AG821" s="116"/>
      <c r="AH821" s="116"/>
      <c r="AI821" s="116"/>
      <c r="AJ821" s="116"/>
      <c r="AK821" s="116"/>
      <c r="AL821" s="116"/>
      <c r="AM821" s="116"/>
      <c r="AN821" s="116"/>
      <c r="AO821" s="116"/>
      <c r="AP821" s="116"/>
      <c r="AQ821" s="116"/>
      <c r="AR821" s="116"/>
      <c r="AS821" s="116"/>
      <c r="AT821" s="116"/>
      <c r="AU821" s="116"/>
      <c r="AV821" s="116"/>
      <c r="AW821" s="116"/>
      <c r="AX821" s="116"/>
      <c r="AY821" s="116"/>
      <c r="AZ821" s="116"/>
      <c r="BA821" s="116"/>
      <c r="BB821" s="116"/>
      <c r="BC821" s="116"/>
      <c r="BD821" s="116"/>
      <c r="BE821" s="116"/>
      <c r="BF821" s="116"/>
      <c r="BG821" s="116"/>
      <c r="BH821" s="124"/>
      <c r="BI821" s="124"/>
      <c r="BJ821" s="116"/>
      <c r="BK821" s="116"/>
      <c r="BL821" s="116"/>
      <c r="BM821" s="116"/>
      <c r="BN821" s="116"/>
      <c r="BO821" s="116"/>
      <c r="BP821" s="125"/>
      <c r="BQ821" s="116"/>
    </row>
    <row r="822">
      <c r="A822" s="116"/>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c r="AA822" s="116"/>
      <c r="AB822" s="116"/>
      <c r="AC822" s="116"/>
      <c r="AD822" s="116"/>
      <c r="AE822" s="116"/>
      <c r="AF822" s="116"/>
      <c r="AG822" s="116"/>
      <c r="AH822" s="116"/>
      <c r="AI822" s="116"/>
      <c r="AJ822" s="116"/>
      <c r="AK822" s="116"/>
      <c r="AL822" s="116"/>
      <c r="AM822" s="116"/>
      <c r="AN822" s="116"/>
      <c r="AO822" s="116"/>
      <c r="AP822" s="116"/>
      <c r="AQ822" s="116"/>
      <c r="AR822" s="116"/>
      <c r="AS822" s="116"/>
      <c r="AT822" s="116"/>
      <c r="AU822" s="116"/>
      <c r="AV822" s="116"/>
      <c r="AW822" s="116"/>
      <c r="AX822" s="116"/>
      <c r="AY822" s="116"/>
      <c r="AZ822" s="116"/>
      <c r="BA822" s="116"/>
      <c r="BB822" s="116"/>
      <c r="BC822" s="116"/>
      <c r="BD822" s="116"/>
      <c r="BE822" s="116"/>
      <c r="BF822" s="116"/>
      <c r="BG822" s="116"/>
      <c r="BH822" s="124"/>
      <c r="BI822" s="124"/>
      <c r="BJ822" s="116"/>
      <c r="BK822" s="116"/>
      <c r="BL822" s="116"/>
      <c r="BM822" s="116"/>
      <c r="BN822" s="116"/>
      <c r="BO822" s="116"/>
      <c r="BP822" s="125"/>
      <c r="BQ822" s="116"/>
    </row>
    <row r="823">
      <c r="A823" s="116"/>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c r="AA823" s="116"/>
      <c r="AB823" s="116"/>
      <c r="AC823" s="116"/>
      <c r="AD823" s="116"/>
      <c r="AE823" s="116"/>
      <c r="AF823" s="116"/>
      <c r="AG823" s="116"/>
      <c r="AH823" s="116"/>
      <c r="AI823" s="116"/>
      <c r="AJ823" s="116"/>
      <c r="AK823" s="116"/>
      <c r="AL823" s="116"/>
      <c r="AM823" s="116"/>
      <c r="AN823" s="116"/>
      <c r="AO823" s="116"/>
      <c r="AP823" s="116"/>
      <c r="AQ823" s="116"/>
      <c r="AR823" s="116"/>
      <c r="AS823" s="116"/>
      <c r="AT823" s="116"/>
      <c r="AU823" s="116"/>
      <c r="AV823" s="116"/>
      <c r="AW823" s="116"/>
      <c r="AX823" s="116"/>
      <c r="AY823" s="116"/>
      <c r="AZ823" s="116"/>
      <c r="BA823" s="116"/>
      <c r="BB823" s="116"/>
      <c r="BC823" s="116"/>
      <c r="BD823" s="116"/>
      <c r="BE823" s="116"/>
      <c r="BF823" s="116"/>
      <c r="BG823" s="116"/>
      <c r="BH823" s="124"/>
      <c r="BI823" s="124"/>
      <c r="BJ823" s="116"/>
      <c r="BK823" s="116"/>
      <c r="BL823" s="116"/>
      <c r="BM823" s="116"/>
      <c r="BN823" s="116"/>
      <c r="BO823" s="116"/>
      <c r="BP823" s="125"/>
      <c r="BQ823" s="116"/>
    </row>
    <row r="824">
      <c r="A824" s="116"/>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c r="AA824" s="116"/>
      <c r="AB824" s="116"/>
      <c r="AC824" s="116"/>
      <c r="AD824" s="116"/>
      <c r="AE824" s="116"/>
      <c r="AF824" s="116"/>
      <c r="AG824" s="116"/>
      <c r="AH824" s="116"/>
      <c r="AI824" s="116"/>
      <c r="AJ824" s="116"/>
      <c r="AK824" s="116"/>
      <c r="AL824" s="116"/>
      <c r="AM824" s="116"/>
      <c r="AN824" s="116"/>
      <c r="AO824" s="116"/>
      <c r="AP824" s="116"/>
      <c r="AQ824" s="116"/>
      <c r="AR824" s="116"/>
      <c r="AS824" s="116"/>
      <c r="AT824" s="116"/>
      <c r="AU824" s="116"/>
      <c r="AV824" s="116"/>
      <c r="AW824" s="116"/>
      <c r="AX824" s="116"/>
      <c r="AY824" s="116"/>
      <c r="AZ824" s="116"/>
      <c r="BA824" s="116"/>
      <c r="BB824" s="116"/>
      <c r="BC824" s="116"/>
      <c r="BD824" s="116"/>
      <c r="BE824" s="116"/>
      <c r="BF824" s="116"/>
      <c r="BG824" s="116"/>
      <c r="BH824" s="124"/>
      <c r="BI824" s="124"/>
      <c r="BJ824" s="116"/>
      <c r="BK824" s="116"/>
      <c r="BL824" s="116"/>
      <c r="BM824" s="116"/>
      <c r="BN824" s="116"/>
      <c r="BO824" s="116"/>
      <c r="BP824" s="125"/>
      <c r="BQ824" s="116"/>
    </row>
    <row r="825">
      <c r="A825" s="116"/>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c r="AA825" s="116"/>
      <c r="AB825" s="116"/>
      <c r="AC825" s="116"/>
      <c r="AD825" s="116"/>
      <c r="AE825" s="116"/>
      <c r="AF825" s="116"/>
      <c r="AG825" s="116"/>
      <c r="AH825" s="116"/>
      <c r="AI825" s="116"/>
      <c r="AJ825" s="116"/>
      <c r="AK825" s="116"/>
      <c r="AL825" s="116"/>
      <c r="AM825" s="116"/>
      <c r="AN825" s="116"/>
      <c r="AO825" s="116"/>
      <c r="AP825" s="116"/>
      <c r="AQ825" s="116"/>
      <c r="AR825" s="116"/>
      <c r="AS825" s="116"/>
      <c r="AT825" s="116"/>
      <c r="AU825" s="116"/>
      <c r="AV825" s="116"/>
      <c r="AW825" s="116"/>
      <c r="AX825" s="116"/>
      <c r="AY825" s="116"/>
      <c r="AZ825" s="116"/>
      <c r="BA825" s="116"/>
      <c r="BB825" s="116"/>
      <c r="BC825" s="116"/>
      <c r="BD825" s="116"/>
      <c r="BE825" s="116"/>
      <c r="BF825" s="116"/>
      <c r="BG825" s="116"/>
      <c r="BH825" s="124"/>
      <c r="BI825" s="124"/>
      <c r="BJ825" s="116"/>
      <c r="BK825" s="116"/>
      <c r="BL825" s="116"/>
      <c r="BM825" s="116"/>
      <c r="BN825" s="116"/>
      <c r="BO825" s="116"/>
      <c r="BP825" s="125"/>
      <c r="BQ825" s="116"/>
    </row>
    <row r="826">
      <c r="A826" s="11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c r="AA826" s="116"/>
      <c r="AB826" s="116"/>
      <c r="AC826" s="116"/>
      <c r="AD826" s="116"/>
      <c r="AE826" s="116"/>
      <c r="AF826" s="116"/>
      <c r="AG826" s="116"/>
      <c r="AH826" s="116"/>
      <c r="AI826" s="116"/>
      <c r="AJ826" s="116"/>
      <c r="AK826" s="116"/>
      <c r="AL826" s="116"/>
      <c r="AM826" s="116"/>
      <c r="AN826" s="116"/>
      <c r="AO826" s="116"/>
      <c r="AP826" s="116"/>
      <c r="AQ826" s="116"/>
      <c r="AR826" s="116"/>
      <c r="AS826" s="116"/>
      <c r="AT826" s="116"/>
      <c r="AU826" s="116"/>
      <c r="AV826" s="116"/>
      <c r="AW826" s="116"/>
      <c r="AX826" s="116"/>
      <c r="AY826" s="116"/>
      <c r="AZ826" s="116"/>
      <c r="BA826" s="116"/>
      <c r="BB826" s="116"/>
      <c r="BC826" s="116"/>
      <c r="BD826" s="116"/>
      <c r="BE826" s="116"/>
      <c r="BF826" s="116"/>
      <c r="BG826" s="116"/>
      <c r="BH826" s="124"/>
      <c r="BI826" s="124"/>
      <c r="BJ826" s="116"/>
      <c r="BK826" s="116"/>
      <c r="BL826" s="116"/>
      <c r="BM826" s="116"/>
      <c r="BN826" s="116"/>
      <c r="BO826" s="116"/>
      <c r="BP826" s="125"/>
      <c r="BQ826" s="116"/>
    </row>
    <row r="827">
      <c r="A827" s="116"/>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c r="AA827" s="116"/>
      <c r="AB827" s="116"/>
      <c r="AC827" s="116"/>
      <c r="AD827" s="116"/>
      <c r="AE827" s="116"/>
      <c r="AF827" s="116"/>
      <c r="AG827" s="116"/>
      <c r="AH827" s="116"/>
      <c r="AI827" s="116"/>
      <c r="AJ827" s="116"/>
      <c r="AK827" s="116"/>
      <c r="AL827" s="116"/>
      <c r="AM827" s="116"/>
      <c r="AN827" s="116"/>
      <c r="AO827" s="116"/>
      <c r="AP827" s="116"/>
      <c r="AQ827" s="116"/>
      <c r="AR827" s="116"/>
      <c r="AS827" s="116"/>
      <c r="AT827" s="116"/>
      <c r="AU827" s="116"/>
      <c r="AV827" s="116"/>
      <c r="AW827" s="116"/>
      <c r="AX827" s="116"/>
      <c r="AY827" s="116"/>
      <c r="AZ827" s="116"/>
      <c r="BA827" s="116"/>
      <c r="BB827" s="116"/>
      <c r="BC827" s="116"/>
      <c r="BD827" s="116"/>
      <c r="BE827" s="116"/>
      <c r="BF827" s="116"/>
      <c r="BG827" s="116"/>
      <c r="BH827" s="124"/>
      <c r="BI827" s="124"/>
      <c r="BJ827" s="116"/>
      <c r="BK827" s="116"/>
      <c r="BL827" s="116"/>
      <c r="BM827" s="116"/>
      <c r="BN827" s="116"/>
      <c r="BO827" s="116"/>
      <c r="BP827" s="125"/>
      <c r="BQ827" s="116"/>
    </row>
    <row r="828">
      <c r="A828" s="116"/>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c r="AA828" s="116"/>
      <c r="AB828" s="116"/>
      <c r="AC828" s="116"/>
      <c r="AD828" s="116"/>
      <c r="AE828" s="116"/>
      <c r="AF828" s="116"/>
      <c r="AG828" s="116"/>
      <c r="AH828" s="116"/>
      <c r="AI828" s="116"/>
      <c r="AJ828" s="116"/>
      <c r="AK828" s="116"/>
      <c r="AL828" s="116"/>
      <c r="AM828" s="116"/>
      <c r="AN828" s="116"/>
      <c r="AO828" s="116"/>
      <c r="AP828" s="116"/>
      <c r="AQ828" s="116"/>
      <c r="AR828" s="116"/>
      <c r="AS828" s="116"/>
      <c r="AT828" s="116"/>
      <c r="AU828" s="116"/>
      <c r="AV828" s="116"/>
      <c r="AW828" s="116"/>
      <c r="AX828" s="116"/>
      <c r="AY828" s="116"/>
      <c r="AZ828" s="116"/>
      <c r="BA828" s="116"/>
      <c r="BB828" s="116"/>
      <c r="BC828" s="116"/>
      <c r="BD828" s="116"/>
      <c r="BE828" s="116"/>
      <c r="BF828" s="116"/>
      <c r="BG828" s="116"/>
      <c r="BH828" s="124"/>
      <c r="BI828" s="124"/>
      <c r="BJ828" s="116"/>
      <c r="BK828" s="116"/>
      <c r="BL828" s="116"/>
      <c r="BM828" s="116"/>
      <c r="BN828" s="116"/>
      <c r="BO828" s="116"/>
      <c r="BP828" s="125"/>
      <c r="BQ828" s="116"/>
    </row>
    <row r="829">
      <c r="A829" s="116"/>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c r="AA829" s="116"/>
      <c r="AB829" s="116"/>
      <c r="AC829" s="116"/>
      <c r="AD829" s="116"/>
      <c r="AE829" s="116"/>
      <c r="AF829" s="116"/>
      <c r="AG829" s="116"/>
      <c r="AH829" s="116"/>
      <c r="AI829" s="116"/>
      <c r="AJ829" s="116"/>
      <c r="AK829" s="116"/>
      <c r="AL829" s="116"/>
      <c r="AM829" s="116"/>
      <c r="AN829" s="116"/>
      <c r="AO829" s="116"/>
      <c r="AP829" s="116"/>
      <c r="AQ829" s="116"/>
      <c r="AR829" s="116"/>
      <c r="AS829" s="116"/>
      <c r="AT829" s="116"/>
      <c r="AU829" s="116"/>
      <c r="AV829" s="116"/>
      <c r="AW829" s="116"/>
      <c r="AX829" s="116"/>
      <c r="AY829" s="116"/>
      <c r="AZ829" s="116"/>
      <c r="BA829" s="116"/>
      <c r="BB829" s="116"/>
      <c r="BC829" s="116"/>
      <c r="BD829" s="116"/>
      <c r="BE829" s="116"/>
      <c r="BF829" s="116"/>
      <c r="BG829" s="116"/>
      <c r="BH829" s="124"/>
      <c r="BI829" s="124"/>
      <c r="BJ829" s="116"/>
      <c r="BK829" s="116"/>
      <c r="BL829" s="116"/>
      <c r="BM829" s="116"/>
      <c r="BN829" s="116"/>
      <c r="BO829" s="116"/>
      <c r="BP829" s="125"/>
      <c r="BQ829" s="116"/>
    </row>
    <row r="830">
      <c r="A830" s="116"/>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c r="AA830" s="116"/>
      <c r="AB830" s="116"/>
      <c r="AC830" s="116"/>
      <c r="AD830" s="116"/>
      <c r="AE830" s="116"/>
      <c r="AF830" s="116"/>
      <c r="AG830" s="116"/>
      <c r="AH830" s="116"/>
      <c r="AI830" s="116"/>
      <c r="AJ830" s="116"/>
      <c r="AK830" s="116"/>
      <c r="AL830" s="116"/>
      <c r="AM830" s="116"/>
      <c r="AN830" s="116"/>
      <c r="AO830" s="116"/>
      <c r="AP830" s="116"/>
      <c r="AQ830" s="116"/>
      <c r="AR830" s="116"/>
      <c r="AS830" s="116"/>
      <c r="AT830" s="116"/>
      <c r="AU830" s="116"/>
      <c r="AV830" s="116"/>
      <c r="AW830" s="116"/>
      <c r="AX830" s="116"/>
      <c r="AY830" s="116"/>
      <c r="AZ830" s="116"/>
      <c r="BA830" s="116"/>
      <c r="BB830" s="116"/>
      <c r="BC830" s="116"/>
      <c r="BD830" s="116"/>
      <c r="BE830" s="116"/>
      <c r="BF830" s="116"/>
      <c r="BG830" s="116"/>
      <c r="BH830" s="124"/>
      <c r="BI830" s="124"/>
      <c r="BJ830" s="116"/>
      <c r="BK830" s="116"/>
      <c r="BL830" s="116"/>
      <c r="BM830" s="116"/>
      <c r="BN830" s="116"/>
      <c r="BO830" s="116"/>
      <c r="BP830" s="125"/>
      <c r="BQ830" s="116"/>
    </row>
    <row r="831">
      <c r="A831" s="116"/>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c r="AA831" s="116"/>
      <c r="AB831" s="116"/>
      <c r="AC831" s="116"/>
      <c r="AD831" s="116"/>
      <c r="AE831" s="116"/>
      <c r="AF831" s="116"/>
      <c r="AG831" s="116"/>
      <c r="AH831" s="116"/>
      <c r="AI831" s="116"/>
      <c r="AJ831" s="116"/>
      <c r="AK831" s="116"/>
      <c r="AL831" s="116"/>
      <c r="AM831" s="116"/>
      <c r="AN831" s="116"/>
      <c r="AO831" s="116"/>
      <c r="AP831" s="116"/>
      <c r="AQ831" s="116"/>
      <c r="AR831" s="116"/>
      <c r="AS831" s="116"/>
      <c r="AT831" s="116"/>
      <c r="AU831" s="116"/>
      <c r="AV831" s="116"/>
      <c r="AW831" s="116"/>
      <c r="AX831" s="116"/>
      <c r="AY831" s="116"/>
      <c r="AZ831" s="116"/>
      <c r="BA831" s="116"/>
      <c r="BB831" s="116"/>
      <c r="BC831" s="116"/>
      <c r="BD831" s="116"/>
      <c r="BE831" s="116"/>
      <c r="BF831" s="116"/>
      <c r="BG831" s="116"/>
      <c r="BH831" s="124"/>
      <c r="BI831" s="124"/>
      <c r="BJ831" s="116"/>
      <c r="BK831" s="116"/>
      <c r="BL831" s="116"/>
      <c r="BM831" s="116"/>
      <c r="BN831" s="116"/>
      <c r="BO831" s="116"/>
      <c r="BP831" s="125"/>
      <c r="BQ831" s="116"/>
    </row>
    <row r="832">
      <c r="A832" s="116"/>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c r="AA832" s="116"/>
      <c r="AB832" s="116"/>
      <c r="AC832" s="116"/>
      <c r="AD832" s="116"/>
      <c r="AE832" s="116"/>
      <c r="AF832" s="116"/>
      <c r="AG832" s="116"/>
      <c r="AH832" s="116"/>
      <c r="AI832" s="116"/>
      <c r="AJ832" s="116"/>
      <c r="AK832" s="116"/>
      <c r="AL832" s="116"/>
      <c r="AM832" s="116"/>
      <c r="AN832" s="116"/>
      <c r="AO832" s="116"/>
      <c r="AP832" s="116"/>
      <c r="AQ832" s="116"/>
      <c r="AR832" s="116"/>
      <c r="AS832" s="116"/>
      <c r="AT832" s="116"/>
      <c r="AU832" s="116"/>
      <c r="AV832" s="116"/>
      <c r="AW832" s="116"/>
      <c r="AX832" s="116"/>
      <c r="AY832" s="116"/>
      <c r="AZ832" s="116"/>
      <c r="BA832" s="116"/>
      <c r="BB832" s="116"/>
      <c r="BC832" s="116"/>
      <c r="BD832" s="116"/>
      <c r="BE832" s="116"/>
      <c r="BF832" s="116"/>
      <c r="BG832" s="116"/>
      <c r="BH832" s="124"/>
      <c r="BI832" s="124"/>
      <c r="BJ832" s="116"/>
      <c r="BK832" s="116"/>
      <c r="BL832" s="116"/>
      <c r="BM832" s="116"/>
      <c r="BN832" s="116"/>
      <c r="BO832" s="116"/>
      <c r="BP832" s="125"/>
      <c r="BQ832" s="116"/>
    </row>
    <row r="833">
      <c r="A833" s="116"/>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c r="AA833" s="116"/>
      <c r="AB833" s="116"/>
      <c r="AC833" s="116"/>
      <c r="AD833" s="116"/>
      <c r="AE833" s="116"/>
      <c r="AF833" s="116"/>
      <c r="AG833" s="116"/>
      <c r="AH833" s="116"/>
      <c r="AI833" s="116"/>
      <c r="AJ833" s="116"/>
      <c r="AK833" s="116"/>
      <c r="AL833" s="116"/>
      <c r="AM833" s="116"/>
      <c r="AN833" s="116"/>
      <c r="AO833" s="116"/>
      <c r="AP833" s="116"/>
      <c r="AQ833" s="116"/>
      <c r="AR833" s="116"/>
      <c r="AS833" s="116"/>
      <c r="AT833" s="116"/>
      <c r="AU833" s="116"/>
      <c r="AV833" s="116"/>
      <c r="AW833" s="116"/>
      <c r="AX833" s="116"/>
      <c r="AY833" s="116"/>
      <c r="AZ833" s="116"/>
      <c r="BA833" s="116"/>
      <c r="BB833" s="116"/>
      <c r="BC833" s="116"/>
      <c r="BD833" s="116"/>
      <c r="BE833" s="116"/>
      <c r="BF833" s="116"/>
      <c r="BG833" s="116"/>
      <c r="BH833" s="124"/>
      <c r="BI833" s="124"/>
      <c r="BJ833" s="116"/>
      <c r="BK833" s="116"/>
      <c r="BL833" s="116"/>
      <c r="BM833" s="116"/>
      <c r="BN833" s="116"/>
      <c r="BO833" s="116"/>
      <c r="BP833" s="125"/>
      <c r="BQ833" s="116"/>
    </row>
    <row r="834">
      <c r="A834" s="116"/>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c r="AA834" s="116"/>
      <c r="AB834" s="116"/>
      <c r="AC834" s="116"/>
      <c r="AD834" s="116"/>
      <c r="AE834" s="116"/>
      <c r="AF834" s="116"/>
      <c r="AG834" s="116"/>
      <c r="AH834" s="116"/>
      <c r="AI834" s="116"/>
      <c r="AJ834" s="116"/>
      <c r="AK834" s="116"/>
      <c r="AL834" s="116"/>
      <c r="AM834" s="116"/>
      <c r="AN834" s="116"/>
      <c r="AO834" s="116"/>
      <c r="AP834" s="116"/>
      <c r="AQ834" s="116"/>
      <c r="AR834" s="116"/>
      <c r="AS834" s="116"/>
      <c r="AT834" s="116"/>
      <c r="AU834" s="116"/>
      <c r="AV834" s="116"/>
      <c r="AW834" s="116"/>
      <c r="AX834" s="116"/>
      <c r="AY834" s="116"/>
      <c r="AZ834" s="116"/>
      <c r="BA834" s="116"/>
      <c r="BB834" s="116"/>
      <c r="BC834" s="116"/>
      <c r="BD834" s="116"/>
      <c r="BE834" s="116"/>
      <c r="BF834" s="116"/>
      <c r="BG834" s="116"/>
      <c r="BH834" s="124"/>
      <c r="BI834" s="124"/>
      <c r="BJ834" s="116"/>
      <c r="BK834" s="116"/>
      <c r="BL834" s="116"/>
      <c r="BM834" s="116"/>
      <c r="BN834" s="116"/>
      <c r="BO834" s="116"/>
      <c r="BP834" s="125"/>
      <c r="BQ834" s="116"/>
    </row>
    <row r="835">
      <c r="A835" s="116"/>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c r="AA835" s="116"/>
      <c r="AB835" s="116"/>
      <c r="AC835" s="116"/>
      <c r="AD835" s="116"/>
      <c r="AE835" s="116"/>
      <c r="AF835" s="116"/>
      <c r="AG835" s="116"/>
      <c r="AH835" s="116"/>
      <c r="AI835" s="116"/>
      <c r="AJ835" s="116"/>
      <c r="AK835" s="116"/>
      <c r="AL835" s="116"/>
      <c r="AM835" s="116"/>
      <c r="AN835" s="116"/>
      <c r="AO835" s="116"/>
      <c r="AP835" s="116"/>
      <c r="AQ835" s="116"/>
      <c r="AR835" s="116"/>
      <c r="AS835" s="116"/>
      <c r="AT835" s="116"/>
      <c r="AU835" s="116"/>
      <c r="AV835" s="116"/>
      <c r="AW835" s="116"/>
      <c r="AX835" s="116"/>
      <c r="AY835" s="116"/>
      <c r="AZ835" s="116"/>
      <c r="BA835" s="116"/>
      <c r="BB835" s="116"/>
      <c r="BC835" s="116"/>
      <c r="BD835" s="116"/>
      <c r="BE835" s="116"/>
      <c r="BF835" s="116"/>
      <c r="BG835" s="116"/>
      <c r="BH835" s="124"/>
      <c r="BI835" s="124"/>
      <c r="BJ835" s="116"/>
      <c r="BK835" s="116"/>
      <c r="BL835" s="116"/>
      <c r="BM835" s="116"/>
      <c r="BN835" s="116"/>
      <c r="BO835" s="116"/>
      <c r="BP835" s="125"/>
      <c r="BQ835" s="116"/>
    </row>
    <row r="836">
      <c r="A836" s="11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c r="AA836" s="116"/>
      <c r="AB836" s="116"/>
      <c r="AC836" s="116"/>
      <c r="AD836" s="116"/>
      <c r="AE836" s="116"/>
      <c r="AF836" s="116"/>
      <c r="AG836" s="116"/>
      <c r="AH836" s="116"/>
      <c r="AI836" s="116"/>
      <c r="AJ836" s="116"/>
      <c r="AK836" s="116"/>
      <c r="AL836" s="116"/>
      <c r="AM836" s="116"/>
      <c r="AN836" s="116"/>
      <c r="AO836" s="116"/>
      <c r="AP836" s="116"/>
      <c r="AQ836" s="116"/>
      <c r="AR836" s="116"/>
      <c r="AS836" s="116"/>
      <c r="AT836" s="116"/>
      <c r="AU836" s="116"/>
      <c r="AV836" s="116"/>
      <c r="AW836" s="116"/>
      <c r="AX836" s="116"/>
      <c r="AY836" s="116"/>
      <c r="AZ836" s="116"/>
      <c r="BA836" s="116"/>
      <c r="BB836" s="116"/>
      <c r="BC836" s="116"/>
      <c r="BD836" s="116"/>
      <c r="BE836" s="116"/>
      <c r="BF836" s="116"/>
      <c r="BG836" s="116"/>
      <c r="BH836" s="124"/>
      <c r="BI836" s="124"/>
      <c r="BJ836" s="116"/>
      <c r="BK836" s="116"/>
      <c r="BL836" s="116"/>
      <c r="BM836" s="116"/>
      <c r="BN836" s="116"/>
      <c r="BO836" s="116"/>
      <c r="BP836" s="125"/>
      <c r="BQ836" s="116"/>
    </row>
    <row r="837">
      <c r="A837" s="116"/>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c r="AA837" s="116"/>
      <c r="AB837" s="116"/>
      <c r="AC837" s="116"/>
      <c r="AD837" s="116"/>
      <c r="AE837" s="116"/>
      <c r="AF837" s="116"/>
      <c r="AG837" s="116"/>
      <c r="AH837" s="116"/>
      <c r="AI837" s="116"/>
      <c r="AJ837" s="116"/>
      <c r="AK837" s="116"/>
      <c r="AL837" s="116"/>
      <c r="AM837" s="116"/>
      <c r="AN837" s="116"/>
      <c r="AO837" s="116"/>
      <c r="AP837" s="116"/>
      <c r="AQ837" s="116"/>
      <c r="AR837" s="116"/>
      <c r="AS837" s="116"/>
      <c r="AT837" s="116"/>
      <c r="AU837" s="116"/>
      <c r="AV837" s="116"/>
      <c r="AW837" s="116"/>
      <c r="AX837" s="116"/>
      <c r="AY837" s="116"/>
      <c r="AZ837" s="116"/>
      <c r="BA837" s="116"/>
      <c r="BB837" s="116"/>
      <c r="BC837" s="116"/>
      <c r="BD837" s="116"/>
      <c r="BE837" s="116"/>
      <c r="BF837" s="116"/>
      <c r="BG837" s="116"/>
      <c r="BH837" s="124"/>
      <c r="BI837" s="124"/>
      <c r="BJ837" s="116"/>
      <c r="BK837" s="116"/>
      <c r="BL837" s="116"/>
      <c r="BM837" s="116"/>
      <c r="BN837" s="116"/>
      <c r="BO837" s="116"/>
      <c r="BP837" s="125"/>
      <c r="BQ837" s="116"/>
    </row>
    <row r="838">
      <c r="A838" s="116"/>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c r="AA838" s="116"/>
      <c r="AB838" s="116"/>
      <c r="AC838" s="116"/>
      <c r="AD838" s="116"/>
      <c r="AE838" s="116"/>
      <c r="AF838" s="116"/>
      <c r="AG838" s="116"/>
      <c r="AH838" s="116"/>
      <c r="AI838" s="116"/>
      <c r="AJ838" s="116"/>
      <c r="AK838" s="116"/>
      <c r="AL838" s="116"/>
      <c r="AM838" s="116"/>
      <c r="AN838" s="116"/>
      <c r="AO838" s="116"/>
      <c r="AP838" s="116"/>
      <c r="AQ838" s="116"/>
      <c r="AR838" s="116"/>
      <c r="AS838" s="116"/>
      <c r="AT838" s="116"/>
      <c r="AU838" s="116"/>
      <c r="AV838" s="116"/>
      <c r="AW838" s="116"/>
      <c r="AX838" s="116"/>
      <c r="AY838" s="116"/>
      <c r="AZ838" s="116"/>
      <c r="BA838" s="116"/>
      <c r="BB838" s="116"/>
      <c r="BC838" s="116"/>
      <c r="BD838" s="116"/>
      <c r="BE838" s="116"/>
      <c r="BF838" s="116"/>
      <c r="BG838" s="116"/>
      <c r="BH838" s="124"/>
      <c r="BI838" s="124"/>
      <c r="BJ838" s="116"/>
      <c r="BK838" s="116"/>
      <c r="BL838" s="116"/>
      <c r="BM838" s="116"/>
      <c r="BN838" s="116"/>
      <c r="BO838" s="116"/>
      <c r="BP838" s="125"/>
      <c r="BQ838" s="116"/>
    </row>
    <row r="839">
      <c r="A839" s="116"/>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c r="AA839" s="116"/>
      <c r="AB839" s="116"/>
      <c r="AC839" s="116"/>
      <c r="AD839" s="116"/>
      <c r="AE839" s="116"/>
      <c r="AF839" s="116"/>
      <c r="AG839" s="116"/>
      <c r="AH839" s="116"/>
      <c r="AI839" s="116"/>
      <c r="AJ839" s="116"/>
      <c r="AK839" s="116"/>
      <c r="AL839" s="116"/>
      <c r="AM839" s="116"/>
      <c r="AN839" s="116"/>
      <c r="AO839" s="116"/>
      <c r="AP839" s="116"/>
      <c r="AQ839" s="116"/>
      <c r="AR839" s="116"/>
      <c r="AS839" s="116"/>
      <c r="AT839" s="116"/>
      <c r="AU839" s="116"/>
      <c r="AV839" s="116"/>
      <c r="AW839" s="116"/>
      <c r="AX839" s="116"/>
      <c r="AY839" s="116"/>
      <c r="AZ839" s="116"/>
      <c r="BA839" s="116"/>
      <c r="BB839" s="116"/>
      <c r="BC839" s="116"/>
      <c r="BD839" s="116"/>
      <c r="BE839" s="116"/>
      <c r="BF839" s="116"/>
      <c r="BG839" s="116"/>
      <c r="BH839" s="124"/>
      <c r="BI839" s="124"/>
      <c r="BJ839" s="116"/>
      <c r="BK839" s="116"/>
      <c r="BL839" s="116"/>
      <c r="BM839" s="116"/>
      <c r="BN839" s="116"/>
      <c r="BO839" s="116"/>
      <c r="BP839" s="125"/>
      <c r="BQ839" s="116"/>
    </row>
    <row r="840">
      <c r="A840" s="116"/>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c r="AA840" s="116"/>
      <c r="AB840" s="116"/>
      <c r="AC840" s="116"/>
      <c r="AD840" s="116"/>
      <c r="AE840" s="116"/>
      <c r="AF840" s="116"/>
      <c r="AG840" s="116"/>
      <c r="AH840" s="116"/>
      <c r="AI840" s="116"/>
      <c r="AJ840" s="116"/>
      <c r="AK840" s="116"/>
      <c r="AL840" s="116"/>
      <c r="AM840" s="116"/>
      <c r="AN840" s="116"/>
      <c r="AO840" s="116"/>
      <c r="AP840" s="116"/>
      <c r="AQ840" s="116"/>
      <c r="AR840" s="116"/>
      <c r="AS840" s="116"/>
      <c r="AT840" s="116"/>
      <c r="AU840" s="116"/>
      <c r="AV840" s="116"/>
      <c r="AW840" s="116"/>
      <c r="AX840" s="116"/>
      <c r="AY840" s="116"/>
      <c r="AZ840" s="116"/>
      <c r="BA840" s="116"/>
      <c r="BB840" s="116"/>
      <c r="BC840" s="116"/>
      <c r="BD840" s="116"/>
      <c r="BE840" s="116"/>
      <c r="BF840" s="116"/>
      <c r="BG840" s="116"/>
      <c r="BH840" s="124"/>
      <c r="BI840" s="124"/>
      <c r="BJ840" s="116"/>
      <c r="BK840" s="116"/>
      <c r="BL840" s="116"/>
      <c r="BM840" s="116"/>
      <c r="BN840" s="116"/>
      <c r="BO840" s="116"/>
      <c r="BP840" s="125"/>
      <c r="BQ840" s="116"/>
    </row>
    <row r="841">
      <c r="A841" s="116"/>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c r="AA841" s="116"/>
      <c r="AB841" s="116"/>
      <c r="AC841" s="116"/>
      <c r="AD841" s="116"/>
      <c r="AE841" s="116"/>
      <c r="AF841" s="116"/>
      <c r="AG841" s="116"/>
      <c r="AH841" s="116"/>
      <c r="AI841" s="116"/>
      <c r="AJ841" s="116"/>
      <c r="AK841" s="116"/>
      <c r="AL841" s="116"/>
      <c r="AM841" s="116"/>
      <c r="AN841" s="116"/>
      <c r="AO841" s="116"/>
      <c r="AP841" s="116"/>
      <c r="AQ841" s="116"/>
      <c r="AR841" s="116"/>
      <c r="AS841" s="116"/>
      <c r="AT841" s="116"/>
      <c r="AU841" s="116"/>
      <c r="AV841" s="116"/>
      <c r="AW841" s="116"/>
      <c r="AX841" s="116"/>
      <c r="AY841" s="116"/>
      <c r="AZ841" s="116"/>
      <c r="BA841" s="116"/>
      <c r="BB841" s="116"/>
      <c r="BC841" s="116"/>
      <c r="BD841" s="116"/>
      <c r="BE841" s="116"/>
      <c r="BF841" s="116"/>
      <c r="BG841" s="116"/>
      <c r="BH841" s="124"/>
      <c r="BI841" s="124"/>
      <c r="BJ841" s="116"/>
      <c r="BK841" s="116"/>
      <c r="BL841" s="116"/>
      <c r="BM841" s="116"/>
      <c r="BN841" s="116"/>
      <c r="BO841" s="116"/>
      <c r="BP841" s="125"/>
      <c r="BQ841" s="116"/>
    </row>
    <row r="842">
      <c r="A842" s="116"/>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c r="AA842" s="116"/>
      <c r="AB842" s="116"/>
      <c r="AC842" s="116"/>
      <c r="AD842" s="116"/>
      <c r="AE842" s="116"/>
      <c r="AF842" s="116"/>
      <c r="AG842" s="116"/>
      <c r="AH842" s="116"/>
      <c r="AI842" s="116"/>
      <c r="AJ842" s="116"/>
      <c r="AK842" s="116"/>
      <c r="AL842" s="116"/>
      <c r="AM842" s="116"/>
      <c r="AN842" s="116"/>
      <c r="AO842" s="116"/>
      <c r="AP842" s="116"/>
      <c r="AQ842" s="116"/>
      <c r="AR842" s="116"/>
      <c r="AS842" s="116"/>
      <c r="AT842" s="116"/>
      <c r="AU842" s="116"/>
      <c r="AV842" s="116"/>
      <c r="AW842" s="116"/>
      <c r="AX842" s="116"/>
      <c r="AY842" s="116"/>
      <c r="AZ842" s="116"/>
      <c r="BA842" s="116"/>
      <c r="BB842" s="116"/>
      <c r="BC842" s="116"/>
      <c r="BD842" s="116"/>
      <c r="BE842" s="116"/>
      <c r="BF842" s="116"/>
      <c r="BG842" s="116"/>
      <c r="BH842" s="124"/>
      <c r="BI842" s="124"/>
      <c r="BJ842" s="116"/>
      <c r="BK842" s="116"/>
      <c r="BL842" s="116"/>
      <c r="BM842" s="116"/>
      <c r="BN842" s="116"/>
      <c r="BO842" s="116"/>
      <c r="BP842" s="125"/>
      <c r="BQ842" s="116"/>
    </row>
    <row r="843">
      <c r="A843" s="116"/>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c r="AE843" s="116"/>
      <c r="AF843" s="116"/>
      <c r="AG843" s="116"/>
      <c r="AH843" s="116"/>
      <c r="AI843" s="116"/>
      <c r="AJ843" s="116"/>
      <c r="AK843" s="116"/>
      <c r="AL843" s="116"/>
      <c r="AM843" s="116"/>
      <c r="AN843" s="116"/>
      <c r="AO843" s="116"/>
      <c r="AP843" s="116"/>
      <c r="AQ843" s="116"/>
      <c r="AR843" s="116"/>
      <c r="AS843" s="116"/>
      <c r="AT843" s="116"/>
      <c r="AU843" s="116"/>
      <c r="AV843" s="116"/>
      <c r="AW843" s="116"/>
      <c r="AX843" s="116"/>
      <c r="AY843" s="116"/>
      <c r="AZ843" s="116"/>
      <c r="BA843" s="116"/>
      <c r="BB843" s="116"/>
      <c r="BC843" s="116"/>
      <c r="BD843" s="116"/>
      <c r="BE843" s="116"/>
      <c r="BF843" s="116"/>
      <c r="BG843" s="116"/>
      <c r="BH843" s="124"/>
      <c r="BI843" s="124"/>
      <c r="BJ843" s="116"/>
      <c r="BK843" s="116"/>
      <c r="BL843" s="116"/>
      <c r="BM843" s="116"/>
      <c r="BN843" s="116"/>
      <c r="BO843" s="116"/>
      <c r="BP843" s="125"/>
      <c r="BQ843" s="116"/>
    </row>
    <row r="844">
      <c r="A844" s="116"/>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c r="AA844" s="116"/>
      <c r="AB844" s="116"/>
      <c r="AC844" s="116"/>
      <c r="AD844" s="116"/>
      <c r="AE844" s="116"/>
      <c r="AF844" s="116"/>
      <c r="AG844" s="116"/>
      <c r="AH844" s="116"/>
      <c r="AI844" s="116"/>
      <c r="AJ844" s="116"/>
      <c r="AK844" s="116"/>
      <c r="AL844" s="116"/>
      <c r="AM844" s="116"/>
      <c r="AN844" s="116"/>
      <c r="AO844" s="116"/>
      <c r="AP844" s="116"/>
      <c r="AQ844" s="116"/>
      <c r="AR844" s="116"/>
      <c r="AS844" s="116"/>
      <c r="AT844" s="116"/>
      <c r="AU844" s="116"/>
      <c r="AV844" s="116"/>
      <c r="AW844" s="116"/>
      <c r="AX844" s="116"/>
      <c r="AY844" s="116"/>
      <c r="AZ844" s="116"/>
      <c r="BA844" s="116"/>
      <c r="BB844" s="116"/>
      <c r="BC844" s="116"/>
      <c r="BD844" s="116"/>
      <c r="BE844" s="116"/>
      <c r="BF844" s="116"/>
      <c r="BG844" s="116"/>
      <c r="BH844" s="124"/>
      <c r="BI844" s="124"/>
      <c r="BJ844" s="116"/>
      <c r="BK844" s="116"/>
      <c r="BL844" s="116"/>
      <c r="BM844" s="116"/>
      <c r="BN844" s="116"/>
      <c r="BO844" s="116"/>
      <c r="BP844" s="125"/>
      <c r="BQ844" s="116"/>
    </row>
    <row r="845">
      <c r="A845" s="116"/>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c r="AA845" s="116"/>
      <c r="AB845" s="116"/>
      <c r="AC845" s="116"/>
      <c r="AD845" s="116"/>
      <c r="AE845" s="116"/>
      <c r="AF845" s="116"/>
      <c r="AG845" s="116"/>
      <c r="AH845" s="116"/>
      <c r="AI845" s="116"/>
      <c r="AJ845" s="116"/>
      <c r="AK845" s="116"/>
      <c r="AL845" s="116"/>
      <c r="AM845" s="116"/>
      <c r="AN845" s="116"/>
      <c r="AO845" s="116"/>
      <c r="AP845" s="116"/>
      <c r="AQ845" s="116"/>
      <c r="AR845" s="116"/>
      <c r="AS845" s="116"/>
      <c r="AT845" s="116"/>
      <c r="AU845" s="116"/>
      <c r="AV845" s="116"/>
      <c r="AW845" s="116"/>
      <c r="AX845" s="116"/>
      <c r="AY845" s="116"/>
      <c r="AZ845" s="116"/>
      <c r="BA845" s="116"/>
      <c r="BB845" s="116"/>
      <c r="BC845" s="116"/>
      <c r="BD845" s="116"/>
      <c r="BE845" s="116"/>
      <c r="BF845" s="116"/>
      <c r="BG845" s="116"/>
      <c r="BH845" s="124"/>
      <c r="BI845" s="124"/>
      <c r="BJ845" s="116"/>
      <c r="BK845" s="116"/>
      <c r="BL845" s="116"/>
      <c r="BM845" s="116"/>
      <c r="BN845" s="116"/>
      <c r="BO845" s="116"/>
      <c r="BP845" s="125"/>
      <c r="BQ845" s="116"/>
    </row>
    <row r="846">
      <c r="A846" s="11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c r="AA846" s="116"/>
      <c r="AB846" s="116"/>
      <c r="AC846" s="116"/>
      <c r="AD846" s="116"/>
      <c r="AE846" s="116"/>
      <c r="AF846" s="116"/>
      <c r="AG846" s="116"/>
      <c r="AH846" s="116"/>
      <c r="AI846" s="116"/>
      <c r="AJ846" s="116"/>
      <c r="AK846" s="116"/>
      <c r="AL846" s="116"/>
      <c r="AM846" s="116"/>
      <c r="AN846" s="116"/>
      <c r="AO846" s="116"/>
      <c r="AP846" s="116"/>
      <c r="AQ846" s="116"/>
      <c r="AR846" s="116"/>
      <c r="AS846" s="116"/>
      <c r="AT846" s="116"/>
      <c r="AU846" s="116"/>
      <c r="AV846" s="116"/>
      <c r="AW846" s="116"/>
      <c r="AX846" s="116"/>
      <c r="AY846" s="116"/>
      <c r="AZ846" s="116"/>
      <c r="BA846" s="116"/>
      <c r="BB846" s="116"/>
      <c r="BC846" s="116"/>
      <c r="BD846" s="116"/>
      <c r="BE846" s="116"/>
      <c r="BF846" s="116"/>
      <c r="BG846" s="116"/>
      <c r="BH846" s="124"/>
      <c r="BI846" s="124"/>
      <c r="BJ846" s="116"/>
      <c r="BK846" s="116"/>
      <c r="BL846" s="116"/>
      <c r="BM846" s="116"/>
      <c r="BN846" s="116"/>
      <c r="BO846" s="116"/>
      <c r="BP846" s="125"/>
      <c r="BQ846" s="116"/>
    </row>
    <row r="847">
      <c r="A847" s="116"/>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c r="AA847" s="116"/>
      <c r="AB847" s="116"/>
      <c r="AC847" s="116"/>
      <c r="AD847" s="116"/>
      <c r="AE847" s="116"/>
      <c r="AF847" s="116"/>
      <c r="AG847" s="116"/>
      <c r="AH847" s="116"/>
      <c r="AI847" s="116"/>
      <c r="AJ847" s="116"/>
      <c r="AK847" s="116"/>
      <c r="AL847" s="116"/>
      <c r="AM847" s="116"/>
      <c r="AN847" s="116"/>
      <c r="AO847" s="116"/>
      <c r="AP847" s="116"/>
      <c r="AQ847" s="116"/>
      <c r="AR847" s="116"/>
      <c r="AS847" s="116"/>
      <c r="AT847" s="116"/>
      <c r="AU847" s="116"/>
      <c r="AV847" s="116"/>
      <c r="AW847" s="116"/>
      <c r="AX847" s="116"/>
      <c r="AY847" s="116"/>
      <c r="AZ847" s="116"/>
      <c r="BA847" s="116"/>
      <c r="BB847" s="116"/>
      <c r="BC847" s="116"/>
      <c r="BD847" s="116"/>
      <c r="BE847" s="116"/>
      <c r="BF847" s="116"/>
      <c r="BG847" s="116"/>
      <c r="BH847" s="124"/>
      <c r="BI847" s="124"/>
      <c r="BJ847" s="116"/>
      <c r="BK847" s="116"/>
      <c r="BL847" s="116"/>
      <c r="BM847" s="116"/>
      <c r="BN847" s="116"/>
      <c r="BO847" s="116"/>
      <c r="BP847" s="125"/>
      <c r="BQ847" s="116"/>
    </row>
    <row r="848">
      <c r="A848" s="116"/>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c r="AA848" s="116"/>
      <c r="AB848" s="116"/>
      <c r="AC848" s="116"/>
      <c r="AD848" s="116"/>
      <c r="AE848" s="116"/>
      <c r="AF848" s="116"/>
      <c r="AG848" s="116"/>
      <c r="AH848" s="116"/>
      <c r="AI848" s="116"/>
      <c r="AJ848" s="116"/>
      <c r="AK848" s="116"/>
      <c r="AL848" s="116"/>
      <c r="AM848" s="116"/>
      <c r="AN848" s="116"/>
      <c r="AO848" s="116"/>
      <c r="AP848" s="116"/>
      <c r="AQ848" s="116"/>
      <c r="AR848" s="116"/>
      <c r="AS848" s="116"/>
      <c r="AT848" s="116"/>
      <c r="AU848" s="116"/>
      <c r="AV848" s="116"/>
      <c r="AW848" s="116"/>
      <c r="AX848" s="116"/>
      <c r="AY848" s="116"/>
      <c r="AZ848" s="116"/>
      <c r="BA848" s="116"/>
      <c r="BB848" s="116"/>
      <c r="BC848" s="116"/>
      <c r="BD848" s="116"/>
      <c r="BE848" s="116"/>
      <c r="BF848" s="116"/>
      <c r="BG848" s="116"/>
      <c r="BH848" s="124"/>
      <c r="BI848" s="124"/>
      <c r="BJ848" s="116"/>
      <c r="BK848" s="116"/>
      <c r="BL848" s="116"/>
      <c r="BM848" s="116"/>
      <c r="BN848" s="116"/>
      <c r="BO848" s="116"/>
      <c r="BP848" s="125"/>
      <c r="BQ848" s="116"/>
    </row>
    <row r="849">
      <c r="A849" s="116"/>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c r="AA849" s="116"/>
      <c r="AB849" s="116"/>
      <c r="AC849" s="116"/>
      <c r="AD849" s="116"/>
      <c r="AE849" s="116"/>
      <c r="AF849" s="116"/>
      <c r="AG849" s="116"/>
      <c r="AH849" s="116"/>
      <c r="AI849" s="116"/>
      <c r="AJ849" s="116"/>
      <c r="AK849" s="116"/>
      <c r="AL849" s="116"/>
      <c r="AM849" s="116"/>
      <c r="AN849" s="116"/>
      <c r="AO849" s="116"/>
      <c r="AP849" s="116"/>
      <c r="AQ849" s="116"/>
      <c r="AR849" s="116"/>
      <c r="AS849" s="116"/>
      <c r="AT849" s="116"/>
      <c r="AU849" s="116"/>
      <c r="AV849" s="116"/>
      <c r="AW849" s="116"/>
      <c r="AX849" s="116"/>
      <c r="AY849" s="116"/>
      <c r="AZ849" s="116"/>
      <c r="BA849" s="116"/>
      <c r="BB849" s="116"/>
      <c r="BC849" s="116"/>
      <c r="BD849" s="116"/>
      <c r="BE849" s="116"/>
      <c r="BF849" s="116"/>
      <c r="BG849" s="116"/>
      <c r="BH849" s="124"/>
      <c r="BI849" s="124"/>
      <c r="BJ849" s="116"/>
      <c r="BK849" s="116"/>
      <c r="BL849" s="116"/>
      <c r="BM849" s="116"/>
      <c r="BN849" s="116"/>
      <c r="BO849" s="116"/>
      <c r="BP849" s="125"/>
      <c r="BQ849" s="116"/>
    </row>
    <row r="850">
      <c r="A850" s="116"/>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c r="AA850" s="116"/>
      <c r="AB850" s="116"/>
      <c r="AC850" s="116"/>
      <c r="AD850" s="116"/>
      <c r="AE850" s="116"/>
      <c r="AF850" s="116"/>
      <c r="AG850" s="116"/>
      <c r="AH850" s="116"/>
      <c r="AI850" s="116"/>
      <c r="AJ850" s="116"/>
      <c r="AK850" s="116"/>
      <c r="AL850" s="116"/>
      <c r="AM850" s="116"/>
      <c r="AN850" s="116"/>
      <c r="AO850" s="116"/>
      <c r="AP850" s="116"/>
      <c r="AQ850" s="116"/>
      <c r="AR850" s="116"/>
      <c r="AS850" s="116"/>
      <c r="AT850" s="116"/>
      <c r="AU850" s="116"/>
      <c r="AV850" s="116"/>
      <c r="AW850" s="116"/>
      <c r="AX850" s="116"/>
      <c r="AY850" s="116"/>
      <c r="AZ850" s="116"/>
      <c r="BA850" s="116"/>
      <c r="BB850" s="116"/>
      <c r="BC850" s="116"/>
      <c r="BD850" s="116"/>
      <c r="BE850" s="116"/>
      <c r="BF850" s="116"/>
      <c r="BG850" s="116"/>
      <c r="BH850" s="124"/>
      <c r="BI850" s="124"/>
      <c r="BJ850" s="116"/>
      <c r="BK850" s="116"/>
      <c r="BL850" s="116"/>
      <c r="BM850" s="116"/>
      <c r="BN850" s="116"/>
      <c r="BO850" s="116"/>
      <c r="BP850" s="125"/>
      <c r="BQ850" s="116"/>
    </row>
    <row r="851">
      <c r="A851" s="116"/>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c r="AA851" s="116"/>
      <c r="AB851" s="116"/>
      <c r="AC851" s="116"/>
      <c r="AD851" s="116"/>
      <c r="AE851" s="116"/>
      <c r="AF851" s="116"/>
      <c r="AG851" s="116"/>
      <c r="AH851" s="116"/>
      <c r="AI851" s="116"/>
      <c r="AJ851" s="116"/>
      <c r="AK851" s="116"/>
      <c r="AL851" s="116"/>
      <c r="AM851" s="116"/>
      <c r="AN851" s="116"/>
      <c r="AO851" s="116"/>
      <c r="AP851" s="116"/>
      <c r="AQ851" s="116"/>
      <c r="AR851" s="116"/>
      <c r="AS851" s="116"/>
      <c r="AT851" s="116"/>
      <c r="AU851" s="116"/>
      <c r="AV851" s="116"/>
      <c r="AW851" s="116"/>
      <c r="AX851" s="116"/>
      <c r="AY851" s="116"/>
      <c r="AZ851" s="116"/>
      <c r="BA851" s="116"/>
      <c r="BB851" s="116"/>
      <c r="BC851" s="116"/>
      <c r="BD851" s="116"/>
      <c r="BE851" s="116"/>
      <c r="BF851" s="116"/>
      <c r="BG851" s="116"/>
      <c r="BH851" s="124"/>
      <c r="BI851" s="124"/>
      <c r="BJ851" s="116"/>
      <c r="BK851" s="116"/>
      <c r="BL851" s="116"/>
      <c r="BM851" s="116"/>
      <c r="BN851" s="116"/>
      <c r="BO851" s="116"/>
      <c r="BP851" s="125"/>
      <c r="BQ851" s="116"/>
    </row>
    <row r="852">
      <c r="A852" s="116"/>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c r="AA852" s="116"/>
      <c r="AB852" s="116"/>
      <c r="AC852" s="116"/>
      <c r="AD852" s="116"/>
      <c r="AE852" s="116"/>
      <c r="AF852" s="116"/>
      <c r="AG852" s="116"/>
      <c r="AH852" s="116"/>
      <c r="AI852" s="116"/>
      <c r="AJ852" s="116"/>
      <c r="AK852" s="116"/>
      <c r="AL852" s="116"/>
      <c r="AM852" s="116"/>
      <c r="AN852" s="116"/>
      <c r="AO852" s="116"/>
      <c r="AP852" s="116"/>
      <c r="AQ852" s="116"/>
      <c r="AR852" s="116"/>
      <c r="AS852" s="116"/>
      <c r="AT852" s="116"/>
      <c r="AU852" s="116"/>
      <c r="AV852" s="116"/>
      <c r="AW852" s="116"/>
      <c r="AX852" s="116"/>
      <c r="AY852" s="116"/>
      <c r="AZ852" s="116"/>
      <c r="BA852" s="116"/>
      <c r="BB852" s="116"/>
      <c r="BC852" s="116"/>
      <c r="BD852" s="116"/>
      <c r="BE852" s="116"/>
      <c r="BF852" s="116"/>
      <c r="BG852" s="116"/>
      <c r="BH852" s="124"/>
      <c r="BI852" s="124"/>
      <c r="BJ852" s="116"/>
      <c r="BK852" s="116"/>
      <c r="BL852" s="116"/>
      <c r="BM852" s="116"/>
      <c r="BN852" s="116"/>
      <c r="BO852" s="116"/>
      <c r="BP852" s="125"/>
      <c r="BQ852" s="116"/>
    </row>
    <row r="853">
      <c r="A853" s="116"/>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c r="AA853" s="116"/>
      <c r="AB853" s="116"/>
      <c r="AC853" s="116"/>
      <c r="AD853" s="116"/>
      <c r="AE853" s="116"/>
      <c r="AF853" s="116"/>
      <c r="AG853" s="116"/>
      <c r="AH853" s="116"/>
      <c r="AI853" s="116"/>
      <c r="AJ853" s="116"/>
      <c r="AK853" s="116"/>
      <c r="AL853" s="116"/>
      <c r="AM853" s="116"/>
      <c r="AN853" s="116"/>
      <c r="AO853" s="116"/>
      <c r="AP853" s="116"/>
      <c r="AQ853" s="116"/>
      <c r="AR853" s="116"/>
      <c r="AS853" s="116"/>
      <c r="AT853" s="116"/>
      <c r="AU853" s="116"/>
      <c r="AV853" s="116"/>
      <c r="AW853" s="116"/>
      <c r="AX853" s="116"/>
      <c r="AY853" s="116"/>
      <c r="AZ853" s="116"/>
      <c r="BA853" s="116"/>
      <c r="BB853" s="116"/>
      <c r="BC853" s="116"/>
      <c r="BD853" s="116"/>
      <c r="BE853" s="116"/>
      <c r="BF853" s="116"/>
      <c r="BG853" s="116"/>
      <c r="BH853" s="124"/>
      <c r="BI853" s="124"/>
      <c r="BJ853" s="116"/>
      <c r="BK853" s="116"/>
      <c r="BL853" s="116"/>
      <c r="BM853" s="116"/>
      <c r="BN853" s="116"/>
      <c r="BO853" s="116"/>
      <c r="BP853" s="125"/>
      <c r="BQ853" s="116"/>
    </row>
    <row r="854">
      <c r="A854" s="116"/>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c r="AA854" s="116"/>
      <c r="AB854" s="116"/>
      <c r="AC854" s="116"/>
      <c r="AD854" s="116"/>
      <c r="AE854" s="116"/>
      <c r="AF854" s="116"/>
      <c r="AG854" s="116"/>
      <c r="AH854" s="116"/>
      <c r="AI854" s="116"/>
      <c r="AJ854" s="116"/>
      <c r="AK854" s="116"/>
      <c r="AL854" s="116"/>
      <c r="AM854" s="116"/>
      <c r="AN854" s="116"/>
      <c r="AO854" s="116"/>
      <c r="AP854" s="116"/>
      <c r="AQ854" s="116"/>
      <c r="AR854" s="116"/>
      <c r="AS854" s="116"/>
      <c r="AT854" s="116"/>
      <c r="AU854" s="116"/>
      <c r="AV854" s="116"/>
      <c r="AW854" s="116"/>
      <c r="AX854" s="116"/>
      <c r="AY854" s="116"/>
      <c r="AZ854" s="116"/>
      <c r="BA854" s="116"/>
      <c r="BB854" s="116"/>
      <c r="BC854" s="116"/>
      <c r="BD854" s="116"/>
      <c r="BE854" s="116"/>
      <c r="BF854" s="116"/>
      <c r="BG854" s="116"/>
      <c r="BH854" s="124"/>
      <c r="BI854" s="124"/>
      <c r="BJ854" s="116"/>
      <c r="BK854" s="116"/>
      <c r="BL854" s="116"/>
      <c r="BM854" s="116"/>
      <c r="BN854" s="116"/>
      <c r="BO854" s="116"/>
      <c r="BP854" s="125"/>
      <c r="BQ854" s="116"/>
    </row>
    <row r="855">
      <c r="A855" s="116"/>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c r="AA855" s="116"/>
      <c r="AB855" s="116"/>
      <c r="AC855" s="116"/>
      <c r="AD855" s="116"/>
      <c r="AE855" s="116"/>
      <c r="AF855" s="116"/>
      <c r="AG855" s="116"/>
      <c r="AH855" s="116"/>
      <c r="AI855" s="116"/>
      <c r="AJ855" s="116"/>
      <c r="AK855" s="116"/>
      <c r="AL855" s="116"/>
      <c r="AM855" s="116"/>
      <c r="AN855" s="116"/>
      <c r="AO855" s="116"/>
      <c r="AP855" s="116"/>
      <c r="AQ855" s="116"/>
      <c r="AR855" s="116"/>
      <c r="AS855" s="116"/>
      <c r="AT855" s="116"/>
      <c r="AU855" s="116"/>
      <c r="AV855" s="116"/>
      <c r="AW855" s="116"/>
      <c r="AX855" s="116"/>
      <c r="AY855" s="116"/>
      <c r="AZ855" s="116"/>
      <c r="BA855" s="116"/>
      <c r="BB855" s="116"/>
      <c r="BC855" s="116"/>
      <c r="BD855" s="116"/>
      <c r="BE855" s="116"/>
      <c r="BF855" s="116"/>
      <c r="BG855" s="116"/>
      <c r="BH855" s="124"/>
      <c r="BI855" s="124"/>
      <c r="BJ855" s="116"/>
      <c r="BK855" s="116"/>
      <c r="BL855" s="116"/>
      <c r="BM855" s="116"/>
      <c r="BN855" s="116"/>
      <c r="BO855" s="116"/>
      <c r="BP855" s="125"/>
      <c r="BQ855" s="116"/>
    </row>
    <row r="856">
      <c r="A856" s="11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c r="AA856" s="116"/>
      <c r="AB856" s="116"/>
      <c r="AC856" s="116"/>
      <c r="AD856" s="116"/>
      <c r="AE856" s="116"/>
      <c r="AF856" s="116"/>
      <c r="AG856" s="116"/>
      <c r="AH856" s="116"/>
      <c r="AI856" s="116"/>
      <c r="AJ856" s="116"/>
      <c r="AK856" s="116"/>
      <c r="AL856" s="116"/>
      <c r="AM856" s="116"/>
      <c r="AN856" s="116"/>
      <c r="AO856" s="116"/>
      <c r="AP856" s="116"/>
      <c r="AQ856" s="116"/>
      <c r="AR856" s="116"/>
      <c r="AS856" s="116"/>
      <c r="AT856" s="116"/>
      <c r="AU856" s="116"/>
      <c r="AV856" s="116"/>
      <c r="AW856" s="116"/>
      <c r="AX856" s="116"/>
      <c r="AY856" s="116"/>
      <c r="AZ856" s="116"/>
      <c r="BA856" s="116"/>
      <c r="BB856" s="116"/>
      <c r="BC856" s="116"/>
      <c r="BD856" s="116"/>
      <c r="BE856" s="116"/>
      <c r="BF856" s="116"/>
      <c r="BG856" s="116"/>
      <c r="BH856" s="124"/>
      <c r="BI856" s="124"/>
      <c r="BJ856" s="116"/>
      <c r="BK856" s="116"/>
      <c r="BL856" s="116"/>
      <c r="BM856" s="116"/>
      <c r="BN856" s="116"/>
      <c r="BO856" s="116"/>
      <c r="BP856" s="125"/>
      <c r="BQ856" s="116"/>
    </row>
    <row r="857">
      <c r="A857" s="116"/>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c r="AA857" s="116"/>
      <c r="AB857" s="116"/>
      <c r="AC857" s="116"/>
      <c r="AD857" s="116"/>
      <c r="AE857" s="116"/>
      <c r="AF857" s="116"/>
      <c r="AG857" s="116"/>
      <c r="AH857" s="116"/>
      <c r="AI857" s="116"/>
      <c r="AJ857" s="116"/>
      <c r="AK857" s="116"/>
      <c r="AL857" s="116"/>
      <c r="AM857" s="116"/>
      <c r="AN857" s="116"/>
      <c r="AO857" s="116"/>
      <c r="AP857" s="116"/>
      <c r="AQ857" s="116"/>
      <c r="AR857" s="116"/>
      <c r="AS857" s="116"/>
      <c r="AT857" s="116"/>
      <c r="AU857" s="116"/>
      <c r="AV857" s="116"/>
      <c r="AW857" s="116"/>
      <c r="AX857" s="116"/>
      <c r="AY857" s="116"/>
      <c r="AZ857" s="116"/>
      <c r="BA857" s="116"/>
      <c r="BB857" s="116"/>
      <c r="BC857" s="116"/>
      <c r="BD857" s="116"/>
      <c r="BE857" s="116"/>
      <c r="BF857" s="116"/>
      <c r="BG857" s="116"/>
      <c r="BH857" s="124"/>
      <c r="BI857" s="124"/>
      <c r="BJ857" s="116"/>
      <c r="BK857" s="116"/>
      <c r="BL857" s="116"/>
      <c r="BM857" s="116"/>
      <c r="BN857" s="116"/>
      <c r="BO857" s="116"/>
      <c r="BP857" s="125"/>
      <c r="BQ857" s="116"/>
    </row>
    <row r="858">
      <c r="A858" s="116"/>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c r="AA858" s="116"/>
      <c r="AB858" s="116"/>
      <c r="AC858" s="116"/>
      <c r="AD858" s="116"/>
      <c r="AE858" s="116"/>
      <c r="AF858" s="116"/>
      <c r="AG858" s="116"/>
      <c r="AH858" s="116"/>
      <c r="AI858" s="116"/>
      <c r="AJ858" s="116"/>
      <c r="AK858" s="116"/>
      <c r="AL858" s="116"/>
      <c r="AM858" s="116"/>
      <c r="AN858" s="116"/>
      <c r="AO858" s="116"/>
      <c r="AP858" s="116"/>
      <c r="AQ858" s="116"/>
      <c r="AR858" s="116"/>
      <c r="AS858" s="116"/>
      <c r="AT858" s="116"/>
      <c r="AU858" s="116"/>
      <c r="AV858" s="116"/>
      <c r="AW858" s="116"/>
      <c r="AX858" s="116"/>
      <c r="AY858" s="116"/>
      <c r="AZ858" s="116"/>
      <c r="BA858" s="116"/>
      <c r="BB858" s="116"/>
      <c r="BC858" s="116"/>
      <c r="BD858" s="116"/>
      <c r="BE858" s="116"/>
      <c r="BF858" s="116"/>
      <c r="BG858" s="116"/>
      <c r="BH858" s="124"/>
      <c r="BI858" s="124"/>
      <c r="BJ858" s="116"/>
      <c r="BK858" s="116"/>
      <c r="BL858" s="116"/>
      <c r="BM858" s="116"/>
      <c r="BN858" s="116"/>
      <c r="BO858" s="116"/>
      <c r="BP858" s="125"/>
      <c r="BQ858" s="116"/>
    </row>
    <row r="859">
      <c r="A859" s="116"/>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c r="AA859" s="116"/>
      <c r="AB859" s="116"/>
      <c r="AC859" s="116"/>
      <c r="AD859" s="116"/>
      <c r="AE859" s="116"/>
      <c r="AF859" s="116"/>
      <c r="AG859" s="116"/>
      <c r="AH859" s="116"/>
      <c r="AI859" s="116"/>
      <c r="AJ859" s="116"/>
      <c r="AK859" s="116"/>
      <c r="AL859" s="116"/>
      <c r="AM859" s="116"/>
      <c r="AN859" s="116"/>
      <c r="AO859" s="116"/>
      <c r="AP859" s="116"/>
      <c r="AQ859" s="116"/>
      <c r="AR859" s="116"/>
      <c r="AS859" s="116"/>
      <c r="AT859" s="116"/>
      <c r="AU859" s="116"/>
      <c r="AV859" s="116"/>
      <c r="AW859" s="116"/>
      <c r="AX859" s="116"/>
      <c r="AY859" s="116"/>
      <c r="AZ859" s="116"/>
      <c r="BA859" s="116"/>
      <c r="BB859" s="116"/>
      <c r="BC859" s="116"/>
      <c r="BD859" s="116"/>
      <c r="BE859" s="116"/>
      <c r="BF859" s="116"/>
      <c r="BG859" s="116"/>
      <c r="BH859" s="124"/>
      <c r="BI859" s="124"/>
      <c r="BJ859" s="116"/>
      <c r="BK859" s="116"/>
      <c r="BL859" s="116"/>
      <c r="BM859" s="116"/>
      <c r="BN859" s="116"/>
      <c r="BO859" s="116"/>
      <c r="BP859" s="125"/>
      <c r="BQ859" s="116"/>
    </row>
    <row r="860">
      <c r="A860" s="116"/>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c r="AA860" s="116"/>
      <c r="AB860" s="116"/>
      <c r="AC860" s="116"/>
      <c r="AD860" s="116"/>
      <c r="AE860" s="116"/>
      <c r="AF860" s="116"/>
      <c r="AG860" s="116"/>
      <c r="AH860" s="116"/>
      <c r="AI860" s="116"/>
      <c r="AJ860" s="116"/>
      <c r="AK860" s="116"/>
      <c r="AL860" s="116"/>
      <c r="AM860" s="116"/>
      <c r="AN860" s="116"/>
      <c r="AO860" s="116"/>
      <c r="AP860" s="116"/>
      <c r="AQ860" s="116"/>
      <c r="AR860" s="116"/>
      <c r="AS860" s="116"/>
      <c r="AT860" s="116"/>
      <c r="AU860" s="116"/>
      <c r="AV860" s="116"/>
      <c r="AW860" s="116"/>
      <c r="AX860" s="116"/>
      <c r="AY860" s="116"/>
      <c r="AZ860" s="116"/>
      <c r="BA860" s="116"/>
      <c r="BB860" s="116"/>
      <c r="BC860" s="116"/>
      <c r="BD860" s="116"/>
      <c r="BE860" s="116"/>
      <c r="BF860" s="116"/>
      <c r="BG860" s="116"/>
      <c r="BH860" s="124"/>
      <c r="BI860" s="124"/>
      <c r="BJ860" s="116"/>
      <c r="BK860" s="116"/>
      <c r="BL860" s="116"/>
      <c r="BM860" s="116"/>
      <c r="BN860" s="116"/>
      <c r="BO860" s="116"/>
      <c r="BP860" s="125"/>
      <c r="BQ860" s="116"/>
    </row>
    <row r="861">
      <c r="A861" s="116"/>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c r="AA861" s="116"/>
      <c r="AB861" s="116"/>
      <c r="AC861" s="116"/>
      <c r="AD861" s="116"/>
      <c r="AE861" s="116"/>
      <c r="AF861" s="116"/>
      <c r="AG861" s="116"/>
      <c r="AH861" s="116"/>
      <c r="AI861" s="116"/>
      <c r="AJ861" s="116"/>
      <c r="AK861" s="116"/>
      <c r="AL861" s="116"/>
      <c r="AM861" s="116"/>
      <c r="AN861" s="116"/>
      <c r="AO861" s="116"/>
      <c r="AP861" s="116"/>
      <c r="AQ861" s="116"/>
      <c r="AR861" s="116"/>
      <c r="AS861" s="116"/>
      <c r="AT861" s="116"/>
      <c r="AU861" s="116"/>
      <c r="AV861" s="116"/>
      <c r="AW861" s="116"/>
      <c r="AX861" s="116"/>
      <c r="AY861" s="116"/>
      <c r="AZ861" s="116"/>
      <c r="BA861" s="116"/>
      <c r="BB861" s="116"/>
      <c r="BC861" s="116"/>
      <c r="BD861" s="116"/>
      <c r="BE861" s="116"/>
      <c r="BF861" s="116"/>
      <c r="BG861" s="116"/>
      <c r="BH861" s="124"/>
      <c r="BI861" s="124"/>
      <c r="BJ861" s="116"/>
      <c r="BK861" s="116"/>
      <c r="BL861" s="116"/>
      <c r="BM861" s="116"/>
      <c r="BN861" s="116"/>
      <c r="BO861" s="116"/>
      <c r="BP861" s="125"/>
      <c r="BQ861" s="116"/>
    </row>
    <row r="862">
      <c r="A862" s="116"/>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c r="AA862" s="116"/>
      <c r="AB862" s="116"/>
      <c r="AC862" s="116"/>
      <c r="AD862" s="116"/>
      <c r="AE862" s="116"/>
      <c r="AF862" s="116"/>
      <c r="AG862" s="116"/>
      <c r="AH862" s="116"/>
      <c r="AI862" s="116"/>
      <c r="AJ862" s="116"/>
      <c r="AK862" s="116"/>
      <c r="AL862" s="116"/>
      <c r="AM862" s="116"/>
      <c r="AN862" s="116"/>
      <c r="AO862" s="116"/>
      <c r="AP862" s="116"/>
      <c r="AQ862" s="116"/>
      <c r="AR862" s="116"/>
      <c r="AS862" s="116"/>
      <c r="AT862" s="116"/>
      <c r="AU862" s="116"/>
      <c r="AV862" s="116"/>
      <c r="AW862" s="116"/>
      <c r="AX862" s="116"/>
      <c r="AY862" s="116"/>
      <c r="AZ862" s="116"/>
      <c r="BA862" s="116"/>
      <c r="BB862" s="116"/>
      <c r="BC862" s="116"/>
      <c r="BD862" s="116"/>
      <c r="BE862" s="116"/>
      <c r="BF862" s="116"/>
      <c r="BG862" s="116"/>
      <c r="BH862" s="124"/>
      <c r="BI862" s="124"/>
      <c r="BJ862" s="116"/>
      <c r="BK862" s="116"/>
      <c r="BL862" s="116"/>
      <c r="BM862" s="116"/>
      <c r="BN862" s="116"/>
      <c r="BO862" s="116"/>
      <c r="BP862" s="125"/>
      <c r="BQ862" s="116"/>
    </row>
    <row r="863">
      <c r="A863" s="116"/>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c r="AA863" s="116"/>
      <c r="AB863" s="116"/>
      <c r="AC863" s="116"/>
      <c r="AD863" s="116"/>
      <c r="AE863" s="116"/>
      <c r="AF863" s="116"/>
      <c r="AG863" s="116"/>
      <c r="AH863" s="116"/>
      <c r="AI863" s="116"/>
      <c r="AJ863" s="116"/>
      <c r="AK863" s="116"/>
      <c r="AL863" s="116"/>
      <c r="AM863" s="116"/>
      <c r="AN863" s="116"/>
      <c r="AO863" s="116"/>
      <c r="AP863" s="116"/>
      <c r="AQ863" s="116"/>
      <c r="AR863" s="116"/>
      <c r="AS863" s="116"/>
      <c r="AT863" s="116"/>
      <c r="AU863" s="116"/>
      <c r="AV863" s="116"/>
      <c r="AW863" s="116"/>
      <c r="AX863" s="116"/>
      <c r="AY863" s="116"/>
      <c r="AZ863" s="116"/>
      <c r="BA863" s="116"/>
      <c r="BB863" s="116"/>
      <c r="BC863" s="116"/>
      <c r="BD863" s="116"/>
      <c r="BE863" s="116"/>
      <c r="BF863" s="116"/>
      <c r="BG863" s="116"/>
      <c r="BH863" s="124"/>
      <c r="BI863" s="124"/>
      <c r="BJ863" s="116"/>
      <c r="BK863" s="116"/>
      <c r="BL863" s="116"/>
      <c r="BM863" s="116"/>
      <c r="BN863" s="116"/>
      <c r="BO863" s="116"/>
      <c r="BP863" s="125"/>
      <c r="BQ863" s="116"/>
    </row>
    <row r="864">
      <c r="A864" s="116"/>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c r="AA864" s="116"/>
      <c r="AB864" s="116"/>
      <c r="AC864" s="116"/>
      <c r="AD864" s="116"/>
      <c r="AE864" s="116"/>
      <c r="AF864" s="116"/>
      <c r="AG864" s="116"/>
      <c r="AH864" s="116"/>
      <c r="AI864" s="116"/>
      <c r="AJ864" s="116"/>
      <c r="AK864" s="116"/>
      <c r="AL864" s="116"/>
      <c r="AM864" s="116"/>
      <c r="AN864" s="116"/>
      <c r="AO864" s="116"/>
      <c r="AP864" s="116"/>
      <c r="AQ864" s="116"/>
      <c r="AR864" s="116"/>
      <c r="AS864" s="116"/>
      <c r="AT864" s="116"/>
      <c r="AU864" s="116"/>
      <c r="AV864" s="116"/>
      <c r="AW864" s="116"/>
      <c r="AX864" s="116"/>
      <c r="AY864" s="116"/>
      <c r="AZ864" s="116"/>
      <c r="BA864" s="116"/>
      <c r="BB864" s="116"/>
      <c r="BC864" s="116"/>
      <c r="BD864" s="116"/>
      <c r="BE864" s="116"/>
      <c r="BF864" s="116"/>
      <c r="BG864" s="116"/>
      <c r="BH864" s="124"/>
      <c r="BI864" s="124"/>
      <c r="BJ864" s="116"/>
      <c r="BK864" s="116"/>
      <c r="BL864" s="116"/>
      <c r="BM864" s="116"/>
      <c r="BN864" s="116"/>
      <c r="BO864" s="116"/>
      <c r="BP864" s="125"/>
      <c r="BQ864" s="116"/>
    </row>
    <row r="865">
      <c r="A865" s="116"/>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c r="AA865" s="116"/>
      <c r="AB865" s="116"/>
      <c r="AC865" s="116"/>
      <c r="AD865" s="116"/>
      <c r="AE865" s="116"/>
      <c r="AF865" s="116"/>
      <c r="AG865" s="116"/>
      <c r="AH865" s="116"/>
      <c r="AI865" s="116"/>
      <c r="AJ865" s="116"/>
      <c r="AK865" s="116"/>
      <c r="AL865" s="116"/>
      <c r="AM865" s="116"/>
      <c r="AN865" s="116"/>
      <c r="AO865" s="116"/>
      <c r="AP865" s="116"/>
      <c r="AQ865" s="116"/>
      <c r="AR865" s="116"/>
      <c r="AS865" s="116"/>
      <c r="AT865" s="116"/>
      <c r="AU865" s="116"/>
      <c r="AV865" s="116"/>
      <c r="AW865" s="116"/>
      <c r="AX865" s="116"/>
      <c r="AY865" s="116"/>
      <c r="AZ865" s="116"/>
      <c r="BA865" s="116"/>
      <c r="BB865" s="116"/>
      <c r="BC865" s="116"/>
      <c r="BD865" s="116"/>
      <c r="BE865" s="116"/>
      <c r="BF865" s="116"/>
      <c r="BG865" s="116"/>
      <c r="BH865" s="124"/>
      <c r="BI865" s="124"/>
      <c r="BJ865" s="116"/>
      <c r="BK865" s="116"/>
      <c r="BL865" s="116"/>
      <c r="BM865" s="116"/>
      <c r="BN865" s="116"/>
      <c r="BO865" s="116"/>
      <c r="BP865" s="125"/>
      <c r="BQ865" s="116"/>
    </row>
    <row r="866">
      <c r="A866" s="11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c r="AA866" s="116"/>
      <c r="AB866" s="116"/>
      <c r="AC866" s="116"/>
      <c r="AD866" s="116"/>
      <c r="AE866" s="116"/>
      <c r="AF866" s="116"/>
      <c r="AG866" s="116"/>
      <c r="AH866" s="116"/>
      <c r="AI866" s="116"/>
      <c r="AJ866" s="116"/>
      <c r="AK866" s="116"/>
      <c r="AL866" s="116"/>
      <c r="AM866" s="116"/>
      <c r="AN866" s="116"/>
      <c r="AO866" s="116"/>
      <c r="AP866" s="116"/>
      <c r="AQ866" s="116"/>
      <c r="AR866" s="116"/>
      <c r="AS866" s="116"/>
      <c r="AT866" s="116"/>
      <c r="AU866" s="116"/>
      <c r="AV866" s="116"/>
      <c r="AW866" s="116"/>
      <c r="AX866" s="116"/>
      <c r="AY866" s="116"/>
      <c r="AZ866" s="116"/>
      <c r="BA866" s="116"/>
      <c r="BB866" s="116"/>
      <c r="BC866" s="116"/>
      <c r="BD866" s="116"/>
      <c r="BE866" s="116"/>
      <c r="BF866" s="116"/>
      <c r="BG866" s="116"/>
      <c r="BH866" s="124"/>
      <c r="BI866" s="124"/>
      <c r="BJ866" s="116"/>
      <c r="BK866" s="116"/>
      <c r="BL866" s="116"/>
      <c r="BM866" s="116"/>
      <c r="BN866" s="116"/>
      <c r="BO866" s="116"/>
      <c r="BP866" s="125"/>
      <c r="BQ866" s="116"/>
    </row>
    <row r="867">
      <c r="A867" s="116"/>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c r="AA867" s="116"/>
      <c r="AB867" s="116"/>
      <c r="AC867" s="116"/>
      <c r="AD867" s="116"/>
      <c r="AE867" s="116"/>
      <c r="AF867" s="116"/>
      <c r="AG867" s="116"/>
      <c r="AH867" s="116"/>
      <c r="AI867" s="116"/>
      <c r="AJ867" s="116"/>
      <c r="AK867" s="116"/>
      <c r="AL867" s="116"/>
      <c r="AM867" s="116"/>
      <c r="AN867" s="116"/>
      <c r="AO867" s="116"/>
      <c r="AP867" s="116"/>
      <c r="AQ867" s="116"/>
      <c r="AR867" s="116"/>
      <c r="AS867" s="116"/>
      <c r="AT867" s="116"/>
      <c r="AU867" s="116"/>
      <c r="AV867" s="116"/>
      <c r="AW867" s="116"/>
      <c r="AX867" s="116"/>
      <c r="AY867" s="116"/>
      <c r="AZ867" s="116"/>
      <c r="BA867" s="116"/>
      <c r="BB867" s="116"/>
      <c r="BC867" s="116"/>
      <c r="BD867" s="116"/>
      <c r="BE867" s="116"/>
      <c r="BF867" s="116"/>
      <c r="BG867" s="116"/>
      <c r="BH867" s="124"/>
      <c r="BI867" s="124"/>
      <c r="BJ867" s="116"/>
      <c r="BK867" s="116"/>
      <c r="BL867" s="116"/>
      <c r="BM867" s="116"/>
      <c r="BN867" s="116"/>
      <c r="BO867" s="116"/>
      <c r="BP867" s="125"/>
      <c r="BQ867" s="116"/>
    </row>
    <row r="868">
      <c r="A868" s="116"/>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c r="AA868" s="116"/>
      <c r="AB868" s="116"/>
      <c r="AC868" s="116"/>
      <c r="AD868" s="116"/>
      <c r="AE868" s="116"/>
      <c r="AF868" s="116"/>
      <c r="AG868" s="116"/>
      <c r="AH868" s="116"/>
      <c r="AI868" s="116"/>
      <c r="AJ868" s="116"/>
      <c r="AK868" s="116"/>
      <c r="AL868" s="116"/>
      <c r="AM868" s="116"/>
      <c r="AN868" s="116"/>
      <c r="AO868" s="116"/>
      <c r="AP868" s="116"/>
      <c r="AQ868" s="116"/>
      <c r="AR868" s="116"/>
      <c r="AS868" s="116"/>
      <c r="AT868" s="116"/>
      <c r="AU868" s="116"/>
      <c r="AV868" s="116"/>
      <c r="AW868" s="116"/>
      <c r="AX868" s="116"/>
      <c r="AY868" s="116"/>
      <c r="AZ868" s="116"/>
      <c r="BA868" s="116"/>
      <c r="BB868" s="116"/>
      <c r="BC868" s="116"/>
      <c r="BD868" s="116"/>
      <c r="BE868" s="116"/>
      <c r="BF868" s="116"/>
      <c r="BG868" s="116"/>
      <c r="BH868" s="124"/>
      <c r="BI868" s="124"/>
      <c r="BJ868" s="116"/>
      <c r="BK868" s="116"/>
      <c r="BL868" s="116"/>
      <c r="BM868" s="116"/>
      <c r="BN868" s="116"/>
      <c r="BO868" s="116"/>
      <c r="BP868" s="125"/>
      <c r="BQ868" s="116"/>
    </row>
    <row r="869">
      <c r="A869" s="116"/>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c r="AA869" s="116"/>
      <c r="AB869" s="116"/>
      <c r="AC869" s="116"/>
      <c r="AD869" s="116"/>
      <c r="AE869" s="116"/>
      <c r="AF869" s="116"/>
      <c r="AG869" s="116"/>
      <c r="AH869" s="116"/>
      <c r="AI869" s="116"/>
      <c r="AJ869" s="116"/>
      <c r="AK869" s="116"/>
      <c r="AL869" s="116"/>
      <c r="AM869" s="116"/>
      <c r="AN869" s="116"/>
      <c r="AO869" s="116"/>
      <c r="AP869" s="116"/>
      <c r="AQ869" s="116"/>
      <c r="AR869" s="116"/>
      <c r="AS869" s="116"/>
      <c r="AT869" s="116"/>
      <c r="AU869" s="116"/>
      <c r="AV869" s="116"/>
      <c r="AW869" s="116"/>
      <c r="AX869" s="116"/>
      <c r="AY869" s="116"/>
      <c r="AZ869" s="116"/>
      <c r="BA869" s="116"/>
      <c r="BB869" s="116"/>
      <c r="BC869" s="116"/>
      <c r="BD869" s="116"/>
      <c r="BE869" s="116"/>
      <c r="BF869" s="116"/>
      <c r="BG869" s="116"/>
      <c r="BH869" s="124"/>
      <c r="BI869" s="124"/>
      <c r="BJ869" s="116"/>
      <c r="BK869" s="116"/>
      <c r="BL869" s="116"/>
      <c r="BM869" s="116"/>
      <c r="BN869" s="116"/>
      <c r="BO869" s="116"/>
      <c r="BP869" s="125"/>
      <c r="BQ869" s="116"/>
    </row>
    <row r="870">
      <c r="A870" s="116"/>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c r="AA870" s="116"/>
      <c r="AB870" s="116"/>
      <c r="AC870" s="116"/>
      <c r="AD870" s="116"/>
      <c r="AE870" s="116"/>
      <c r="AF870" s="116"/>
      <c r="AG870" s="116"/>
      <c r="AH870" s="116"/>
      <c r="AI870" s="116"/>
      <c r="AJ870" s="116"/>
      <c r="AK870" s="116"/>
      <c r="AL870" s="116"/>
      <c r="AM870" s="116"/>
      <c r="AN870" s="116"/>
      <c r="AO870" s="116"/>
      <c r="AP870" s="116"/>
      <c r="AQ870" s="116"/>
      <c r="AR870" s="116"/>
      <c r="AS870" s="116"/>
      <c r="AT870" s="116"/>
      <c r="AU870" s="116"/>
      <c r="AV870" s="116"/>
      <c r="AW870" s="116"/>
      <c r="AX870" s="116"/>
      <c r="AY870" s="116"/>
      <c r="AZ870" s="116"/>
      <c r="BA870" s="116"/>
      <c r="BB870" s="116"/>
      <c r="BC870" s="116"/>
      <c r="BD870" s="116"/>
      <c r="BE870" s="116"/>
      <c r="BF870" s="116"/>
      <c r="BG870" s="116"/>
      <c r="BH870" s="124"/>
      <c r="BI870" s="124"/>
      <c r="BJ870" s="116"/>
      <c r="BK870" s="116"/>
      <c r="BL870" s="116"/>
      <c r="BM870" s="116"/>
      <c r="BN870" s="116"/>
      <c r="BO870" s="116"/>
      <c r="BP870" s="125"/>
      <c r="BQ870" s="116"/>
    </row>
    <row r="871">
      <c r="A871" s="116"/>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c r="AA871" s="116"/>
      <c r="AB871" s="116"/>
      <c r="AC871" s="116"/>
      <c r="AD871" s="116"/>
      <c r="AE871" s="116"/>
      <c r="AF871" s="116"/>
      <c r="AG871" s="116"/>
      <c r="AH871" s="116"/>
      <c r="AI871" s="116"/>
      <c r="AJ871" s="116"/>
      <c r="AK871" s="116"/>
      <c r="AL871" s="116"/>
      <c r="AM871" s="116"/>
      <c r="AN871" s="116"/>
      <c r="AO871" s="116"/>
      <c r="AP871" s="116"/>
      <c r="AQ871" s="116"/>
      <c r="AR871" s="116"/>
      <c r="AS871" s="116"/>
      <c r="AT871" s="116"/>
      <c r="AU871" s="116"/>
      <c r="AV871" s="116"/>
      <c r="AW871" s="116"/>
      <c r="AX871" s="116"/>
      <c r="AY871" s="116"/>
      <c r="AZ871" s="116"/>
      <c r="BA871" s="116"/>
      <c r="BB871" s="116"/>
      <c r="BC871" s="116"/>
      <c r="BD871" s="116"/>
      <c r="BE871" s="116"/>
      <c r="BF871" s="116"/>
      <c r="BG871" s="116"/>
      <c r="BH871" s="124"/>
      <c r="BI871" s="124"/>
      <c r="BJ871" s="116"/>
      <c r="BK871" s="116"/>
      <c r="BL871" s="116"/>
      <c r="BM871" s="116"/>
      <c r="BN871" s="116"/>
      <c r="BO871" s="116"/>
      <c r="BP871" s="125"/>
      <c r="BQ871" s="116"/>
    </row>
    <row r="872">
      <c r="A872" s="116"/>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c r="AA872" s="116"/>
      <c r="AB872" s="116"/>
      <c r="AC872" s="116"/>
      <c r="AD872" s="116"/>
      <c r="AE872" s="116"/>
      <c r="AF872" s="116"/>
      <c r="AG872" s="116"/>
      <c r="AH872" s="116"/>
      <c r="AI872" s="116"/>
      <c r="AJ872" s="116"/>
      <c r="AK872" s="116"/>
      <c r="AL872" s="116"/>
      <c r="AM872" s="116"/>
      <c r="AN872" s="116"/>
      <c r="AO872" s="116"/>
      <c r="AP872" s="116"/>
      <c r="AQ872" s="116"/>
      <c r="AR872" s="116"/>
      <c r="AS872" s="116"/>
      <c r="AT872" s="116"/>
      <c r="AU872" s="116"/>
      <c r="AV872" s="116"/>
      <c r="AW872" s="116"/>
      <c r="AX872" s="116"/>
      <c r="AY872" s="116"/>
      <c r="AZ872" s="116"/>
      <c r="BA872" s="116"/>
      <c r="BB872" s="116"/>
      <c r="BC872" s="116"/>
      <c r="BD872" s="116"/>
      <c r="BE872" s="116"/>
      <c r="BF872" s="116"/>
      <c r="BG872" s="116"/>
      <c r="BH872" s="124"/>
      <c r="BI872" s="124"/>
      <c r="BJ872" s="116"/>
      <c r="BK872" s="116"/>
      <c r="BL872" s="116"/>
      <c r="BM872" s="116"/>
      <c r="BN872" s="116"/>
      <c r="BO872" s="116"/>
      <c r="BP872" s="125"/>
      <c r="BQ872" s="116"/>
    </row>
    <row r="873">
      <c r="A873" s="116"/>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c r="AA873" s="116"/>
      <c r="AB873" s="116"/>
      <c r="AC873" s="116"/>
      <c r="AD873" s="116"/>
      <c r="AE873" s="116"/>
      <c r="AF873" s="116"/>
      <c r="AG873" s="116"/>
      <c r="AH873" s="116"/>
      <c r="AI873" s="116"/>
      <c r="AJ873" s="116"/>
      <c r="AK873" s="116"/>
      <c r="AL873" s="116"/>
      <c r="AM873" s="116"/>
      <c r="AN873" s="116"/>
      <c r="AO873" s="116"/>
      <c r="AP873" s="116"/>
      <c r="AQ873" s="116"/>
      <c r="AR873" s="116"/>
      <c r="AS873" s="116"/>
      <c r="AT873" s="116"/>
      <c r="AU873" s="116"/>
      <c r="AV873" s="116"/>
      <c r="AW873" s="116"/>
      <c r="AX873" s="116"/>
      <c r="AY873" s="116"/>
      <c r="AZ873" s="116"/>
      <c r="BA873" s="116"/>
      <c r="BB873" s="116"/>
      <c r="BC873" s="116"/>
      <c r="BD873" s="116"/>
      <c r="BE873" s="116"/>
      <c r="BF873" s="116"/>
      <c r="BG873" s="116"/>
      <c r="BH873" s="124"/>
      <c r="BI873" s="124"/>
      <c r="BJ873" s="116"/>
      <c r="BK873" s="116"/>
      <c r="BL873" s="116"/>
      <c r="BM873" s="116"/>
      <c r="BN873" s="116"/>
      <c r="BO873" s="116"/>
      <c r="BP873" s="125"/>
      <c r="BQ873" s="116"/>
    </row>
    <row r="874">
      <c r="A874" s="116"/>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c r="AA874" s="116"/>
      <c r="AB874" s="116"/>
      <c r="AC874" s="116"/>
      <c r="AD874" s="116"/>
      <c r="AE874" s="116"/>
      <c r="AF874" s="116"/>
      <c r="AG874" s="116"/>
      <c r="AH874" s="116"/>
      <c r="AI874" s="116"/>
      <c r="AJ874" s="116"/>
      <c r="AK874" s="116"/>
      <c r="AL874" s="116"/>
      <c r="AM874" s="116"/>
      <c r="AN874" s="116"/>
      <c r="AO874" s="116"/>
      <c r="AP874" s="116"/>
      <c r="AQ874" s="116"/>
      <c r="AR874" s="116"/>
      <c r="AS874" s="116"/>
      <c r="AT874" s="116"/>
      <c r="AU874" s="116"/>
      <c r="AV874" s="116"/>
      <c r="AW874" s="116"/>
      <c r="AX874" s="116"/>
      <c r="AY874" s="116"/>
      <c r="AZ874" s="116"/>
      <c r="BA874" s="116"/>
      <c r="BB874" s="116"/>
      <c r="BC874" s="116"/>
      <c r="BD874" s="116"/>
      <c r="BE874" s="116"/>
      <c r="BF874" s="116"/>
      <c r="BG874" s="116"/>
      <c r="BH874" s="124"/>
      <c r="BI874" s="124"/>
      <c r="BJ874" s="116"/>
      <c r="BK874" s="116"/>
      <c r="BL874" s="116"/>
      <c r="BM874" s="116"/>
      <c r="BN874" s="116"/>
      <c r="BO874" s="116"/>
      <c r="BP874" s="125"/>
      <c r="BQ874" s="116"/>
    </row>
    <row r="875">
      <c r="A875" s="116"/>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c r="AA875" s="116"/>
      <c r="AB875" s="116"/>
      <c r="AC875" s="116"/>
      <c r="AD875" s="116"/>
      <c r="AE875" s="116"/>
      <c r="AF875" s="116"/>
      <c r="AG875" s="116"/>
      <c r="AH875" s="116"/>
      <c r="AI875" s="116"/>
      <c r="AJ875" s="116"/>
      <c r="AK875" s="116"/>
      <c r="AL875" s="116"/>
      <c r="AM875" s="116"/>
      <c r="AN875" s="116"/>
      <c r="AO875" s="116"/>
      <c r="AP875" s="116"/>
      <c r="AQ875" s="116"/>
      <c r="AR875" s="116"/>
      <c r="AS875" s="116"/>
      <c r="AT875" s="116"/>
      <c r="AU875" s="116"/>
      <c r="AV875" s="116"/>
      <c r="AW875" s="116"/>
      <c r="AX875" s="116"/>
      <c r="AY875" s="116"/>
      <c r="AZ875" s="116"/>
      <c r="BA875" s="116"/>
      <c r="BB875" s="116"/>
      <c r="BC875" s="116"/>
      <c r="BD875" s="116"/>
      <c r="BE875" s="116"/>
      <c r="BF875" s="116"/>
      <c r="BG875" s="116"/>
      <c r="BH875" s="124"/>
      <c r="BI875" s="124"/>
      <c r="BJ875" s="116"/>
      <c r="BK875" s="116"/>
      <c r="BL875" s="116"/>
      <c r="BM875" s="116"/>
      <c r="BN875" s="116"/>
      <c r="BO875" s="116"/>
      <c r="BP875" s="125"/>
      <c r="BQ875" s="116"/>
    </row>
    <row r="876">
      <c r="A876" s="11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c r="AA876" s="116"/>
      <c r="AB876" s="116"/>
      <c r="AC876" s="116"/>
      <c r="AD876" s="116"/>
      <c r="AE876" s="116"/>
      <c r="AF876" s="116"/>
      <c r="AG876" s="116"/>
      <c r="AH876" s="116"/>
      <c r="AI876" s="116"/>
      <c r="AJ876" s="116"/>
      <c r="AK876" s="116"/>
      <c r="AL876" s="116"/>
      <c r="AM876" s="116"/>
      <c r="AN876" s="116"/>
      <c r="AO876" s="116"/>
      <c r="AP876" s="116"/>
      <c r="AQ876" s="116"/>
      <c r="AR876" s="116"/>
      <c r="AS876" s="116"/>
      <c r="AT876" s="116"/>
      <c r="AU876" s="116"/>
      <c r="AV876" s="116"/>
      <c r="AW876" s="116"/>
      <c r="AX876" s="116"/>
      <c r="AY876" s="116"/>
      <c r="AZ876" s="116"/>
      <c r="BA876" s="116"/>
      <c r="BB876" s="116"/>
      <c r="BC876" s="116"/>
      <c r="BD876" s="116"/>
      <c r="BE876" s="116"/>
      <c r="BF876" s="116"/>
      <c r="BG876" s="116"/>
      <c r="BH876" s="124"/>
      <c r="BI876" s="124"/>
      <c r="BJ876" s="116"/>
      <c r="BK876" s="116"/>
      <c r="BL876" s="116"/>
      <c r="BM876" s="116"/>
      <c r="BN876" s="116"/>
      <c r="BO876" s="116"/>
      <c r="BP876" s="125"/>
      <c r="BQ876" s="116"/>
    </row>
    <row r="877">
      <c r="A877" s="116"/>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c r="AA877" s="116"/>
      <c r="AB877" s="116"/>
      <c r="AC877" s="116"/>
      <c r="AD877" s="116"/>
      <c r="AE877" s="116"/>
      <c r="AF877" s="116"/>
      <c r="AG877" s="116"/>
      <c r="AH877" s="116"/>
      <c r="AI877" s="116"/>
      <c r="AJ877" s="116"/>
      <c r="AK877" s="116"/>
      <c r="AL877" s="116"/>
      <c r="AM877" s="116"/>
      <c r="AN877" s="116"/>
      <c r="AO877" s="116"/>
      <c r="AP877" s="116"/>
      <c r="AQ877" s="116"/>
      <c r="AR877" s="116"/>
      <c r="AS877" s="116"/>
      <c r="AT877" s="116"/>
      <c r="AU877" s="116"/>
      <c r="AV877" s="116"/>
      <c r="AW877" s="116"/>
      <c r="AX877" s="116"/>
      <c r="AY877" s="116"/>
      <c r="AZ877" s="116"/>
      <c r="BA877" s="116"/>
      <c r="BB877" s="116"/>
      <c r="BC877" s="116"/>
      <c r="BD877" s="116"/>
      <c r="BE877" s="116"/>
      <c r="BF877" s="116"/>
      <c r="BG877" s="116"/>
      <c r="BH877" s="124"/>
      <c r="BI877" s="124"/>
      <c r="BJ877" s="116"/>
      <c r="BK877" s="116"/>
      <c r="BL877" s="116"/>
      <c r="BM877" s="116"/>
      <c r="BN877" s="116"/>
      <c r="BO877" s="116"/>
      <c r="BP877" s="125"/>
      <c r="BQ877" s="116"/>
    </row>
    <row r="878">
      <c r="A878" s="116"/>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c r="AA878" s="116"/>
      <c r="AB878" s="116"/>
      <c r="AC878" s="116"/>
      <c r="AD878" s="116"/>
      <c r="AE878" s="116"/>
      <c r="AF878" s="116"/>
      <c r="AG878" s="116"/>
      <c r="AH878" s="116"/>
      <c r="AI878" s="116"/>
      <c r="AJ878" s="116"/>
      <c r="AK878" s="116"/>
      <c r="AL878" s="116"/>
      <c r="AM878" s="116"/>
      <c r="AN878" s="116"/>
      <c r="AO878" s="116"/>
      <c r="AP878" s="116"/>
      <c r="AQ878" s="116"/>
      <c r="AR878" s="116"/>
      <c r="AS878" s="116"/>
      <c r="AT878" s="116"/>
      <c r="AU878" s="116"/>
      <c r="AV878" s="116"/>
      <c r="AW878" s="116"/>
      <c r="AX878" s="116"/>
      <c r="AY878" s="116"/>
      <c r="AZ878" s="116"/>
      <c r="BA878" s="116"/>
      <c r="BB878" s="116"/>
      <c r="BC878" s="116"/>
      <c r="BD878" s="116"/>
      <c r="BE878" s="116"/>
      <c r="BF878" s="116"/>
      <c r="BG878" s="116"/>
      <c r="BH878" s="124"/>
      <c r="BI878" s="124"/>
      <c r="BJ878" s="116"/>
      <c r="BK878" s="116"/>
      <c r="BL878" s="116"/>
      <c r="BM878" s="116"/>
      <c r="BN878" s="116"/>
      <c r="BO878" s="116"/>
      <c r="BP878" s="125"/>
      <c r="BQ878" s="116"/>
    </row>
    <row r="879">
      <c r="A879" s="116"/>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c r="AA879" s="116"/>
      <c r="AB879" s="116"/>
      <c r="AC879" s="116"/>
      <c r="AD879" s="116"/>
      <c r="AE879" s="116"/>
      <c r="AF879" s="116"/>
      <c r="AG879" s="116"/>
      <c r="AH879" s="116"/>
      <c r="AI879" s="116"/>
      <c r="AJ879" s="116"/>
      <c r="AK879" s="116"/>
      <c r="AL879" s="116"/>
      <c r="AM879" s="116"/>
      <c r="AN879" s="116"/>
      <c r="AO879" s="116"/>
      <c r="AP879" s="116"/>
      <c r="AQ879" s="116"/>
      <c r="AR879" s="116"/>
      <c r="AS879" s="116"/>
      <c r="AT879" s="116"/>
      <c r="AU879" s="116"/>
      <c r="AV879" s="116"/>
      <c r="AW879" s="116"/>
      <c r="AX879" s="116"/>
      <c r="AY879" s="116"/>
      <c r="AZ879" s="116"/>
      <c r="BA879" s="116"/>
      <c r="BB879" s="116"/>
      <c r="BC879" s="116"/>
      <c r="BD879" s="116"/>
      <c r="BE879" s="116"/>
      <c r="BF879" s="116"/>
      <c r="BG879" s="116"/>
      <c r="BH879" s="124"/>
      <c r="BI879" s="124"/>
      <c r="BJ879" s="116"/>
      <c r="BK879" s="116"/>
      <c r="BL879" s="116"/>
      <c r="BM879" s="116"/>
      <c r="BN879" s="116"/>
      <c r="BO879" s="116"/>
      <c r="BP879" s="125"/>
      <c r="BQ879" s="116"/>
    </row>
    <row r="880">
      <c r="A880" s="116"/>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c r="AA880" s="116"/>
      <c r="AB880" s="116"/>
      <c r="AC880" s="116"/>
      <c r="AD880" s="116"/>
      <c r="AE880" s="116"/>
      <c r="AF880" s="116"/>
      <c r="AG880" s="116"/>
      <c r="AH880" s="116"/>
      <c r="AI880" s="116"/>
      <c r="AJ880" s="116"/>
      <c r="AK880" s="116"/>
      <c r="AL880" s="116"/>
      <c r="AM880" s="116"/>
      <c r="AN880" s="116"/>
      <c r="AO880" s="116"/>
      <c r="AP880" s="116"/>
      <c r="AQ880" s="116"/>
      <c r="AR880" s="116"/>
      <c r="AS880" s="116"/>
      <c r="AT880" s="116"/>
      <c r="AU880" s="116"/>
      <c r="AV880" s="116"/>
      <c r="AW880" s="116"/>
      <c r="AX880" s="116"/>
      <c r="AY880" s="116"/>
      <c r="AZ880" s="116"/>
      <c r="BA880" s="116"/>
      <c r="BB880" s="116"/>
      <c r="BC880" s="116"/>
      <c r="BD880" s="116"/>
      <c r="BE880" s="116"/>
      <c r="BF880" s="116"/>
      <c r="BG880" s="116"/>
      <c r="BH880" s="124"/>
      <c r="BI880" s="124"/>
      <c r="BJ880" s="116"/>
      <c r="BK880" s="116"/>
      <c r="BL880" s="116"/>
      <c r="BM880" s="116"/>
      <c r="BN880" s="116"/>
      <c r="BO880" s="116"/>
      <c r="BP880" s="125"/>
      <c r="BQ880" s="116"/>
    </row>
    <row r="881">
      <c r="A881" s="116"/>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c r="AA881" s="116"/>
      <c r="AB881" s="116"/>
      <c r="AC881" s="116"/>
      <c r="AD881" s="116"/>
      <c r="AE881" s="116"/>
      <c r="AF881" s="116"/>
      <c r="AG881" s="116"/>
      <c r="AH881" s="116"/>
      <c r="AI881" s="116"/>
      <c r="AJ881" s="116"/>
      <c r="AK881" s="116"/>
      <c r="AL881" s="116"/>
      <c r="AM881" s="116"/>
      <c r="AN881" s="116"/>
      <c r="AO881" s="116"/>
      <c r="AP881" s="116"/>
      <c r="AQ881" s="116"/>
      <c r="AR881" s="116"/>
      <c r="AS881" s="116"/>
      <c r="AT881" s="116"/>
      <c r="AU881" s="116"/>
      <c r="AV881" s="116"/>
      <c r="AW881" s="116"/>
      <c r="AX881" s="116"/>
      <c r="AY881" s="116"/>
      <c r="AZ881" s="116"/>
      <c r="BA881" s="116"/>
      <c r="BB881" s="116"/>
      <c r="BC881" s="116"/>
      <c r="BD881" s="116"/>
      <c r="BE881" s="116"/>
      <c r="BF881" s="116"/>
      <c r="BG881" s="116"/>
      <c r="BH881" s="124"/>
      <c r="BI881" s="124"/>
      <c r="BJ881" s="116"/>
      <c r="BK881" s="116"/>
      <c r="BL881" s="116"/>
      <c r="BM881" s="116"/>
      <c r="BN881" s="116"/>
      <c r="BO881" s="116"/>
      <c r="BP881" s="125"/>
      <c r="BQ881" s="116"/>
    </row>
    <row r="882">
      <c r="A882" s="116"/>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c r="AA882" s="116"/>
      <c r="AB882" s="116"/>
      <c r="AC882" s="116"/>
      <c r="AD882" s="116"/>
      <c r="AE882" s="116"/>
      <c r="AF882" s="116"/>
      <c r="AG882" s="116"/>
      <c r="AH882" s="116"/>
      <c r="AI882" s="116"/>
      <c r="AJ882" s="116"/>
      <c r="AK882" s="116"/>
      <c r="AL882" s="116"/>
      <c r="AM882" s="116"/>
      <c r="AN882" s="116"/>
      <c r="AO882" s="116"/>
      <c r="AP882" s="116"/>
      <c r="AQ882" s="116"/>
      <c r="AR882" s="116"/>
      <c r="AS882" s="116"/>
      <c r="AT882" s="116"/>
      <c r="AU882" s="116"/>
      <c r="AV882" s="116"/>
      <c r="AW882" s="116"/>
      <c r="AX882" s="116"/>
      <c r="AY882" s="116"/>
      <c r="AZ882" s="116"/>
      <c r="BA882" s="116"/>
      <c r="BB882" s="116"/>
      <c r="BC882" s="116"/>
      <c r="BD882" s="116"/>
      <c r="BE882" s="116"/>
      <c r="BF882" s="116"/>
      <c r="BG882" s="116"/>
      <c r="BH882" s="124"/>
      <c r="BI882" s="124"/>
      <c r="BJ882" s="116"/>
      <c r="BK882" s="116"/>
      <c r="BL882" s="116"/>
      <c r="BM882" s="116"/>
      <c r="BN882" s="116"/>
      <c r="BO882" s="116"/>
      <c r="BP882" s="125"/>
      <c r="BQ882" s="116"/>
    </row>
    <row r="883">
      <c r="A883" s="116"/>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c r="AE883" s="116"/>
      <c r="AF883" s="116"/>
      <c r="AG883" s="116"/>
      <c r="AH883" s="116"/>
      <c r="AI883" s="116"/>
      <c r="AJ883" s="116"/>
      <c r="AK883" s="116"/>
      <c r="AL883" s="116"/>
      <c r="AM883" s="116"/>
      <c r="AN883" s="116"/>
      <c r="AO883" s="116"/>
      <c r="AP883" s="116"/>
      <c r="AQ883" s="116"/>
      <c r="AR883" s="116"/>
      <c r="AS883" s="116"/>
      <c r="AT883" s="116"/>
      <c r="AU883" s="116"/>
      <c r="AV883" s="116"/>
      <c r="AW883" s="116"/>
      <c r="AX883" s="116"/>
      <c r="AY883" s="116"/>
      <c r="AZ883" s="116"/>
      <c r="BA883" s="116"/>
      <c r="BB883" s="116"/>
      <c r="BC883" s="116"/>
      <c r="BD883" s="116"/>
      <c r="BE883" s="116"/>
      <c r="BF883" s="116"/>
      <c r="BG883" s="116"/>
      <c r="BH883" s="124"/>
      <c r="BI883" s="124"/>
      <c r="BJ883" s="116"/>
      <c r="BK883" s="116"/>
      <c r="BL883" s="116"/>
      <c r="BM883" s="116"/>
      <c r="BN883" s="116"/>
      <c r="BO883" s="116"/>
      <c r="BP883" s="125"/>
      <c r="BQ883" s="116"/>
    </row>
    <row r="884">
      <c r="A884" s="116"/>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c r="AA884" s="116"/>
      <c r="AB884" s="116"/>
      <c r="AC884" s="116"/>
      <c r="AD884" s="116"/>
      <c r="AE884" s="116"/>
      <c r="AF884" s="116"/>
      <c r="AG884" s="116"/>
      <c r="AH884" s="116"/>
      <c r="AI884" s="116"/>
      <c r="AJ884" s="116"/>
      <c r="AK884" s="116"/>
      <c r="AL884" s="116"/>
      <c r="AM884" s="116"/>
      <c r="AN884" s="116"/>
      <c r="AO884" s="116"/>
      <c r="AP884" s="116"/>
      <c r="AQ884" s="116"/>
      <c r="AR884" s="116"/>
      <c r="AS884" s="116"/>
      <c r="AT884" s="116"/>
      <c r="AU884" s="116"/>
      <c r="AV884" s="116"/>
      <c r="AW884" s="116"/>
      <c r="AX884" s="116"/>
      <c r="AY884" s="116"/>
      <c r="AZ884" s="116"/>
      <c r="BA884" s="116"/>
      <c r="BB884" s="116"/>
      <c r="BC884" s="116"/>
      <c r="BD884" s="116"/>
      <c r="BE884" s="116"/>
      <c r="BF884" s="116"/>
      <c r="BG884" s="116"/>
      <c r="BH884" s="124"/>
      <c r="BI884" s="124"/>
      <c r="BJ884" s="116"/>
      <c r="BK884" s="116"/>
      <c r="BL884" s="116"/>
      <c r="BM884" s="116"/>
      <c r="BN884" s="116"/>
      <c r="BO884" s="116"/>
      <c r="BP884" s="125"/>
      <c r="BQ884" s="116"/>
    </row>
    <row r="885">
      <c r="A885" s="116"/>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c r="AA885" s="116"/>
      <c r="AB885" s="116"/>
      <c r="AC885" s="116"/>
      <c r="AD885" s="116"/>
      <c r="AE885" s="116"/>
      <c r="AF885" s="116"/>
      <c r="AG885" s="116"/>
      <c r="AH885" s="116"/>
      <c r="AI885" s="116"/>
      <c r="AJ885" s="116"/>
      <c r="AK885" s="116"/>
      <c r="AL885" s="116"/>
      <c r="AM885" s="116"/>
      <c r="AN885" s="116"/>
      <c r="AO885" s="116"/>
      <c r="AP885" s="116"/>
      <c r="AQ885" s="116"/>
      <c r="AR885" s="116"/>
      <c r="AS885" s="116"/>
      <c r="AT885" s="116"/>
      <c r="AU885" s="116"/>
      <c r="AV885" s="116"/>
      <c r="AW885" s="116"/>
      <c r="AX885" s="116"/>
      <c r="AY885" s="116"/>
      <c r="AZ885" s="116"/>
      <c r="BA885" s="116"/>
      <c r="BB885" s="116"/>
      <c r="BC885" s="116"/>
      <c r="BD885" s="116"/>
      <c r="BE885" s="116"/>
      <c r="BF885" s="116"/>
      <c r="BG885" s="116"/>
      <c r="BH885" s="124"/>
      <c r="BI885" s="124"/>
      <c r="BJ885" s="116"/>
      <c r="BK885" s="116"/>
      <c r="BL885" s="116"/>
      <c r="BM885" s="116"/>
      <c r="BN885" s="116"/>
      <c r="BO885" s="116"/>
      <c r="BP885" s="125"/>
      <c r="BQ885" s="116"/>
    </row>
    <row r="886">
      <c r="A886" s="11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c r="AA886" s="116"/>
      <c r="AB886" s="116"/>
      <c r="AC886" s="116"/>
      <c r="AD886" s="116"/>
      <c r="AE886" s="116"/>
      <c r="AF886" s="116"/>
      <c r="AG886" s="116"/>
      <c r="AH886" s="116"/>
      <c r="AI886" s="116"/>
      <c r="AJ886" s="116"/>
      <c r="AK886" s="116"/>
      <c r="AL886" s="116"/>
      <c r="AM886" s="116"/>
      <c r="AN886" s="116"/>
      <c r="AO886" s="116"/>
      <c r="AP886" s="116"/>
      <c r="AQ886" s="116"/>
      <c r="AR886" s="116"/>
      <c r="AS886" s="116"/>
      <c r="AT886" s="116"/>
      <c r="AU886" s="116"/>
      <c r="AV886" s="116"/>
      <c r="AW886" s="116"/>
      <c r="AX886" s="116"/>
      <c r="AY886" s="116"/>
      <c r="AZ886" s="116"/>
      <c r="BA886" s="116"/>
      <c r="BB886" s="116"/>
      <c r="BC886" s="116"/>
      <c r="BD886" s="116"/>
      <c r="BE886" s="116"/>
      <c r="BF886" s="116"/>
      <c r="BG886" s="116"/>
      <c r="BH886" s="124"/>
      <c r="BI886" s="124"/>
      <c r="BJ886" s="116"/>
      <c r="BK886" s="116"/>
      <c r="BL886" s="116"/>
      <c r="BM886" s="116"/>
      <c r="BN886" s="116"/>
      <c r="BO886" s="116"/>
      <c r="BP886" s="125"/>
      <c r="BQ886" s="116"/>
    </row>
    <row r="887">
      <c r="A887" s="116"/>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c r="AA887" s="116"/>
      <c r="AB887" s="116"/>
      <c r="AC887" s="116"/>
      <c r="AD887" s="116"/>
      <c r="AE887" s="116"/>
      <c r="AF887" s="116"/>
      <c r="AG887" s="116"/>
      <c r="AH887" s="116"/>
      <c r="AI887" s="116"/>
      <c r="AJ887" s="116"/>
      <c r="AK887" s="116"/>
      <c r="AL887" s="116"/>
      <c r="AM887" s="116"/>
      <c r="AN887" s="116"/>
      <c r="AO887" s="116"/>
      <c r="AP887" s="116"/>
      <c r="AQ887" s="116"/>
      <c r="AR887" s="116"/>
      <c r="AS887" s="116"/>
      <c r="AT887" s="116"/>
      <c r="AU887" s="116"/>
      <c r="AV887" s="116"/>
      <c r="AW887" s="116"/>
      <c r="AX887" s="116"/>
      <c r="AY887" s="116"/>
      <c r="AZ887" s="116"/>
      <c r="BA887" s="116"/>
      <c r="BB887" s="116"/>
      <c r="BC887" s="116"/>
      <c r="BD887" s="116"/>
      <c r="BE887" s="116"/>
      <c r="BF887" s="116"/>
      <c r="BG887" s="116"/>
      <c r="BH887" s="124"/>
      <c r="BI887" s="124"/>
      <c r="BJ887" s="116"/>
      <c r="BK887" s="116"/>
      <c r="BL887" s="116"/>
      <c r="BM887" s="116"/>
      <c r="BN887" s="116"/>
      <c r="BO887" s="116"/>
      <c r="BP887" s="125"/>
      <c r="BQ887" s="116"/>
    </row>
    <row r="888">
      <c r="A888" s="116"/>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c r="AE888" s="116"/>
      <c r="AF888" s="116"/>
      <c r="AG888" s="116"/>
      <c r="AH888" s="116"/>
      <c r="AI888" s="116"/>
      <c r="AJ888" s="116"/>
      <c r="AK888" s="116"/>
      <c r="AL888" s="116"/>
      <c r="AM888" s="116"/>
      <c r="AN888" s="116"/>
      <c r="AO888" s="116"/>
      <c r="AP888" s="116"/>
      <c r="AQ888" s="116"/>
      <c r="AR888" s="116"/>
      <c r="AS888" s="116"/>
      <c r="AT888" s="116"/>
      <c r="AU888" s="116"/>
      <c r="AV888" s="116"/>
      <c r="AW888" s="116"/>
      <c r="AX888" s="116"/>
      <c r="AY888" s="116"/>
      <c r="AZ888" s="116"/>
      <c r="BA888" s="116"/>
      <c r="BB888" s="116"/>
      <c r="BC888" s="116"/>
      <c r="BD888" s="116"/>
      <c r="BE888" s="116"/>
      <c r="BF888" s="116"/>
      <c r="BG888" s="116"/>
      <c r="BH888" s="124"/>
      <c r="BI888" s="124"/>
      <c r="BJ888" s="116"/>
      <c r="BK888" s="116"/>
      <c r="BL888" s="116"/>
      <c r="BM888" s="116"/>
      <c r="BN888" s="116"/>
      <c r="BO888" s="116"/>
      <c r="BP888" s="125"/>
      <c r="BQ888" s="116"/>
    </row>
    <row r="889">
      <c r="A889" s="116"/>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c r="AA889" s="116"/>
      <c r="AB889" s="116"/>
      <c r="AC889" s="116"/>
      <c r="AD889" s="116"/>
      <c r="AE889" s="116"/>
      <c r="AF889" s="116"/>
      <c r="AG889" s="116"/>
      <c r="AH889" s="116"/>
      <c r="AI889" s="116"/>
      <c r="AJ889" s="116"/>
      <c r="AK889" s="116"/>
      <c r="AL889" s="116"/>
      <c r="AM889" s="116"/>
      <c r="AN889" s="116"/>
      <c r="AO889" s="116"/>
      <c r="AP889" s="116"/>
      <c r="AQ889" s="116"/>
      <c r="AR889" s="116"/>
      <c r="AS889" s="116"/>
      <c r="AT889" s="116"/>
      <c r="AU889" s="116"/>
      <c r="AV889" s="116"/>
      <c r="AW889" s="116"/>
      <c r="AX889" s="116"/>
      <c r="AY889" s="116"/>
      <c r="AZ889" s="116"/>
      <c r="BA889" s="116"/>
      <c r="BB889" s="116"/>
      <c r="BC889" s="116"/>
      <c r="BD889" s="116"/>
      <c r="BE889" s="116"/>
      <c r="BF889" s="116"/>
      <c r="BG889" s="116"/>
      <c r="BH889" s="124"/>
      <c r="BI889" s="124"/>
      <c r="BJ889" s="116"/>
      <c r="BK889" s="116"/>
      <c r="BL889" s="116"/>
      <c r="BM889" s="116"/>
      <c r="BN889" s="116"/>
      <c r="BO889" s="116"/>
      <c r="BP889" s="125"/>
      <c r="BQ889" s="116"/>
    </row>
    <row r="890">
      <c r="A890" s="116"/>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c r="AA890" s="116"/>
      <c r="AB890" s="116"/>
      <c r="AC890" s="116"/>
      <c r="AD890" s="116"/>
      <c r="AE890" s="116"/>
      <c r="AF890" s="116"/>
      <c r="AG890" s="116"/>
      <c r="AH890" s="116"/>
      <c r="AI890" s="116"/>
      <c r="AJ890" s="116"/>
      <c r="AK890" s="116"/>
      <c r="AL890" s="116"/>
      <c r="AM890" s="116"/>
      <c r="AN890" s="116"/>
      <c r="AO890" s="116"/>
      <c r="AP890" s="116"/>
      <c r="AQ890" s="116"/>
      <c r="AR890" s="116"/>
      <c r="AS890" s="116"/>
      <c r="AT890" s="116"/>
      <c r="AU890" s="116"/>
      <c r="AV890" s="116"/>
      <c r="AW890" s="116"/>
      <c r="AX890" s="116"/>
      <c r="AY890" s="116"/>
      <c r="AZ890" s="116"/>
      <c r="BA890" s="116"/>
      <c r="BB890" s="116"/>
      <c r="BC890" s="116"/>
      <c r="BD890" s="116"/>
      <c r="BE890" s="116"/>
      <c r="BF890" s="116"/>
      <c r="BG890" s="116"/>
      <c r="BH890" s="124"/>
      <c r="BI890" s="124"/>
      <c r="BJ890" s="116"/>
      <c r="BK890" s="116"/>
      <c r="BL890" s="116"/>
      <c r="BM890" s="116"/>
      <c r="BN890" s="116"/>
      <c r="BO890" s="116"/>
      <c r="BP890" s="125"/>
      <c r="BQ890" s="116"/>
    </row>
    <row r="891">
      <c r="A891" s="116"/>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c r="AA891" s="116"/>
      <c r="AB891" s="116"/>
      <c r="AC891" s="116"/>
      <c r="AD891" s="116"/>
      <c r="AE891" s="116"/>
      <c r="AF891" s="116"/>
      <c r="AG891" s="116"/>
      <c r="AH891" s="116"/>
      <c r="AI891" s="116"/>
      <c r="AJ891" s="116"/>
      <c r="AK891" s="116"/>
      <c r="AL891" s="116"/>
      <c r="AM891" s="116"/>
      <c r="AN891" s="116"/>
      <c r="AO891" s="116"/>
      <c r="AP891" s="116"/>
      <c r="AQ891" s="116"/>
      <c r="AR891" s="116"/>
      <c r="AS891" s="116"/>
      <c r="AT891" s="116"/>
      <c r="AU891" s="116"/>
      <c r="AV891" s="116"/>
      <c r="AW891" s="116"/>
      <c r="AX891" s="116"/>
      <c r="AY891" s="116"/>
      <c r="AZ891" s="116"/>
      <c r="BA891" s="116"/>
      <c r="BB891" s="116"/>
      <c r="BC891" s="116"/>
      <c r="BD891" s="116"/>
      <c r="BE891" s="116"/>
      <c r="BF891" s="116"/>
      <c r="BG891" s="116"/>
      <c r="BH891" s="124"/>
      <c r="BI891" s="124"/>
      <c r="BJ891" s="116"/>
      <c r="BK891" s="116"/>
      <c r="BL891" s="116"/>
      <c r="BM891" s="116"/>
      <c r="BN891" s="116"/>
      <c r="BO891" s="116"/>
      <c r="BP891" s="125"/>
      <c r="BQ891" s="116"/>
    </row>
    <row r="892">
      <c r="A892" s="116"/>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c r="AA892" s="116"/>
      <c r="AB892" s="116"/>
      <c r="AC892" s="116"/>
      <c r="AD892" s="116"/>
      <c r="AE892" s="116"/>
      <c r="AF892" s="116"/>
      <c r="AG892" s="116"/>
      <c r="AH892" s="116"/>
      <c r="AI892" s="116"/>
      <c r="AJ892" s="116"/>
      <c r="AK892" s="116"/>
      <c r="AL892" s="116"/>
      <c r="AM892" s="116"/>
      <c r="AN892" s="116"/>
      <c r="AO892" s="116"/>
      <c r="AP892" s="116"/>
      <c r="AQ892" s="116"/>
      <c r="AR892" s="116"/>
      <c r="AS892" s="116"/>
      <c r="AT892" s="116"/>
      <c r="AU892" s="116"/>
      <c r="AV892" s="116"/>
      <c r="AW892" s="116"/>
      <c r="AX892" s="116"/>
      <c r="AY892" s="116"/>
      <c r="AZ892" s="116"/>
      <c r="BA892" s="116"/>
      <c r="BB892" s="116"/>
      <c r="BC892" s="116"/>
      <c r="BD892" s="116"/>
      <c r="BE892" s="116"/>
      <c r="BF892" s="116"/>
      <c r="BG892" s="116"/>
      <c r="BH892" s="124"/>
      <c r="BI892" s="124"/>
      <c r="BJ892" s="116"/>
      <c r="BK892" s="116"/>
      <c r="BL892" s="116"/>
      <c r="BM892" s="116"/>
      <c r="BN892" s="116"/>
      <c r="BO892" s="116"/>
      <c r="BP892" s="125"/>
      <c r="BQ892" s="116"/>
    </row>
    <row r="893">
      <c r="A893" s="116"/>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c r="AA893" s="116"/>
      <c r="AB893" s="116"/>
      <c r="AC893" s="116"/>
      <c r="AD893" s="116"/>
      <c r="AE893" s="116"/>
      <c r="AF893" s="116"/>
      <c r="AG893" s="116"/>
      <c r="AH893" s="116"/>
      <c r="AI893" s="116"/>
      <c r="AJ893" s="116"/>
      <c r="AK893" s="116"/>
      <c r="AL893" s="116"/>
      <c r="AM893" s="116"/>
      <c r="AN893" s="116"/>
      <c r="AO893" s="116"/>
      <c r="AP893" s="116"/>
      <c r="AQ893" s="116"/>
      <c r="AR893" s="116"/>
      <c r="AS893" s="116"/>
      <c r="AT893" s="116"/>
      <c r="AU893" s="116"/>
      <c r="AV893" s="116"/>
      <c r="AW893" s="116"/>
      <c r="AX893" s="116"/>
      <c r="AY893" s="116"/>
      <c r="AZ893" s="116"/>
      <c r="BA893" s="116"/>
      <c r="BB893" s="116"/>
      <c r="BC893" s="116"/>
      <c r="BD893" s="116"/>
      <c r="BE893" s="116"/>
      <c r="BF893" s="116"/>
      <c r="BG893" s="116"/>
      <c r="BH893" s="124"/>
      <c r="BI893" s="124"/>
      <c r="BJ893" s="116"/>
      <c r="BK893" s="116"/>
      <c r="BL893" s="116"/>
      <c r="BM893" s="116"/>
      <c r="BN893" s="116"/>
      <c r="BO893" s="116"/>
      <c r="BP893" s="125"/>
      <c r="BQ893" s="116"/>
    </row>
    <row r="894">
      <c r="A894" s="116"/>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c r="AA894" s="116"/>
      <c r="AB894" s="116"/>
      <c r="AC894" s="116"/>
      <c r="AD894" s="116"/>
      <c r="AE894" s="116"/>
      <c r="AF894" s="116"/>
      <c r="AG894" s="116"/>
      <c r="AH894" s="116"/>
      <c r="AI894" s="116"/>
      <c r="AJ894" s="116"/>
      <c r="AK894" s="116"/>
      <c r="AL894" s="116"/>
      <c r="AM894" s="116"/>
      <c r="AN894" s="116"/>
      <c r="AO894" s="116"/>
      <c r="AP894" s="116"/>
      <c r="AQ894" s="116"/>
      <c r="AR894" s="116"/>
      <c r="AS894" s="116"/>
      <c r="AT894" s="116"/>
      <c r="AU894" s="116"/>
      <c r="AV894" s="116"/>
      <c r="AW894" s="116"/>
      <c r="AX894" s="116"/>
      <c r="AY894" s="116"/>
      <c r="AZ894" s="116"/>
      <c r="BA894" s="116"/>
      <c r="BB894" s="116"/>
      <c r="BC894" s="116"/>
      <c r="BD894" s="116"/>
      <c r="BE894" s="116"/>
      <c r="BF894" s="116"/>
      <c r="BG894" s="116"/>
      <c r="BH894" s="124"/>
      <c r="BI894" s="124"/>
      <c r="BJ894" s="116"/>
      <c r="BK894" s="116"/>
      <c r="BL894" s="116"/>
      <c r="BM894" s="116"/>
      <c r="BN894" s="116"/>
      <c r="BO894" s="116"/>
      <c r="BP894" s="125"/>
      <c r="BQ894" s="116"/>
    </row>
    <row r="895">
      <c r="A895" s="116"/>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c r="AA895" s="116"/>
      <c r="AB895" s="116"/>
      <c r="AC895" s="116"/>
      <c r="AD895" s="116"/>
      <c r="AE895" s="116"/>
      <c r="AF895" s="116"/>
      <c r="AG895" s="116"/>
      <c r="AH895" s="116"/>
      <c r="AI895" s="116"/>
      <c r="AJ895" s="116"/>
      <c r="AK895" s="116"/>
      <c r="AL895" s="116"/>
      <c r="AM895" s="116"/>
      <c r="AN895" s="116"/>
      <c r="AO895" s="116"/>
      <c r="AP895" s="116"/>
      <c r="AQ895" s="116"/>
      <c r="AR895" s="116"/>
      <c r="AS895" s="116"/>
      <c r="AT895" s="116"/>
      <c r="AU895" s="116"/>
      <c r="AV895" s="116"/>
      <c r="AW895" s="116"/>
      <c r="AX895" s="116"/>
      <c r="AY895" s="116"/>
      <c r="AZ895" s="116"/>
      <c r="BA895" s="116"/>
      <c r="BB895" s="116"/>
      <c r="BC895" s="116"/>
      <c r="BD895" s="116"/>
      <c r="BE895" s="116"/>
      <c r="BF895" s="116"/>
      <c r="BG895" s="116"/>
      <c r="BH895" s="124"/>
      <c r="BI895" s="124"/>
      <c r="BJ895" s="116"/>
      <c r="BK895" s="116"/>
      <c r="BL895" s="116"/>
      <c r="BM895" s="116"/>
      <c r="BN895" s="116"/>
      <c r="BO895" s="116"/>
      <c r="BP895" s="125"/>
      <c r="BQ895" s="116"/>
    </row>
    <row r="896">
      <c r="A896" s="11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c r="AA896" s="116"/>
      <c r="AB896" s="116"/>
      <c r="AC896" s="116"/>
      <c r="AD896" s="116"/>
      <c r="AE896" s="116"/>
      <c r="AF896" s="116"/>
      <c r="AG896" s="116"/>
      <c r="AH896" s="116"/>
      <c r="AI896" s="116"/>
      <c r="AJ896" s="116"/>
      <c r="AK896" s="116"/>
      <c r="AL896" s="116"/>
      <c r="AM896" s="116"/>
      <c r="AN896" s="116"/>
      <c r="AO896" s="116"/>
      <c r="AP896" s="116"/>
      <c r="AQ896" s="116"/>
      <c r="AR896" s="116"/>
      <c r="AS896" s="116"/>
      <c r="AT896" s="116"/>
      <c r="AU896" s="116"/>
      <c r="AV896" s="116"/>
      <c r="AW896" s="116"/>
      <c r="AX896" s="116"/>
      <c r="AY896" s="116"/>
      <c r="AZ896" s="116"/>
      <c r="BA896" s="116"/>
      <c r="BB896" s="116"/>
      <c r="BC896" s="116"/>
      <c r="BD896" s="116"/>
      <c r="BE896" s="116"/>
      <c r="BF896" s="116"/>
      <c r="BG896" s="116"/>
      <c r="BH896" s="124"/>
      <c r="BI896" s="124"/>
      <c r="BJ896" s="116"/>
      <c r="BK896" s="116"/>
      <c r="BL896" s="116"/>
      <c r="BM896" s="116"/>
      <c r="BN896" s="116"/>
      <c r="BO896" s="116"/>
      <c r="BP896" s="125"/>
      <c r="BQ896" s="116"/>
    </row>
    <row r="897">
      <c r="A897" s="116"/>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c r="AA897" s="116"/>
      <c r="AB897" s="116"/>
      <c r="AC897" s="116"/>
      <c r="AD897" s="116"/>
      <c r="AE897" s="116"/>
      <c r="AF897" s="116"/>
      <c r="AG897" s="116"/>
      <c r="AH897" s="116"/>
      <c r="AI897" s="116"/>
      <c r="AJ897" s="116"/>
      <c r="AK897" s="116"/>
      <c r="AL897" s="116"/>
      <c r="AM897" s="116"/>
      <c r="AN897" s="116"/>
      <c r="AO897" s="116"/>
      <c r="AP897" s="116"/>
      <c r="AQ897" s="116"/>
      <c r="AR897" s="116"/>
      <c r="AS897" s="116"/>
      <c r="AT897" s="116"/>
      <c r="AU897" s="116"/>
      <c r="AV897" s="116"/>
      <c r="AW897" s="116"/>
      <c r="AX897" s="116"/>
      <c r="AY897" s="116"/>
      <c r="AZ897" s="116"/>
      <c r="BA897" s="116"/>
      <c r="BB897" s="116"/>
      <c r="BC897" s="116"/>
      <c r="BD897" s="116"/>
      <c r="BE897" s="116"/>
      <c r="BF897" s="116"/>
      <c r="BG897" s="116"/>
      <c r="BH897" s="124"/>
      <c r="BI897" s="124"/>
      <c r="BJ897" s="116"/>
      <c r="BK897" s="116"/>
      <c r="BL897" s="116"/>
      <c r="BM897" s="116"/>
      <c r="BN897" s="116"/>
      <c r="BO897" s="116"/>
      <c r="BP897" s="125"/>
      <c r="BQ897" s="116"/>
    </row>
    <row r="898">
      <c r="A898" s="116"/>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c r="AA898" s="116"/>
      <c r="AB898" s="116"/>
      <c r="AC898" s="116"/>
      <c r="AD898" s="116"/>
      <c r="AE898" s="116"/>
      <c r="AF898" s="116"/>
      <c r="AG898" s="116"/>
      <c r="AH898" s="116"/>
      <c r="AI898" s="116"/>
      <c r="AJ898" s="116"/>
      <c r="AK898" s="116"/>
      <c r="AL898" s="116"/>
      <c r="AM898" s="116"/>
      <c r="AN898" s="116"/>
      <c r="AO898" s="116"/>
      <c r="AP898" s="116"/>
      <c r="AQ898" s="116"/>
      <c r="AR898" s="116"/>
      <c r="AS898" s="116"/>
      <c r="AT898" s="116"/>
      <c r="AU898" s="116"/>
      <c r="AV898" s="116"/>
      <c r="AW898" s="116"/>
      <c r="AX898" s="116"/>
      <c r="AY898" s="116"/>
      <c r="AZ898" s="116"/>
      <c r="BA898" s="116"/>
      <c r="BB898" s="116"/>
      <c r="BC898" s="116"/>
      <c r="BD898" s="116"/>
      <c r="BE898" s="116"/>
      <c r="BF898" s="116"/>
      <c r="BG898" s="116"/>
      <c r="BH898" s="124"/>
      <c r="BI898" s="124"/>
      <c r="BJ898" s="116"/>
      <c r="BK898" s="116"/>
      <c r="BL898" s="116"/>
      <c r="BM898" s="116"/>
      <c r="BN898" s="116"/>
      <c r="BO898" s="116"/>
      <c r="BP898" s="125"/>
      <c r="BQ898" s="116"/>
    </row>
    <row r="899">
      <c r="A899" s="116"/>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c r="AA899" s="116"/>
      <c r="AB899" s="116"/>
      <c r="AC899" s="116"/>
      <c r="AD899" s="116"/>
      <c r="AE899" s="116"/>
      <c r="AF899" s="116"/>
      <c r="AG899" s="116"/>
      <c r="AH899" s="116"/>
      <c r="AI899" s="116"/>
      <c r="AJ899" s="116"/>
      <c r="AK899" s="116"/>
      <c r="AL899" s="116"/>
      <c r="AM899" s="116"/>
      <c r="AN899" s="116"/>
      <c r="AO899" s="116"/>
      <c r="AP899" s="116"/>
      <c r="AQ899" s="116"/>
      <c r="AR899" s="116"/>
      <c r="AS899" s="116"/>
      <c r="AT899" s="116"/>
      <c r="AU899" s="116"/>
      <c r="AV899" s="116"/>
      <c r="AW899" s="116"/>
      <c r="AX899" s="116"/>
      <c r="AY899" s="116"/>
      <c r="AZ899" s="116"/>
      <c r="BA899" s="116"/>
      <c r="BB899" s="116"/>
      <c r="BC899" s="116"/>
      <c r="BD899" s="116"/>
      <c r="BE899" s="116"/>
      <c r="BF899" s="116"/>
      <c r="BG899" s="116"/>
      <c r="BH899" s="124"/>
      <c r="BI899" s="124"/>
      <c r="BJ899" s="116"/>
      <c r="BK899" s="116"/>
      <c r="BL899" s="116"/>
      <c r="BM899" s="116"/>
      <c r="BN899" s="116"/>
      <c r="BO899" s="116"/>
      <c r="BP899" s="125"/>
      <c r="BQ899" s="116"/>
    </row>
    <row r="900">
      <c r="A900" s="116"/>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c r="AA900" s="116"/>
      <c r="AB900" s="116"/>
      <c r="AC900" s="116"/>
      <c r="AD900" s="116"/>
      <c r="AE900" s="116"/>
      <c r="AF900" s="116"/>
      <c r="AG900" s="116"/>
      <c r="AH900" s="116"/>
      <c r="AI900" s="116"/>
      <c r="AJ900" s="116"/>
      <c r="AK900" s="116"/>
      <c r="AL900" s="116"/>
      <c r="AM900" s="116"/>
      <c r="AN900" s="116"/>
      <c r="AO900" s="116"/>
      <c r="AP900" s="116"/>
      <c r="AQ900" s="116"/>
      <c r="AR900" s="116"/>
      <c r="AS900" s="116"/>
      <c r="AT900" s="116"/>
      <c r="AU900" s="116"/>
      <c r="AV900" s="116"/>
      <c r="AW900" s="116"/>
      <c r="AX900" s="116"/>
      <c r="AY900" s="116"/>
      <c r="AZ900" s="116"/>
      <c r="BA900" s="116"/>
      <c r="BB900" s="116"/>
      <c r="BC900" s="116"/>
      <c r="BD900" s="116"/>
      <c r="BE900" s="116"/>
      <c r="BF900" s="116"/>
      <c r="BG900" s="116"/>
      <c r="BH900" s="124"/>
      <c r="BI900" s="124"/>
      <c r="BJ900" s="116"/>
      <c r="BK900" s="116"/>
      <c r="BL900" s="116"/>
      <c r="BM900" s="116"/>
      <c r="BN900" s="116"/>
      <c r="BO900" s="116"/>
      <c r="BP900" s="125"/>
      <c r="BQ900" s="116"/>
    </row>
    <row r="901">
      <c r="A901" s="116"/>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c r="AA901" s="116"/>
      <c r="AB901" s="116"/>
      <c r="AC901" s="116"/>
      <c r="AD901" s="116"/>
      <c r="AE901" s="116"/>
      <c r="AF901" s="116"/>
      <c r="AG901" s="116"/>
      <c r="AH901" s="116"/>
      <c r="AI901" s="116"/>
      <c r="AJ901" s="116"/>
      <c r="AK901" s="116"/>
      <c r="AL901" s="116"/>
      <c r="AM901" s="116"/>
      <c r="AN901" s="116"/>
      <c r="AO901" s="116"/>
      <c r="AP901" s="116"/>
      <c r="AQ901" s="116"/>
      <c r="AR901" s="116"/>
      <c r="AS901" s="116"/>
      <c r="AT901" s="116"/>
      <c r="AU901" s="116"/>
      <c r="AV901" s="116"/>
      <c r="AW901" s="116"/>
      <c r="AX901" s="116"/>
      <c r="AY901" s="116"/>
      <c r="AZ901" s="116"/>
      <c r="BA901" s="116"/>
      <c r="BB901" s="116"/>
      <c r="BC901" s="116"/>
      <c r="BD901" s="116"/>
      <c r="BE901" s="116"/>
      <c r="BF901" s="116"/>
      <c r="BG901" s="116"/>
      <c r="BH901" s="124"/>
      <c r="BI901" s="124"/>
      <c r="BJ901" s="116"/>
      <c r="BK901" s="116"/>
      <c r="BL901" s="116"/>
      <c r="BM901" s="116"/>
      <c r="BN901" s="116"/>
      <c r="BO901" s="116"/>
      <c r="BP901" s="125"/>
      <c r="BQ901" s="116"/>
    </row>
    <row r="902">
      <c r="A902" s="116"/>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c r="AA902" s="116"/>
      <c r="AB902" s="116"/>
      <c r="AC902" s="116"/>
      <c r="AD902" s="116"/>
      <c r="AE902" s="116"/>
      <c r="AF902" s="116"/>
      <c r="AG902" s="116"/>
      <c r="AH902" s="116"/>
      <c r="AI902" s="116"/>
      <c r="AJ902" s="116"/>
      <c r="AK902" s="116"/>
      <c r="AL902" s="116"/>
      <c r="AM902" s="116"/>
      <c r="AN902" s="116"/>
      <c r="AO902" s="116"/>
      <c r="AP902" s="116"/>
      <c r="AQ902" s="116"/>
      <c r="AR902" s="116"/>
      <c r="AS902" s="116"/>
      <c r="AT902" s="116"/>
      <c r="AU902" s="116"/>
      <c r="AV902" s="116"/>
      <c r="AW902" s="116"/>
      <c r="AX902" s="116"/>
      <c r="AY902" s="116"/>
      <c r="AZ902" s="116"/>
      <c r="BA902" s="116"/>
      <c r="BB902" s="116"/>
      <c r="BC902" s="116"/>
      <c r="BD902" s="116"/>
      <c r="BE902" s="116"/>
      <c r="BF902" s="116"/>
      <c r="BG902" s="116"/>
      <c r="BH902" s="124"/>
      <c r="BI902" s="124"/>
      <c r="BJ902" s="116"/>
      <c r="BK902" s="116"/>
      <c r="BL902" s="116"/>
      <c r="BM902" s="116"/>
      <c r="BN902" s="116"/>
      <c r="BO902" s="116"/>
      <c r="BP902" s="125"/>
      <c r="BQ902" s="116"/>
    </row>
    <row r="903">
      <c r="A903" s="116"/>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c r="AA903" s="116"/>
      <c r="AB903" s="116"/>
      <c r="AC903" s="116"/>
      <c r="AD903" s="116"/>
      <c r="AE903" s="116"/>
      <c r="AF903" s="116"/>
      <c r="AG903" s="116"/>
      <c r="AH903" s="116"/>
      <c r="AI903" s="116"/>
      <c r="AJ903" s="116"/>
      <c r="AK903" s="116"/>
      <c r="AL903" s="116"/>
      <c r="AM903" s="116"/>
      <c r="AN903" s="116"/>
      <c r="AO903" s="116"/>
      <c r="AP903" s="116"/>
      <c r="AQ903" s="116"/>
      <c r="AR903" s="116"/>
      <c r="AS903" s="116"/>
      <c r="AT903" s="116"/>
      <c r="AU903" s="116"/>
      <c r="AV903" s="116"/>
      <c r="AW903" s="116"/>
      <c r="AX903" s="116"/>
      <c r="AY903" s="116"/>
      <c r="AZ903" s="116"/>
      <c r="BA903" s="116"/>
      <c r="BB903" s="116"/>
      <c r="BC903" s="116"/>
      <c r="BD903" s="116"/>
      <c r="BE903" s="116"/>
      <c r="BF903" s="116"/>
      <c r="BG903" s="116"/>
      <c r="BH903" s="124"/>
      <c r="BI903" s="124"/>
      <c r="BJ903" s="116"/>
      <c r="BK903" s="116"/>
      <c r="BL903" s="116"/>
      <c r="BM903" s="116"/>
      <c r="BN903" s="116"/>
      <c r="BO903" s="116"/>
      <c r="BP903" s="125"/>
      <c r="BQ903" s="116"/>
    </row>
    <row r="904">
      <c r="A904" s="116"/>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c r="AA904" s="116"/>
      <c r="AB904" s="116"/>
      <c r="AC904" s="116"/>
      <c r="AD904" s="116"/>
      <c r="AE904" s="116"/>
      <c r="AF904" s="116"/>
      <c r="AG904" s="116"/>
      <c r="AH904" s="116"/>
      <c r="AI904" s="116"/>
      <c r="AJ904" s="116"/>
      <c r="AK904" s="116"/>
      <c r="AL904" s="116"/>
      <c r="AM904" s="116"/>
      <c r="AN904" s="116"/>
      <c r="AO904" s="116"/>
      <c r="AP904" s="116"/>
      <c r="AQ904" s="116"/>
      <c r="AR904" s="116"/>
      <c r="AS904" s="116"/>
      <c r="AT904" s="116"/>
      <c r="AU904" s="116"/>
      <c r="AV904" s="116"/>
      <c r="AW904" s="116"/>
      <c r="AX904" s="116"/>
      <c r="AY904" s="116"/>
      <c r="AZ904" s="116"/>
      <c r="BA904" s="116"/>
      <c r="BB904" s="116"/>
      <c r="BC904" s="116"/>
      <c r="BD904" s="116"/>
      <c r="BE904" s="116"/>
      <c r="BF904" s="116"/>
      <c r="BG904" s="116"/>
      <c r="BH904" s="124"/>
      <c r="BI904" s="124"/>
      <c r="BJ904" s="116"/>
      <c r="BK904" s="116"/>
      <c r="BL904" s="116"/>
      <c r="BM904" s="116"/>
      <c r="BN904" s="116"/>
      <c r="BO904" s="116"/>
      <c r="BP904" s="125"/>
      <c r="BQ904" s="116"/>
    </row>
    <row r="905">
      <c r="A905" s="116"/>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c r="AA905" s="116"/>
      <c r="AB905" s="116"/>
      <c r="AC905" s="116"/>
      <c r="AD905" s="116"/>
      <c r="AE905" s="116"/>
      <c r="AF905" s="116"/>
      <c r="AG905" s="116"/>
      <c r="AH905" s="116"/>
      <c r="AI905" s="116"/>
      <c r="AJ905" s="116"/>
      <c r="AK905" s="116"/>
      <c r="AL905" s="116"/>
      <c r="AM905" s="116"/>
      <c r="AN905" s="116"/>
      <c r="AO905" s="116"/>
      <c r="AP905" s="116"/>
      <c r="AQ905" s="116"/>
      <c r="AR905" s="116"/>
      <c r="AS905" s="116"/>
      <c r="AT905" s="116"/>
      <c r="AU905" s="116"/>
      <c r="AV905" s="116"/>
      <c r="AW905" s="116"/>
      <c r="AX905" s="116"/>
      <c r="AY905" s="116"/>
      <c r="AZ905" s="116"/>
      <c r="BA905" s="116"/>
      <c r="BB905" s="116"/>
      <c r="BC905" s="116"/>
      <c r="BD905" s="116"/>
      <c r="BE905" s="116"/>
      <c r="BF905" s="116"/>
      <c r="BG905" s="116"/>
      <c r="BH905" s="124"/>
      <c r="BI905" s="124"/>
      <c r="BJ905" s="116"/>
      <c r="BK905" s="116"/>
      <c r="BL905" s="116"/>
      <c r="BM905" s="116"/>
      <c r="BN905" s="116"/>
      <c r="BO905" s="116"/>
      <c r="BP905" s="125"/>
      <c r="BQ905" s="116"/>
    </row>
    <row r="906">
      <c r="A906" s="11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c r="AA906" s="116"/>
      <c r="AB906" s="116"/>
      <c r="AC906" s="116"/>
      <c r="AD906" s="116"/>
      <c r="AE906" s="116"/>
      <c r="AF906" s="116"/>
      <c r="AG906" s="116"/>
      <c r="AH906" s="116"/>
      <c r="AI906" s="116"/>
      <c r="AJ906" s="116"/>
      <c r="AK906" s="116"/>
      <c r="AL906" s="116"/>
      <c r="AM906" s="116"/>
      <c r="AN906" s="116"/>
      <c r="AO906" s="116"/>
      <c r="AP906" s="116"/>
      <c r="AQ906" s="116"/>
      <c r="AR906" s="116"/>
      <c r="AS906" s="116"/>
      <c r="AT906" s="116"/>
      <c r="AU906" s="116"/>
      <c r="AV906" s="116"/>
      <c r="AW906" s="116"/>
      <c r="AX906" s="116"/>
      <c r="AY906" s="116"/>
      <c r="AZ906" s="116"/>
      <c r="BA906" s="116"/>
      <c r="BB906" s="116"/>
      <c r="BC906" s="116"/>
      <c r="BD906" s="116"/>
      <c r="BE906" s="116"/>
      <c r="BF906" s="116"/>
      <c r="BG906" s="116"/>
      <c r="BH906" s="124"/>
      <c r="BI906" s="124"/>
      <c r="BJ906" s="116"/>
      <c r="BK906" s="116"/>
      <c r="BL906" s="116"/>
      <c r="BM906" s="116"/>
      <c r="BN906" s="116"/>
      <c r="BO906" s="116"/>
      <c r="BP906" s="125"/>
      <c r="BQ906" s="116"/>
    </row>
    <row r="907">
      <c r="A907" s="116"/>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c r="AA907" s="116"/>
      <c r="AB907" s="116"/>
      <c r="AC907" s="116"/>
      <c r="AD907" s="116"/>
      <c r="AE907" s="116"/>
      <c r="AF907" s="116"/>
      <c r="AG907" s="116"/>
      <c r="AH907" s="116"/>
      <c r="AI907" s="116"/>
      <c r="AJ907" s="116"/>
      <c r="AK907" s="116"/>
      <c r="AL907" s="116"/>
      <c r="AM907" s="116"/>
      <c r="AN907" s="116"/>
      <c r="AO907" s="116"/>
      <c r="AP907" s="116"/>
      <c r="AQ907" s="116"/>
      <c r="AR907" s="116"/>
      <c r="AS907" s="116"/>
      <c r="AT907" s="116"/>
      <c r="AU907" s="116"/>
      <c r="AV907" s="116"/>
      <c r="AW907" s="116"/>
      <c r="AX907" s="116"/>
      <c r="AY907" s="116"/>
      <c r="AZ907" s="116"/>
      <c r="BA907" s="116"/>
      <c r="BB907" s="116"/>
      <c r="BC907" s="116"/>
      <c r="BD907" s="116"/>
      <c r="BE907" s="116"/>
      <c r="BF907" s="116"/>
      <c r="BG907" s="116"/>
      <c r="BH907" s="124"/>
      <c r="BI907" s="124"/>
      <c r="BJ907" s="116"/>
      <c r="BK907" s="116"/>
      <c r="BL907" s="116"/>
      <c r="BM907" s="116"/>
      <c r="BN907" s="116"/>
      <c r="BO907" s="116"/>
      <c r="BP907" s="125"/>
      <c r="BQ907" s="116"/>
    </row>
    <row r="908">
      <c r="A908" s="116"/>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c r="AA908" s="116"/>
      <c r="AB908" s="116"/>
      <c r="AC908" s="116"/>
      <c r="AD908" s="116"/>
      <c r="AE908" s="116"/>
      <c r="AF908" s="116"/>
      <c r="AG908" s="116"/>
      <c r="AH908" s="116"/>
      <c r="AI908" s="116"/>
      <c r="AJ908" s="116"/>
      <c r="AK908" s="116"/>
      <c r="AL908" s="116"/>
      <c r="AM908" s="116"/>
      <c r="AN908" s="116"/>
      <c r="AO908" s="116"/>
      <c r="AP908" s="116"/>
      <c r="AQ908" s="116"/>
      <c r="AR908" s="116"/>
      <c r="AS908" s="116"/>
      <c r="AT908" s="116"/>
      <c r="AU908" s="116"/>
      <c r="AV908" s="116"/>
      <c r="AW908" s="116"/>
      <c r="AX908" s="116"/>
      <c r="AY908" s="116"/>
      <c r="AZ908" s="116"/>
      <c r="BA908" s="116"/>
      <c r="BB908" s="116"/>
      <c r="BC908" s="116"/>
      <c r="BD908" s="116"/>
      <c r="BE908" s="116"/>
      <c r="BF908" s="116"/>
      <c r="BG908" s="116"/>
      <c r="BH908" s="124"/>
      <c r="BI908" s="124"/>
      <c r="BJ908" s="116"/>
      <c r="BK908" s="116"/>
      <c r="BL908" s="116"/>
      <c r="BM908" s="116"/>
      <c r="BN908" s="116"/>
      <c r="BO908" s="116"/>
      <c r="BP908" s="125"/>
      <c r="BQ908" s="116"/>
    </row>
    <row r="909">
      <c r="A909" s="116"/>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c r="AA909" s="116"/>
      <c r="AB909" s="116"/>
      <c r="AC909" s="116"/>
      <c r="AD909" s="116"/>
      <c r="AE909" s="116"/>
      <c r="AF909" s="116"/>
      <c r="AG909" s="116"/>
      <c r="AH909" s="116"/>
      <c r="AI909" s="116"/>
      <c r="AJ909" s="116"/>
      <c r="AK909" s="116"/>
      <c r="AL909" s="116"/>
      <c r="AM909" s="116"/>
      <c r="AN909" s="116"/>
      <c r="AO909" s="116"/>
      <c r="AP909" s="116"/>
      <c r="AQ909" s="116"/>
      <c r="AR909" s="116"/>
      <c r="AS909" s="116"/>
      <c r="AT909" s="116"/>
      <c r="AU909" s="116"/>
      <c r="AV909" s="116"/>
      <c r="AW909" s="116"/>
      <c r="AX909" s="116"/>
      <c r="AY909" s="116"/>
      <c r="AZ909" s="116"/>
      <c r="BA909" s="116"/>
      <c r="BB909" s="116"/>
      <c r="BC909" s="116"/>
      <c r="BD909" s="116"/>
      <c r="BE909" s="116"/>
      <c r="BF909" s="116"/>
      <c r="BG909" s="116"/>
      <c r="BH909" s="124"/>
      <c r="BI909" s="124"/>
      <c r="BJ909" s="116"/>
      <c r="BK909" s="116"/>
      <c r="BL909" s="116"/>
      <c r="BM909" s="116"/>
      <c r="BN909" s="116"/>
      <c r="BO909" s="116"/>
      <c r="BP909" s="125"/>
      <c r="BQ909" s="116"/>
    </row>
    <row r="910">
      <c r="A910" s="116"/>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c r="AA910" s="116"/>
      <c r="AB910" s="116"/>
      <c r="AC910" s="116"/>
      <c r="AD910" s="116"/>
      <c r="AE910" s="116"/>
      <c r="AF910" s="116"/>
      <c r="AG910" s="116"/>
      <c r="AH910" s="116"/>
      <c r="AI910" s="116"/>
      <c r="AJ910" s="116"/>
      <c r="AK910" s="116"/>
      <c r="AL910" s="116"/>
      <c r="AM910" s="116"/>
      <c r="AN910" s="116"/>
      <c r="AO910" s="116"/>
      <c r="AP910" s="116"/>
      <c r="AQ910" s="116"/>
      <c r="AR910" s="116"/>
      <c r="AS910" s="116"/>
      <c r="AT910" s="116"/>
      <c r="AU910" s="116"/>
      <c r="AV910" s="116"/>
      <c r="AW910" s="116"/>
      <c r="AX910" s="116"/>
      <c r="AY910" s="116"/>
      <c r="AZ910" s="116"/>
      <c r="BA910" s="116"/>
      <c r="BB910" s="116"/>
      <c r="BC910" s="116"/>
      <c r="BD910" s="116"/>
      <c r="BE910" s="116"/>
      <c r="BF910" s="116"/>
      <c r="BG910" s="116"/>
      <c r="BH910" s="124"/>
      <c r="BI910" s="124"/>
      <c r="BJ910" s="116"/>
      <c r="BK910" s="116"/>
      <c r="BL910" s="116"/>
      <c r="BM910" s="116"/>
      <c r="BN910" s="116"/>
      <c r="BO910" s="116"/>
      <c r="BP910" s="125"/>
      <c r="BQ910" s="116"/>
    </row>
    <row r="911">
      <c r="A911" s="116"/>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c r="AA911" s="116"/>
      <c r="AB911" s="116"/>
      <c r="AC911" s="116"/>
      <c r="AD911" s="116"/>
      <c r="AE911" s="116"/>
      <c r="AF911" s="116"/>
      <c r="AG911" s="116"/>
      <c r="AH911" s="116"/>
      <c r="AI911" s="116"/>
      <c r="AJ911" s="116"/>
      <c r="AK911" s="116"/>
      <c r="AL911" s="116"/>
      <c r="AM911" s="116"/>
      <c r="AN911" s="116"/>
      <c r="AO911" s="116"/>
      <c r="AP911" s="116"/>
      <c r="AQ911" s="116"/>
      <c r="AR911" s="116"/>
      <c r="AS911" s="116"/>
      <c r="AT911" s="116"/>
      <c r="AU911" s="116"/>
      <c r="AV911" s="116"/>
      <c r="AW911" s="116"/>
      <c r="AX911" s="116"/>
      <c r="AY911" s="116"/>
      <c r="AZ911" s="116"/>
      <c r="BA911" s="116"/>
      <c r="BB911" s="116"/>
      <c r="BC911" s="116"/>
      <c r="BD911" s="116"/>
      <c r="BE911" s="116"/>
      <c r="BF911" s="116"/>
      <c r="BG911" s="116"/>
      <c r="BH911" s="124"/>
      <c r="BI911" s="124"/>
      <c r="BJ911" s="116"/>
      <c r="BK911" s="116"/>
      <c r="BL911" s="116"/>
      <c r="BM911" s="116"/>
      <c r="BN911" s="116"/>
      <c r="BO911" s="116"/>
      <c r="BP911" s="125"/>
      <c r="BQ911" s="116"/>
    </row>
    <row r="912">
      <c r="A912" s="116"/>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c r="AA912" s="116"/>
      <c r="AB912" s="116"/>
      <c r="AC912" s="116"/>
      <c r="AD912" s="116"/>
      <c r="AE912" s="116"/>
      <c r="AF912" s="116"/>
      <c r="AG912" s="116"/>
      <c r="AH912" s="116"/>
      <c r="AI912" s="116"/>
      <c r="AJ912" s="116"/>
      <c r="AK912" s="116"/>
      <c r="AL912" s="116"/>
      <c r="AM912" s="116"/>
      <c r="AN912" s="116"/>
      <c r="AO912" s="116"/>
      <c r="AP912" s="116"/>
      <c r="AQ912" s="116"/>
      <c r="AR912" s="116"/>
      <c r="AS912" s="116"/>
      <c r="AT912" s="116"/>
      <c r="AU912" s="116"/>
      <c r="AV912" s="116"/>
      <c r="AW912" s="116"/>
      <c r="AX912" s="116"/>
      <c r="AY912" s="116"/>
      <c r="AZ912" s="116"/>
      <c r="BA912" s="116"/>
      <c r="BB912" s="116"/>
      <c r="BC912" s="116"/>
      <c r="BD912" s="116"/>
      <c r="BE912" s="116"/>
      <c r="BF912" s="116"/>
      <c r="BG912" s="116"/>
      <c r="BH912" s="124"/>
      <c r="BI912" s="124"/>
      <c r="BJ912" s="116"/>
      <c r="BK912" s="116"/>
      <c r="BL912" s="116"/>
      <c r="BM912" s="116"/>
      <c r="BN912" s="116"/>
      <c r="BO912" s="116"/>
      <c r="BP912" s="125"/>
      <c r="BQ912" s="116"/>
    </row>
    <row r="913">
      <c r="A913" s="116"/>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c r="AA913" s="116"/>
      <c r="AB913" s="116"/>
      <c r="AC913" s="116"/>
      <c r="AD913" s="116"/>
      <c r="AE913" s="116"/>
      <c r="AF913" s="116"/>
      <c r="AG913" s="116"/>
      <c r="AH913" s="116"/>
      <c r="AI913" s="116"/>
      <c r="AJ913" s="116"/>
      <c r="AK913" s="116"/>
      <c r="AL913" s="116"/>
      <c r="AM913" s="116"/>
      <c r="AN913" s="116"/>
      <c r="AO913" s="116"/>
      <c r="AP913" s="116"/>
      <c r="AQ913" s="116"/>
      <c r="AR913" s="116"/>
      <c r="AS913" s="116"/>
      <c r="AT913" s="116"/>
      <c r="AU913" s="116"/>
      <c r="AV913" s="116"/>
      <c r="AW913" s="116"/>
      <c r="AX913" s="116"/>
      <c r="AY913" s="116"/>
      <c r="AZ913" s="116"/>
      <c r="BA913" s="116"/>
      <c r="BB913" s="116"/>
      <c r="BC913" s="116"/>
      <c r="BD913" s="116"/>
      <c r="BE913" s="116"/>
      <c r="BF913" s="116"/>
      <c r="BG913" s="116"/>
      <c r="BH913" s="124"/>
      <c r="BI913" s="124"/>
      <c r="BJ913" s="116"/>
      <c r="BK913" s="116"/>
      <c r="BL913" s="116"/>
      <c r="BM913" s="116"/>
      <c r="BN913" s="116"/>
      <c r="BO913" s="116"/>
      <c r="BP913" s="125"/>
      <c r="BQ913" s="116"/>
    </row>
    <row r="914">
      <c r="A914" s="116"/>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c r="AA914" s="116"/>
      <c r="AB914" s="116"/>
      <c r="AC914" s="116"/>
      <c r="AD914" s="116"/>
      <c r="AE914" s="116"/>
      <c r="AF914" s="116"/>
      <c r="AG914" s="116"/>
      <c r="AH914" s="116"/>
      <c r="AI914" s="116"/>
      <c r="AJ914" s="116"/>
      <c r="AK914" s="116"/>
      <c r="AL914" s="116"/>
      <c r="AM914" s="116"/>
      <c r="AN914" s="116"/>
      <c r="AO914" s="116"/>
      <c r="AP914" s="116"/>
      <c r="AQ914" s="116"/>
      <c r="AR914" s="116"/>
      <c r="AS914" s="116"/>
      <c r="AT914" s="116"/>
      <c r="AU914" s="116"/>
      <c r="AV914" s="116"/>
      <c r="AW914" s="116"/>
      <c r="AX914" s="116"/>
      <c r="AY914" s="116"/>
      <c r="AZ914" s="116"/>
      <c r="BA914" s="116"/>
      <c r="BB914" s="116"/>
      <c r="BC914" s="116"/>
      <c r="BD914" s="116"/>
      <c r="BE914" s="116"/>
      <c r="BF914" s="116"/>
      <c r="BG914" s="116"/>
      <c r="BH914" s="124"/>
      <c r="BI914" s="124"/>
      <c r="BJ914" s="116"/>
      <c r="BK914" s="116"/>
      <c r="BL914" s="116"/>
      <c r="BM914" s="116"/>
      <c r="BN914" s="116"/>
      <c r="BO914" s="116"/>
      <c r="BP914" s="125"/>
      <c r="BQ914" s="116"/>
    </row>
    <row r="915">
      <c r="A915" s="116"/>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c r="AA915" s="116"/>
      <c r="AB915" s="116"/>
      <c r="AC915" s="116"/>
      <c r="AD915" s="116"/>
      <c r="AE915" s="116"/>
      <c r="AF915" s="116"/>
      <c r="AG915" s="116"/>
      <c r="AH915" s="116"/>
      <c r="AI915" s="116"/>
      <c r="AJ915" s="116"/>
      <c r="AK915" s="116"/>
      <c r="AL915" s="116"/>
      <c r="AM915" s="116"/>
      <c r="AN915" s="116"/>
      <c r="AO915" s="116"/>
      <c r="AP915" s="116"/>
      <c r="AQ915" s="116"/>
      <c r="AR915" s="116"/>
      <c r="AS915" s="116"/>
      <c r="AT915" s="116"/>
      <c r="AU915" s="116"/>
      <c r="AV915" s="116"/>
      <c r="AW915" s="116"/>
      <c r="AX915" s="116"/>
      <c r="AY915" s="116"/>
      <c r="AZ915" s="116"/>
      <c r="BA915" s="116"/>
      <c r="BB915" s="116"/>
      <c r="BC915" s="116"/>
      <c r="BD915" s="116"/>
      <c r="BE915" s="116"/>
      <c r="BF915" s="116"/>
      <c r="BG915" s="116"/>
      <c r="BH915" s="124"/>
      <c r="BI915" s="124"/>
      <c r="BJ915" s="116"/>
      <c r="BK915" s="116"/>
      <c r="BL915" s="116"/>
      <c r="BM915" s="116"/>
      <c r="BN915" s="116"/>
      <c r="BO915" s="116"/>
      <c r="BP915" s="125"/>
      <c r="BQ915" s="116"/>
    </row>
    <row r="916">
      <c r="A916" s="1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c r="AA916" s="116"/>
      <c r="AB916" s="116"/>
      <c r="AC916" s="116"/>
      <c r="AD916" s="116"/>
      <c r="AE916" s="116"/>
      <c r="AF916" s="116"/>
      <c r="AG916" s="116"/>
      <c r="AH916" s="116"/>
      <c r="AI916" s="116"/>
      <c r="AJ916" s="116"/>
      <c r="AK916" s="116"/>
      <c r="AL916" s="116"/>
      <c r="AM916" s="116"/>
      <c r="AN916" s="116"/>
      <c r="AO916" s="116"/>
      <c r="AP916" s="116"/>
      <c r="AQ916" s="116"/>
      <c r="AR916" s="116"/>
      <c r="AS916" s="116"/>
      <c r="AT916" s="116"/>
      <c r="AU916" s="116"/>
      <c r="AV916" s="116"/>
      <c r="AW916" s="116"/>
      <c r="AX916" s="116"/>
      <c r="AY916" s="116"/>
      <c r="AZ916" s="116"/>
      <c r="BA916" s="116"/>
      <c r="BB916" s="116"/>
      <c r="BC916" s="116"/>
      <c r="BD916" s="116"/>
      <c r="BE916" s="116"/>
      <c r="BF916" s="116"/>
      <c r="BG916" s="116"/>
      <c r="BH916" s="124"/>
      <c r="BI916" s="124"/>
      <c r="BJ916" s="116"/>
      <c r="BK916" s="116"/>
      <c r="BL916" s="116"/>
      <c r="BM916" s="116"/>
      <c r="BN916" s="116"/>
      <c r="BO916" s="116"/>
      <c r="BP916" s="125"/>
      <c r="BQ916" s="116"/>
    </row>
    <row r="917">
      <c r="A917" s="116"/>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c r="AA917" s="116"/>
      <c r="AB917" s="116"/>
      <c r="AC917" s="116"/>
      <c r="AD917" s="116"/>
      <c r="AE917" s="116"/>
      <c r="AF917" s="116"/>
      <c r="AG917" s="116"/>
      <c r="AH917" s="116"/>
      <c r="AI917" s="116"/>
      <c r="AJ917" s="116"/>
      <c r="AK917" s="116"/>
      <c r="AL917" s="116"/>
      <c r="AM917" s="116"/>
      <c r="AN917" s="116"/>
      <c r="AO917" s="116"/>
      <c r="AP917" s="116"/>
      <c r="AQ917" s="116"/>
      <c r="AR917" s="116"/>
      <c r="AS917" s="116"/>
      <c r="AT917" s="116"/>
      <c r="AU917" s="116"/>
      <c r="AV917" s="116"/>
      <c r="AW917" s="116"/>
      <c r="AX917" s="116"/>
      <c r="AY917" s="116"/>
      <c r="AZ917" s="116"/>
      <c r="BA917" s="116"/>
      <c r="BB917" s="116"/>
      <c r="BC917" s="116"/>
      <c r="BD917" s="116"/>
      <c r="BE917" s="116"/>
      <c r="BF917" s="116"/>
      <c r="BG917" s="116"/>
      <c r="BH917" s="124"/>
      <c r="BI917" s="124"/>
      <c r="BJ917" s="116"/>
      <c r="BK917" s="116"/>
      <c r="BL917" s="116"/>
      <c r="BM917" s="116"/>
      <c r="BN917" s="116"/>
      <c r="BO917" s="116"/>
      <c r="BP917" s="125"/>
      <c r="BQ917" s="116"/>
    </row>
    <row r="918">
      <c r="A918" s="116"/>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c r="AA918" s="116"/>
      <c r="AB918" s="116"/>
      <c r="AC918" s="116"/>
      <c r="AD918" s="116"/>
      <c r="AE918" s="116"/>
      <c r="AF918" s="116"/>
      <c r="AG918" s="116"/>
      <c r="AH918" s="116"/>
      <c r="AI918" s="116"/>
      <c r="AJ918" s="116"/>
      <c r="AK918" s="116"/>
      <c r="AL918" s="116"/>
      <c r="AM918" s="116"/>
      <c r="AN918" s="116"/>
      <c r="AO918" s="116"/>
      <c r="AP918" s="116"/>
      <c r="AQ918" s="116"/>
      <c r="AR918" s="116"/>
      <c r="AS918" s="116"/>
      <c r="AT918" s="116"/>
      <c r="AU918" s="116"/>
      <c r="AV918" s="116"/>
      <c r="AW918" s="116"/>
      <c r="AX918" s="116"/>
      <c r="AY918" s="116"/>
      <c r="AZ918" s="116"/>
      <c r="BA918" s="116"/>
      <c r="BB918" s="116"/>
      <c r="BC918" s="116"/>
      <c r="BD918" s="116"/>
      <c r="BE918" s="116"/>
      <c r="BF918" s="116"/>
      <c r="BG918" s="116"/>
      <c r="BH918" s="124"/>
      <c r="BI918" s="124"/>
      <c r="BJ918" s="116"/>
      <c r="BK918" s="116"/>
      <c r="BL918" s="116"/>
      <c r="BM918" s="116"/>
      <c r="BN918" s="116"/>
      <c r="BO918" s="116"/>
      <c r="BP918" s="125"/>
      <c r="BQ918" s="116"/>
    </row>
    <row r="919">
      <c r="A919" s="116"/>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c r="AA919" s="116"/>
      <c r="AB919" s="116"/>
      <c r="AC919" s="116"/>
      <c r="AD919" s="116"/>
      <c r="AE919" s="116"/>
      <c r="AF919" s="116"/>
      <c r="AG919" s="116"/>
      <c r="AH919" s="116"/>
      <c r="AI919" s="116"/>
      <c r="AJ919" s="116"/>
      <c r="AK919" s="116"/>
      <c r="AL919" s="116"/>
      <c r="AM919" s="116"/>
      <c r="AN919" s="116"/>
      <c r="AO919" s="116"/>
      <c r="AP919" s="116"/>
      <c r="AQ919" s="116"/>
      <c r="AR919" s="116"/>
      <c r="AS919" s="116"/>
      <c r="AT919" s="116"/>
      <c r="AU919" s="116"/>
      <c r="AV919" s="116"/>
      <c r="AW919" s="116"/>
      <c r="AX919" s="116"/>
      <c r="AY919" s="116"/>
      <c r="AZ919" s="116"/>
      <c r="BA919" s="116"/>
      <c r="BB919" s="116"/>
      <c r="BC919" s="116"/>
      <c r="BD919" s="116"/>
      <c r="BE919" s="116"/>
      <c r="BF919" s="116"/>
      <c r="BG919" s="116"/>
      <c r="BH919" s="124"/>
      <c r="BI919" s="124"/>
      <c r="BJ919" s="116"/>
      <c r="BK919" s="116"/>
      <c r="BL919" s="116"/>
      <c r="BM919" s="116"/>
      <c r="BN919" s="116"/>
      <c r="BO919" s="116"/>
      <c r="BP919" s="125"/>
      <c r="BQ919" s="116"/>
    </row>
    <row r="920">
      <c r="A920" s="116"/>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c r="AA920" s="116"/>
      <c r="AB920" s="116"/>
      <c r="AC920" s="116"/>
      <c r="AD920" s="116"/>
      <c r="AE920" s="116"/>
      <c r="AF920" s="116"/>
      <c r="AG920" s="116"/>
      <c r="AH920" s="116"/>
      <c r="AI920" s="116"/>
      <c r="AJ920" s="116"/>
      <c r="AK920" s="116"/>
      <c r="AL920" s="116"/>
      <c r="AM920" s="116"/>
      <c r="AN920" s="116"/>
      <c r="AO920" s="116"/>
      <c r="AP920" s="116"/>
      <c r="AQ920" s="116"/>
      <c r="AR920" s="116"/>
      <c r="AS920" s="116"/>
      <c r="AT920" s="116"/>
      <c r="AU920" s="116"/>
      <c r="AV920" s="116"/>
      <c r="AW920" s="116"/>
      <c r="AX920" s="116"/>
      <c r="AY920" s="116"/>
      <c r="AZ920" s="116"/>
      <c r="BA920" s="116"/>
      <c r="BB920" s="116"/>
      <c r="BC920" s="116"/>
      <c r="BD920" s="116"/>
      <c r="BE920" s="116"/>
      <c r="BF920" s="116"/>
      <c r="BG920" s="116"/>
      <c r="BH920" s="124"/>
      <c r="BI920" s="124"/>
      <c r="BJ920" s="116"/>
      <c r="BK920" s="116"/>
      <c r="BL920" s="116"/>
      <c r="BM920" s="116"/>
      <c r="BN920" s="116"/>
      <c r="BO920" s="116"/>
      <c r="BP920" s="125"/>
      <c r="BQ920" s="116"/>
    </row>
    <row r="921">
      <c r="A921" s="116"/>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c r="AA921" s="116"/>
      <c r="AB921" s="116"/>
      <c r="AC921" s="116"/>
      <c r="AD921" s="116"/>
      <c r="AE921" s="116"/>
      <c r="AF921" s="116"/>
      <c r="AG921" s="116"/>
      <c r="AH921" s="116"/>
      <c r="AI921" s="116"/>
      <c r="AJ921" s="116"/>
      <c r="AK921" s="116"/>
      <c r="AL921" s="116"/>
      <c r="AM921" s="116"/>
      <c r="AN921" s="116"/>
      <c r="AO921" s="116"/>
      <c r="AP921" s="116"/>
      <c r="AQ921" s="116"/>
      <c r="AR921" s="116"/>
      <c r="AS921" s="116"/>
      <c r="AT921" s="116"/>
      <c r="AU921" s="116"/>
      <c r="AV921" s="116"/>
      <c r="AW921" s="116"/>
      <c r="AX921" s="116"/>
      <c r="AY921" s="116"/>
      <c r="AZ921" s="116"/>
      <c r="BA921" s="116"/>
      <c r="BB921" s="116"/>
      <c r="BC921" s="116"/>
      <c r="BD921" s="116"/>
      <c r="BE921" s="116"/>
      <c r="BF921" s="116"/>
      <c r="BG921" s="116"/>
      <c r="BH921" s="124"/>
      <c r="BI921" s="124"/>
      <c r="BJ921" s="116"/>
      <c r="BK921" s="116"/>
      <c r="BL921" s="116"/>
      <c r="BM921" s="116"/>
      <c r="BN921" s="116"/>
      <c r="BO921" s="116"/>
      <c r="BP921" s="125"/>
      <c r="BQ921" s="116"/>
    </row>
    <row r="922">
      <c r="A922" s="116"/>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c r="AA922" s="116"/>
      <c r="AB922" s="116"/>
      <c r="AC922" s="116"/>
      <c r="AD922" s="116"/>
      <c r="AE922" s="116"/>
      <c r="AF922" s="116"/>
      <c r="AG922" s="116"/>
      <c r="AH922" s="116"/>
      <c r="AI922" s="116"/>
      <c r="AJ922" s="116"/>
      <c r="AK922" s="116"/>
      <c r="AL922" s="116"/>
      <c r="AM922" s="116"/>
      <c r="AN922" s="116"/>
      <c r="AO922" s="116"/>
      <c r="AP922" s="116"/>
      <c r="AQ922" s="116"/>
      <c r="AR922" s="116"/>
      <c r="AS922" s="116"/>
      <c r="AT922" s="116"/>
      <c r="AU922" s="116"/>
      <c r="AV922" s="116"/>
      <c r="AW922" s="116"/>
      <c r="AX922" s="116"/>
      <c r="AY922" s="116"/>
      <c r="AZ922" s="116"/>
      <c r="BA922" s="116"/>
      <c r="BB922" s="116"/>
      <c r="BC922" s="116"/>
      <c r="BD922" s="116"/>
      <c r="BE922" s="116"/>
      <c r="BF922" s="116"/>
      <c r="BG922" s="116"/>
      <c r="BH922" s="124"/>
      <c r="BI922" s="124"/>
      <c r="BJ922" s="116"/>
      <c r="BK922" s="116"/>
      <c r="BL922" s="116"/>
      <c r="BM922" s="116"/>
      <c r="BN922" s="116"/>
      <c r="BO922" s="116"/>
      <c r="BP922" s="125"/>
      <c r="BQ922" s="116"/>
    </row>
    <row r="923">
      <c r="A923" s="116"/>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c r="AA923" s="116"/>
      <c r="AB923" s="116"/>
      <c r="AC923" s="116"/>
      <c r="AD923" s="116"/>
      <c r="AE923" s="116"/>
      <c r="AF923" s="116"/>
      <c r="AG923" s="116"/>
      <c r="AH923" s="116"/>
      <c r="AI923" s="116"/>
      <c r="AJ923" s="116"/>
      <c r="AK923" s="116"/>
      <c r="AL923" s="116"/>
      <c r="AM923" s="116"/>
      <c r="AN923" s="116"/>
      <c r="AO923" s="116"/>
      <c r="AP923" s="116"/>
      <c r="AQ923" s="116"/>
      <c r="AR923" s="116"/>
      <c r="AS923" s="116"/>
      <c r="AT923" s="116"/>
      <c r="AU923" s="116"/>
      <c r="AV923" s="116"/>
      <c r="AW923" s="116"/>
      <c r="AX923" s="116"/>
      <c r="AY923" s="116"/>
      <c r="AZ923" s="116"/>
      <c r="BA923" s="116"/>
      <c r="BB923" s="116"/>
      <c r="BC923" s="116"/>
      <c r="BD923" s="116"/>
      <c r="BE923" s="116"/>
      <c r="BF923" s="116"/>
      <c r="BG923" s="116"/>
      <c r="BH923" s="124"/>
      <c r="BI923" s="124"/>
      <c r="BJ923" s="116"/>
      <c r="BK923" s="116"/>
      <c r="BL923" s="116"/>
      <c r="BM923" s="116"/>
      <c r="BN923" s="116"/>
      <c r="BO923" s="116"/>
      <c r="BP923" s="125"/>
      <c r="BQ923" s="116"/>
    </row>
    <row r="924">
      <c r="A924" s="116"/>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c r="AA924" s="116"/>
      <c r="AB924" s="116"/>
      <c r="AC924" s="116"/>
      <c r="AD924" s="116"/>
      <c r="AE924" s="116"/>
      <c r="AF924" s="116"/>
      <c r="AG924" s="116"/>
      <c r="AH924" s="116"/>
      <c r="AI924" s="116"/>
      <c r="AJ924" s="116"/>
      <c r="AK924" s="116"/>
      <c r="AL924" s="116"/>
      <c r="AM924" s="116"/>
      <c r="AN924" s="116"/>
      <c r="AO924" s="116"/>
      <c r="AP924" s="116"/>
      <c r="AQ924" s="116"/>
      <c r="AR924" s="116"/>
      <c r="AS924" s="116"/>
      <c r="AT924" s="116"/>
      <c r="AU924" s="116"/>
      <c r="AV924" s="116"/>
      <c r="AW924" s="116"/>
      <c r="AX924" s="116"/>
      <c r="AY924" s="116"/>
      <c r="AZ924" s="116"/>
      <c r="BA924" s="116"/>
      <c r="BB924" s="116"/>
      <c r="BC924" s="116"/>
      <c r="BD924" s="116"/>
      <c r="BE924" s="116"/>
      <c r="BF924" s="116"/>
      <c r="BG924" s="116"/>
      <c r="BH924" s="124"/>
      <c r="BI924" s="124"/>
      <c r="BJ924" s="116"/>
      <c r="BK924" s="116"/>
      <c r="BL924" s="116"/>
      <c r="BM924" s="116"/>
      <c r="BN924" s="116"/>
      <c r="BO924" s="116"/>
      <c r="BP924" s="125"/>
      <c r="BQ924" s="116"/>
    </row>
    <row r="925">
      <c r="A925" s="116"/>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c r="AA925" s="116"/>
      <c r="AB925" s="116"/>
      <c r="AC925" s="116"/>
      <c r="AD925" s="116"/>
      <c r="AE925" s="116"/>
      <c r="AF925" s="116"/>
      <c r="AG925" s="116"/>
      <c r="AH925" s="116"/>
      <c r="AI925" s="116"/>
      <c r="AJ925" s="116"/>
      <c r="AK925" s="116"/>
      <c r="AL925" s="116"/>
      <c r="AM925" s="116"/>
      <c r="AN925" s="116"/>
      <c r="AO925" s="116"/>
      <c r="AP925" s="116"/>
      <c r="AQ925" s="116"/>
      <c r="AR925" s="116"/>
      <c r="AS925" s="116"/>
      <c r="AT925" s="116"/>
      <c r="AU925" s="116"/>
      <c r="AV925" s="116"/>
      <c r="AW925" s="116"/>
      <c r="AX925" s="116"/>
      <c r="AY925" s="116"/>
      <c r="AZ925" s="116"/>
      <c r="BA925" s="116"/>
      <c r="BB925" s="116"/>
      <c r="BC925" s="116"/>
      <c r="BD925" s="116"/>
      <c r="BE925" s="116"/>
      <c r="BF925" s="116"/>
      <c r="BG925" s="116"/>
      <c r="BH925" s="124"/>
      <c r="BI925" s="124"/>
      <c r="BJ925" s="116"/>
      <c r="BK925" s="116"/>
      <c r="BL925" s="116"/>
      <c r="BM925" s="116"/>
      <c r="BN925" s="116"/>
      <c r="BO925" s="116"/>
      <c r="BP925" s="125"/>
      <c r="BQ925" s="116"/>
    </row>
    <row r="926">
      <c r="A926" s="11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c r="AA926" s="116"/>
      <c r="AB926" s="116"/>
      <c r="AC926" s="116"/>
      <c r="AD926" s="116"/>
      <c r="AE926" s="116"/>
      <c r="AF926" s="116"/>
      <c r="AG926" s="116"/>
      <c r="AH926" s="116"/>
      <c r="AI926" s="116"/>
      <c r="AJ926" s="116"/>
      <c r="AK926" s="116"/>
      <c r="AL926" s="116"/>
      <c r="AM926" s="116"/>
      <c r="AN926" s="116"/>
      <c r="AO926" s="116"/>
      <c r="AP926" s="116"/>
      <c r="AQ926" s="116"/>
      <c r="AR926" s="116"/>
      <c r="AS926" s="116"/>
      <c r="AT926" s="116"/>
      <c r="AU926" s="116"/>
      <c r="AV926" s="116"/>
      <c r="AW926" s="116"/>
      <c r="AX926" s="116"/>
      <c r="AY926" s="116"/>
      <c r="AZ926" s="116"/>
      <c r="BA926" s="116"/>
      <c r="BB926" s="116"/>
      <c r="BC926" s="116"/>
      <c r="BD926" s="116"/>
      <c r="BE926" s="116"/>
      <c r="BF926" s="116"/>
      <c r="BG926" s="116"/>
      <c r="BH926" s="124"/>
      <c r="BI926" s="124"/>
      <c r="BJ926" s="116"/>
      <c r="BK926" s="116"/>
      <c r="BL926" s="116"/>
      <c r="BM926" s="116"/>
      <c r="BN926" s="116"/>
      <c r="BO926" s="116"/>
      <c r="BP926" s="125"/>
      <c r="BQ926" s="116"/>
    </row>
    <row r="927">
      <c r="A927" s="116"/>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c r="AA927" s="116"/>
      <c r="AB927" s="116"/>
      <c r="AC927" s="116"/>
      <c r="AD927" s="116"/>
      <c r="AE927" s="116"/>
      <c r="AF927" s="116"/>
      <c r="AG927" s="116"/>
      <c r="AH927" s="116"/>
      <c r="AI927" s="116"/>
      <c r="AJ927" s="116"/>
      <c r="AK927" s="116"/>
      <c r="AL927" s="116"/>
      <c r="AM927" s="116"/>
      <c r="AN927" s="116"/>
      <c r="AO927" s="116"/>
      <c r="AP927" s="116"/>
      <c r="AQ927" s="116"/>
      <c r="AR927" s="116"/>
      <c r="AS927" s="116"/>
      <c r="AT927" s="116"/>
      <c r="AU927" s="116"/>
      <c r="AV927" s="116"/>
      <c r="AW927" s="116"/>
      <c r="AX927" s="116"/>
      <c r="AY927" s="116"/>
      <c r="AZ927" s="116"/>
      <c r="BA927" s="116"/>
      <c r="BB927" s="116"/>
      <c r="BC927" s="116"/>
      <c r="BD927" s="116"/>
      <c r="BE927" s="116"/>
      <c r="BF927" s="116"/>
      <c r="BG927" s="116"/>
      <c r="BH927" s="124"/>
      <c r="BI927" s="124"/>
      <c r="BJ927" s="116"/>
      <c r="BK927" s="116"/>
      <c r="BL927" s="116"/>
      <c r="BM927" s="116"/>
      <c r="BN927" s="116"/>
      <c r="BO927" s="116"/>
      <c r="BP927" s="125"/>
      <c r="BQ927" s="116"/>
    </row>
    <row r="928">
      <c r="A928" s="116"/>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c r="AA928" s="116"/>
      <c r="AB928" s="116"/>
      <c r="AC928" s="116"/>
      <c r="AD928" s="116"/>
      <c r="AE928" s="116"/>
      <c r="AF928" s="116"/>
      <c r="AG928" s="116"/>
      <c r="AH928" s="116"/>
      <c r="AI928" s="116"/>
      <c r="AJ928" s="116"/>
      <c r="AK928" s="116"/>
      <c r="AL928" s="116"/>
      <c r="AM928" s="116"/>
      <c r="AN928" s="116"/>
      <c r="AO928" s="116"/>
      <c r="AP928" s="116"/>
      <c r="AQ928" s="116"/>
      <c r="AR928" s="116"/>
      <c r="AS928" s="116"/>
      <c r="AT928" s="116"/>
      <c r="AU928" s="116"/>
      <c r="AV928" s="116"/>
      <c r="AW928" s="116"/>
      <c r="AX928" s="116"/>
      <c r="AY928" s="116"/>
      <c r="AZ928" s="116"/>
      <c r="BA928" s="116"/>
      <c r="BB928" s="116"/>
      <c r="BC928" s="116"/>
      <c r="BD928" s="116"/>
      <c r="BE928" s="116"/>
      <c r="BF928" s="116"/>
      <c r="BG928" s="116"/>
      <c r="BH928" s="124"/>
      <c r="BI928" s="124"/>
      <c r="BJ928" s="116"/>
      <c r="BK928" s="116"/>
      <c r="BL928" s="116"/>
      <c r="BM928" s="116"/>
      <c r="BN928" s="116"/>
      <c r="BO928" s="116"/>
      <c r="BP928" s="125"/>
      <c r="BQ928" s="116"/>
    </row>
    <row r="929">
      <c r="A929" s="116"/>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c r="AA929" s="116"/>
      <c r="AB929" s="116"/>
      <c r="AC929" s="116"/>
      <c r="AD929" s="116"/>
      <c r="AE929" s="116"/>
      <c r="AF929" s="116"/>
      <c r="AG929" s="116"/>
      <c r="AH929" s="116"/>
      <c r="AI929" s="116"/>
      <c r="AJ929" s="116"/>
      <c r="AK929" s="116"/>
      <c r="AL929" s="116"/>
      <c r="AM929" s="116"/>
      <c r="AN929" s="116"/>
      <c r="AO929" s="116"/>
      <c r="AP929" s="116"/>
      <c r="AQ929" s="116"/>
      <c r="AR929" s="116"/>
      <c r="AS929" s="116"/>
      <c r="AT929" s="116"/>
      <c r="AU929" s="116"/>
      <c r="AV929" s="116"/>
      <c r="AW929" s="116"/>
      <c r="AX929" s="116"/>
      <c r="AY929" s="116"/>
      <c r="AZ929" s="116"/>
      <c r="BA929" s="116"/>
      <c r="BB929" s="116"/>
      <c r="BC929" s="116"/>
      <c r="BD929" s="116"/>
      <c r="BE929" s="116"/>
      <c r="BF929" s="116"/>
      <c r="BG929" s="116"/>
      <c r="BH929" s="124"/>
      <c r="BI929" s="124"/>
      <c r="BJ929" s="116"/>
      <c r="BK929" s="116"/>
      <c r="BL929" s="116"/>
      <c r="BM929" s="116"/>
      <c r="BN929" s="116"/>
      <c r="BO929" s="116"/>
      <c r="BP929" s="125"/>
      <c r="BQ929" s="116"/>
    </row>
    <row r="930">
      <c r="A930" s="116"/>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c r="AA930" s="116"/>
      <c r="AB930" s="116"/>
      <c r="AC930" s="116"/>
      <c r="AD930" s="116"/>
      <c r="AE930" s="116"/>
      <c r="AF930" s="116"/>
      <c r="AG930" s="116"/>
      <c r="AH930" s="116"/>
      <c r="AI930" s="116"/>
      <c r="AJ930" s="116"/>
      <c r="AK930" s="116"/>
      <c r="AL930" s="116"/>
      <c r="AM930" s="116"/>
      <c r="AN930" s="116"/>
      <c r="AO930" s="116"/>
      <c r="AP930" s="116"/>
      <c r="AQ930" s="116"/>
      <c r="AR930" s="116"/>
      <c r="AS930" s="116"/>
      <c r="AT930" s="116"/>
      <c r="AU930" s="116"/>
      <c r="AV930" s="116"/>
      <c r="AW930" s="116"/>
      <c r="AX930" s="116"/>
      <c r="AY930" s="116"/>
      <c r="AZ930" s="116"/>
      <c r="BA930" s="116"/>
      <c r="BB930" s="116"/>
      <c r="BC930" s="116"/>
      <c r="BD930" s="116"/>
      <c r="BE930" s="116"/>
      <c r="BF930" s="116"/>
      <c r="BG930" s="116"/>
      <c r="BH930" s="124"/>
      <c r="BI930" s="124"/>
      <c r="BJ930" s="116"/>
      <c r="BK930" s="116"/>
      <c r="BL930" s="116"/>
      <c r="BM930" s="116"/>
      <c r="BN930" s="116"/>
      <c r="BO930" s="116"/>
      <c r="BP930" s="125"/>
      <c r="BQ930" s="116"/>
    </row>
    <row r="931">
      <c r="A931" s="116"/>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c r="AA931" s="116"/>
      <c r="AB931" s="116"/>
      <c r="AC931" s="116"/>
      <c r="AD931" s="116"/>
      <c r="AE931" s="116"/>
      <c r="AF931" s="116"/>
      <c r="AG931" s="116"/>
      <c r="AH931" s="116"/>
      <c r="AI931" s="116"/>
      <c r="AJ931" s="116"/>
      <c r="AK931" s="116"/>
      <c r="AL931" s="116"/>
      <c r="AM931" s="116"/>
      <c r="AN931" s="116"/>
      <c r="AO931" s="116"/>
      <c r="AP931" s="116"/>
      <c r="AQ931" s="116"/>
      <c r="AR931" s="116"/>
      <c r="AS931" s="116"/>
      <c r="AT931" s="116"/>
      <c r="AU931" s="116"/>
      <c r="AV931" s="116"/>
      <c r="AW931" s="116"/>
      <c r="AX931" s="116"/>
      <c r="AY931" s="116"/>
      <c r="AZ931" s="116"/>
      <c r="BA931" s="116"/>
      <c r="BB931" s="116"/>
      <c r="BC931" s="116"/>
      <c r="BD931" s="116"/>
      <c r="BE931" s="116"/>
      <c r="BF931" s="116"/>
      <c r="BG931" s="116"/>
      <c r="BH931" s="124"/>
      <c r="BI931" s="124"/>
      <c r="BJ931" s="116"/>
      <c r="BK931" s="116"/>
      <c r="BL931" s="116"/>
      <c r="BM931" s="116"/>
      <c r="BN931" s="116"/>
      <c r="BO931" s="116"/>
      <c r="BP931" s="125"/>
      <c r="BQ931" s="116"/>
    </row>
    <row r="932">
      <c r="A932" s="116"/>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c r="AA932" s="116"/>
      <c r="AB932" s="116"/>
      <c r="AC932" s="116"/>
      <c r="AD932" s="116"/>
      <c r="AE932" s="116"/>
      <c r="AF932" s="116"/>
      <c r="AG932" s="116"/>
      <c r="AH932" s="116"/>
      <c r="AI932" s="116"/>
      <c r="AJ932" s="116"/>
      <c r="AK932" s="116"/>
      <c r="AL932" s="116"/>
      <c r="AM932" s="116"/>
      <c r="AN932" s="116"/>
      <c r="AO932" s="116"/>
      <c r="AP932" s="116"/>
      <c r="AQ932" s="116"/>
      <c r="AR932" s="116"/>
      <c r="AS932" s="116"/>
      <c r="AT932" s="116"/>
      <c r="AU932" s="116"/>
      <c r="AV932" s="116"/>
      <c r="AW932" s="116"/>
      <c r="AX932" s="116"/>
      <c r="AY932" s="116"/>
      <c r="AZ932" s="116"/>
      <c r="BA932" s="116"/>
      <c r="BB932" s="116"/>
      <c r="BC932" s="116"/>
      <c r="BD932" s="116"/>
      <c r="BE932" s="116"/>
      <c r="BF932" s="116"/>
      <c r="BG932" s="116"/>
      <c r="BH932" s="124"/>
      <c r="BI932" s="124"/>
      <c r="BJ932" s="116"/>
      <c r="BK932" s="116"/>
      <c r="BL932" s="116"/>
      <c r="BM932" s="116"/>
      <c r="BN932" s="116"/>
      <c r="BO932" s="116"/>
      <c r="BP932" s="125"/>
      <c r="BQ932" s="116"/>
    </row>
    <row r="933">
      <c r="A933" s="116"/>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c r="AA933" s="116"/>
      <c r="AB933" s="116"/>
      <c r="AC933" s="116"/>
      <c r="AD933" s="116"/>
      <c r="AE933" s="116"/>
      <c r="AF933" s="116"/>
      <c r="AG933" s="116"/>
      <c r="AH933" s="116"/>
      <c r="AI933" s="116"/>
      <c r="AJ933" s="116"/>
      <c r="AK933" s="116"/>
      <c r="AL933" s="116"/>
      <c r="AM933" s="116"/>
      <c r="AN933" s="116"/>
      <c r="AO933" s="116"/>
      <c r="AP933" s="116"/>
      <c r="AQ933" s="116"/>
      <c r="AR933" s="116"/>
      <c r="AS933" s="116"/>
      <c r="AT933" s="116"/>
      <c r="AU933" s="116"/>
      <c r="AV933" s="116"/>
      <c r="AW933" s="116"/>
      <c r="AX933" s="116"/>
      <c r="AY933" s="116"/>
      <c r="AZ933" s="116"/>
      <c r="BA933" s="116"/>
      <c r="BB933" s="116"/>
      <c r="BC933" s="116"/>
      <c r="BD933" s="116"/>
      <c r="BE933" s="116"/>
      <c r="BF933" s="116"/>
      <c r="BG933" s="116"/>
      <c r="BH933" s="124"/>
      <c r="BI933" s="124"/>
      <c r="BJ933" s="116"/>
      <c r="BK933" s="116"/>
      <c r="BL933" s="116"/>
      <c r="BM933" s="116"/>
      <c r="BN933" s="116"/>
      <c r="BO933" s="116"/>
      <c r="BP933" s="125"/>
      <c r="BQ933" s="116"/>
    </row>
    <row r="934">
      <c r="A934" s="116"/>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c r="AA934" s="116"/>
      <c r="AB934" s="116"/>
      <c r="AC934" s="116"/>
      <c r="AD934" s="116"/>
      <c r="AE934" s="116"/>
      <c r="AF934" s="116"/>
      <c r="AG934" s="116"/>
      <c r="AH934" s="116"/>
      <c r="AI934" s="116"/>
      <c r="AJ934" s="116"/>
      <c r="AK934" s="116"/>
      <c r="AL934" s="116"/>
      <c r="AM934" s="116"/>
      <c r="AN934" s="116"/>
      <c r="AO934" s="116"/>
      <c r="AP934" s="116"/>
      <c r="AQ934" s="116"/>
      <c r="AR934" s="116"/>
      <c r="AS934" s="116"/>
      <c r="AT934" s="116"/>
      <c r="AU934" s="116"/>
      <c r="AV934" s="116"/>
      <c r="AW934" s="116"/>
      <c r="AX934" s="116"/>
      <c r="AY934" s="116"/>
      <c r="AZ934" s="116"/>
      <c r="BA934" s="116"/>
      <c r="BB934" s="116"/>
      <c r="BC934" s="116"/>
      <c r="BD934" s="116"/>
      <c r="BE934" s="116"/>
      <c r="BF934" s="116"/>
      <c r="BG934" s="116"/>
      <c r="BH934" s="124"/>
      <c r="BI934" s="124"/>
      <c r="BJ934" s="116"/>
      <c r="BK934" s="116"/>
      <c r="BL934" s="116"/>
      <c r="BM934" s="116"/>
      <c r="BN934" s="116"/>
      <c r="BO934" s="116"/>
      <c r="BP934" s="125"/>
      <c r="BQ934" s="116"/>
    </row>
    <row r="935">
      <c r="A935" s="116"/>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c r="AA935" s="116"/>
      <c r="AB935" s="116"/>
      <c r="AC935" s="116"/>
      <c r="AD935" s="116"/>
      <c r="AE935" s="116"/>
      <c r="AF935" s="116"/>
      <c r="AG935" s="116"/>
      <c r="AH935" s="116"/>
      <c r="AI935" s="116"/>
      <c r="AJ935" s="116"/>
      <c r="AK935" s="116"/>
      <c r="AL935" s="116"/>
      <c r="AM935" s="116"/>
      <c r="AN935" s="116"/>
      <c r="AO935" s="116"/>
      <c r="AP935" s="116"/>
      <c r="AQ935" s="116"/>
      <c r="AR935" s="116"/>
      <c r="AS935" s="116"/>
      <c r="AT935" s="116"/>
      <c r="AU935" s="116"/>
      <c r="AV935" s="116"/>
      <c r="AW935" s="116"/>
      <c r="AX935" s="116"/>
      <c r="AY935" s="116"/>
      <c r="AZ935" s="116"/>
      <c r="BA935" s="116"/>
      <c r="BB935" s="116"/>
      <c r="BC935" s="116"/>
      <c r="BD935" s="116"/>
      <c r="BE935" s="116"/>
      <c r="BF935" s="116"/>
      <c r="BG935" s="116"/>
      <c r="BH935" s="124"/>
      <c r="BI935" s="124"/>
      <c r="BJ935" s="116"/>
      <c r="BK935" s="116"/>
      <c r="BL935" s="116"/>
      <c r="BM935" s="116"/>
      <c r="BN935" s="116"/>
      <c r="BO935" s="116"/>
      <c r="BP935" s="125"/>
      <c r="BQ935" s="116"/>
    </row>
    <row r="936">
      <c r="A936" s="11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c r="AA936" s="116"/>
      <c r="AB936" s="116"/>
      <c r="AC936" s="116"/>
      <c r="AD936" s="116"/>
      <c r="AE936" s="116"/>
      <c r="AF936" s="116"/>
      <c r="AG936" s="116"/>
      <c r="AH936" s="116"/>
      <c r="AI936" s="116"/>
      <c r="AJ936" s="116"/>
      <c r="AK936" s="116"/>
      <c r="AL936" s="116"/>
      <c r="AM936" s="116"/>
      <c r="AN936" s="116"/>
      <c r="AO936" s="116"/>
      <c r="AP936" s="116"/>
      <c r="AQ936" s="116"/>
      <c r="AR936" s="116"/>
      <c r="AS936" s="116"/>
      <c r="AT936" s="116"/>
      <c r="AU936" s="116"/>
      <c r="AV936" s="116"/>
      <c r="AW936" s="116"/>
      <c r="AX936" s="116"/>
      <c r="AY936" s="116"/>
      <c r="AZ936" s="116"/>
      <c r="BA936" s="116"/>
      <c r="BB936" s="116"/>
      <c r="BC936" s="116"/>
      <c r="BD936" s="116"/>
      <c r="BE936" s="116"/>
      <c r="BF936" s="116"/>
      <c r="BG936" s="116"/>
      <c r="BH936" s="124"/>
      <c r="BI936" s="124"/>
      <c r="BJ936" s="116"/>
      <c r="BK936" s="116"/>
      <c r="BL936" s="116"/>
      <c r="BM936" s="116"/>
      <c r="BN936" s="116"/>
      <c r="BO936" s="116"/>
      <c r="BP936" s="125"/>
      <c r="BQ936" s="116"/>
    </row>
    <row r="937">
      <c r="A937" s="116"/>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c r="AA937" s="116"/>
      <c r="AB937" s="116"/>
      <c r="AC937" s="116"/>
      <c r="AD937" s="116"/>
      <c r="AE937" s="116"/>
      <c r="AF937" s="116"/>
      <c r="AG937" s="116"/>
      <c r="AH937" s="116"/>
      <c r="AI937" s="116"/>
      <c r="AJ937" s="116"/>
      <c r="AK937" s="116"/>
      <c r="AL937" s="116"/>
      <c r="AM937" s="116"/>
      <c r="AN937" s="116"/>
      <c r="AO937" s="116"/>
      <c r="AP937" s="116"/>
      <c r="AQ937" s="116"/>
      <c r="AR937" s="116"/>
      <c r="AS937" s="116"/>
      <c r="AT937" s="116"/>
      <c r="AU937" s="116"/>
      <c r="AV937" s="116"/>
      <c r="AW937" s="116"/>
      <c r="AX937" s="116"/>
      <c r="AY937" s="116"/>
      <c r="AZ937" s="116"/>
      <c r="BA937" s="116"/>
      <c r="BB937" s="116"/>
      <c r="BC937" s="116"/>
      <c r="BD937" s="116"/>
      <c r="BE937" s="116"/>
      <c r="BF937" s="116"/>
      <c r="BG937" s="116"/>
      <c r="BH937" s="124"/>
      <c r="BI937" s="124"/>
      <c r="BJ937" s="116"/>
      <c r="BK937" s="116"/>
      <c r="BL937" s="116"/>
      <c r="BM937" s="116"/>
      <c r="BN937" s="116"/>
      <c r="BO937" s="116"/>
      <c r="BP937" s="125"/>
      <c r="BQ937" s="116"/>
    </row>
    <row r="938">
      <c r="A938" s="116"/>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c r="AA938" s="116"/>
      <c r="AB938" s="116"/>
      <c r="AC938" s="116"/>
      <c r="AD938" s="116"/>
      <c r="AE938" s="116"/>
      <c r="AF938" s="116"/>
      <c r="AG938" s="116"/>
      <c r="AH938" s="116"/>
      <c r="AI938" s="116"/>
      <c r="AJ938" s="116"/>
      <c r="AK938" s="116"/>
      <c r="AL938" s="116"/>
      <c r="AM938" s="116"/>
      <c r="AN938" s="116"/>
      <c r="AO938" s="116"/>
      <c r="AP938" s="116"/>
      <c r="AQ938" s="116"/>
      <c r="AR938" s="116"/>
      <c r="AS938" s="116"/>
      <c r="AT938" s="116"/>
      <c r="AU938" s="116"/>
      <c r="AV938" s="116"/>
      <c r="AW938" s="116"/>
      <c r="AX938" s="116"/>
      <c r="AY938" s="116"/>
      <c r="AZ938" s="116"/>
      <c r="BA938" s="116"/>
      <c r="BB938" s="116"/>
      <c r="BC938" s="116"/>
      <c r="BD938" s="116"/>
      <c r="BE938" s="116"/>
      <c r="BF938" s="116"/>
      <c r="BG938" s="116"/>
      <c r="BH938" s="124"/>
      <c r="BI938" s="124"/>
      <c r="BJ938" s="116"/>
      <c r="BK938" s="116"/>
      <c r="BL938" s="116"/>
      <c r="BM938" s="116"/>
      <c r="BN938" s="116"/>
      <c r="BO938" s="116"/>
      <c r="BP938" s="125"/>
      <c r="BQ938" s="116"/>
    </row>
    <row r="939">
      <c r="A939" s="116"/>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c r="AA939" s="116"/>
      <c r="AB939" s="116"/>
      <c r="AC939" s="116"/>
      <c r="AD939" s="116"/>
      <c r="AE939" s="116"/>
      <c r="AF939" s="116"/>
      <c r="AG939" s="116"/>
      <c r="AH939" s="116"/>
      <c r="AI939" s="116"/>
      <c r="AJ939" s="116"/>
      <c r="AK939" s="116"/>
      <c r="AL939" s="116"/>
      <c r="AM939" s="116"/>
      <c r="AN939" s="116"/>
      <c r="AO939" s="116"/>
      <c r="AP939" s="116"/>
      <c r="AQ939" s="116"/>
      <c r="AR939" s="116"/>
      <c r="AS939" s="116"/>
      <c r="AT939" s="116"/>
      <c r="AU939" s="116"/>
      <c r="AV939" s="116"/>
      <c r="AW939" s="116"/>
      <c r="AX939" s="116"/>
      <c r="AY939" s="116"/>
      <c r="AZ939" s="116"/>
      <c r="BA939" s="116"/>
      <c r="BB939" s="116"/>
      <c r="BC939" s="116"/>
      <c r="BD939" s="116"/>
      <c r="BE939" s="116"/>
      <c r="BF939" s="116"/>
      <c r="BG939" s="116"/>
      <c r="BH939" s="124"/>
      <c r="BI939" s="124"/>
      <c r="BJ939" s="116"/>
      <c r="BK939" s="116"/>
      <c r="BL939" s="116"/>
      <c r="BM939" s="116"/>
      <c r="BN939" s="116"/>
      <c r="BO939" s="116"/>
      <c r="BP939" s="125"/>
      <c r="BQ939" s="116"/>
    </row>
    <row r="940">
      <c r="A940" s="116"/>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c r="AA940" s="116"/>
      <c r="AB940" s="116"/>
      <c r="AC940" s="116"/>
      <c r="AD940" s="116"/>
      <c r="AE940" s="116"/>
      <c r="AF940" s="116"/>
      <c r="AG940" s="116"/>
      <c r="AH940" s="116"/>
      <c r="AI940" s="116"/>
      <c r="AJ940" s="116"/>
      <c r="AK940" s="116"/>
      <c r="AL940" s="116"/>
      <c r="AM940" s="116"/>
      <c r="AN940" s="116"/>
      <c r="AO940" s="116"/>
      <c r="AP940" s="116"/>
      <c r="AQ940" s="116"/>
      <c r="AR940" s="116"/>
      <c r="AS940" s="116"/>
      <c r="AT940" s="116"/>
      <c r="AU940" s="116"/>
      <c r="AV940" s="116"/>
      <c r="AW940" s="116"/>
      <c r="AX940" s="116"/>
      <c r="AY940" s="116"/>
      <c r="AZ940" s="116"/>
      <c r="BA940" s="116"/>
      <c r="BB940" s="116"/>
      <c r="BC940" s="116"/>
      <c r="BD940" s="116"/>
      <c r="BE940" s="116"/>
      <c r="BF940" s="116"/>
      <c r="BG940" s="116"/>
      <c r="BH940" s="124"/>
      <c r="BI940" s="124"/>
      <c r="BJ940" s="116"/>
      <c r="BK940" s="116"/>
      <c r="BL940" s="116"/>
      <c r="BM940" s="116"/>
      <c r="BN940" s="116"/>
      <c r="BO940" s="116"/>
      <c r="BP940" s="125"/>
      <c r="BQ940" s="116"/>
    </row>
    <row r="941">
      <c r="A941" s="116"/>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c r="AA941" s="116"/>
      <c r="AB941" s="116"/>
      <c r="AC941" s="116"/>
      <c r="AD941" s="116"/>
      <c r="AE941" s="116"/>
      <c r="AF941" s="116"/>
      <c r="AG941" s="116"/>
      <c r="AH941" s="116"/>
      <c r="AI941" s="116"/>
      <c r="AJ941" s="116"/>
      <c r="AK941" s="116"/>
      <c r="AL941" s="116"/>
      <c r="AM941" s="116"/>
      <c r="AN941" s="116"/>
      <c r="AO941" s="116"/>
      <c r="AP941" s="116"/>
      <c r="AQ941" s="116"/>
      <c r="AR941" s="116"/>
      <c r="AS941" s="116"/>
      <c r="AT941" s="116"/>
      <c r="AU941" s="116"/>
      <c r="AV941" s="116"/>
      <c r="AW941" s="116"/>
      <c r="AX941" s="116"/>
      <c r="AY941" s="116"/>
      <c r="AZ941" s="116"/>
      <c r="BA941" s="116"/>
      <c r="BB941" s="116"/>
      <c r="BC941" s="116"/>
      <c r="BD941" s="116"/>
      <c r="BE941" s="116"/>
      <c r="BF941" s="116"/>
      <c r="BG941" s="116"/>
      <c r="BH941" s="124"/>
      <c r="BI941" s="124"/>
      <c r="BJ941" s="116"/>
      <c r="BK941" s="116"/>
      <c r="BL941" s="116"/>
      <c r="BM941" s="116"/>
      <c r="BN941" s="116"/>
      <c r="BO941" s="116"/>
      <c r="BP941" s="125"/>
      <c r="BQ941" s="116"/>
    </row>
    <row r="942">
      <c r="A942" s="116"/>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c r="AA942" s="116"/>
      <c r="AB942" s="116"/>
      <c r="AC942" s="116"/>
      <c r="AD942" s="116"/>
      <c r="AE942" s="116"/>
      <c r="AF942" s="116"/>
      <c r="AG942" s="116"/>
      <c r="AH942" s="116"/>
      <c r="AI942" s="116"/>
      <c r="AJ942" s="116"/>
      <c r="AK942" s="116"/>
      <c r="AL942" s="116"/>
      <c r="AM942" s="116"/>
      <c r="AN942" s="116"/>
      <c r="AO942" s="116"/>
      <c r="AP942" s="116"/>
      <c r="AQ942" s="116"/>
      <c r="AR942" s="116"/>
      <c r="AS942" s="116"/>
      <c r="AT942" s="116"/>
      <c r="AU942" s="116"/>
      <c r="AV942" s="116"/>
      <c r="AW942" s="116"/>
      <c r="AX942" s="116"/>
      <c r="AY942" s="116"/>
      <c r="AZ942" s="116"/>
      <c r="BA942" s="116"/>
      <c r="BB942" s="116"/>
      <c r="BC942" s="116"/>
      <c r="BD942" s="116"/>
      <c r="BE942" s="116"/>
      <c r="BF942" s="116"/>
      <c r="BG942" s="116"/>
      <c r="BH942" s="124"/>
      <c r="BI942" s="124"/>
      <c r="BJ942" s="116"/>
      <c r="BK942" s="116"/>
      <c r="BL942" s="116"/>
      <c r="BM942" s="116"/>
      <c r="BN942" s="116"/>
      <c r="BO942" s="116"/>
      <c r="BP942" s="125"/>
      <c r="BQ942" s="116"/>
    </row>
    <row r="943">
      <c r="A943" s="116"/>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c r="AA943" s="116"/>
      <c r="AB943" s="116"/>
      <c r="AC943" s="116"/>
      <c r="AD943" s="116"/>
      <c r="AE943" s="116"/>
      <c r="AF943" s="116"/>
      <c r="AG943" s="116"/>
      <c r="AH943" s="116"/>
      <c r="AI943" s="116"/>
      <c r="AJ943" s="116"/>
      <c r="AK943" s="116"/>
      <c r="AL943" s="116"/>
      <c r="AM943" s="116"/>
      <c r="AN943" s="116"/>
      <c r="AO943" s="116"/>
      <c r="AP943" s="116"/>
      <c r="AQ943" s="116"/>
      <c r="AR943" s="116"/>
      <c r="AS943" s="116"/>
      <c r="AT943" s="116"/>
      <c r="AU943" s="116"/>
      <c r="AV943" s="116"/>
      <c r="AW943" s="116"/>
      <c r="AX943" s="116"/>
      <c r="AY943" s="116"/>
      <c r="AZ943" s="116"/>
      <c r="BA943" s="116"/>
      <c r="BB943" s="116"/>
      <c r="BC943" s="116"/>
      <c r="BD943" s="116"/>
      <c r="BE943" s="116"/>
      <c r="BF943" s="116"/>
      <c r="BG943" s="116"/>
      <c r="BH943" s="124"/>
      <c r="BI943" s="124"/>
      <c r="BJ943" s="116"/>
      <c r="BK943" s="116"/>
      <c r="BL943" s="116"/>
      <c r="BM943" s="116"/>
      <c r="BN943" s="116"/>
      <c r="BO943" s="116"/>
      <c r="BP943" s="125"/>
      <c r="BQ943" s="116"/>
    </row>
    <row r="944">
      <c r="A944" s="116"/>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c r="AA944" s="116"/>
      <c r="AB944" s="116"/>
      <c r="AC944" s="116"/>
      <c r="AD944" s="116"/>
      <c r="AE944" s="116"/>
      <c r="AF944" s="116"/>
      <c r="AG944" s="116"/>
      <c r="AH944" s="116"/>
      <c r="AI944" s="116"/>
      <c r="AJ944" s="116"/>
      <c r="AK944" s="116"/>
      <c r="AL944" s="116"/>
      <c r="AM944" s="116"/>
      <c r="AN944" s="116"/>
      <c r="AO944" s="116"/>
      <c r="AP944" s="116"/>
      <c r="AQ944" s="116"/>
      <c r="AR944" s="116"/>
      <c r="AS944" s="116"/>
      <c r="AT944" s="116"/>
      <c r="AU944" s="116"/>
      <c r="AV944" s="116"/>
      <c r="AW944" s="116"/>
      <c r="AX944" s="116"/>
      <c r="AY944" s="116"/>
      <c r="AZ944" s="116"/>
      <c r="BA944" s="116"/>
      <c r="BB944" s="116"/>
      <c r="BC944" s="116"/>
      <c r="BD944" s="116"/>
      <c r="BE944" s="116"/>
      <c r="BF944" s="116"/>
      <c r="BG944" s="116"/>
      <c r="BH944" s="124"/>
      <c r="BI944" s="124"/>
      <c r="BJ944" s="116"/>
      <c r="BK944" s="116"/>
      <c r="BL944" s="116"/>
      <c r="BM944" s="116"/>
      <c r="BN944" s="116"/>
      <c r="BO944" s="116"/>
      <c r="BP944" s="125"/>
      <c r="BQ944" s="116"/>
    </row>
    <row r="945">
      <c r="A945" s="116"/>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c r="AA945" s="116"/>
      <c r="AB945" s="116"/>
      <c r="AC945" s="116"/>
      <c r="AD945" s="116"/>
      <c r="AE945" s="116"/>
      <c r="AF945" s="116"/>
      <c r="AG945" s="116"/>
      <c r="AH945" s="116"/>
      <c r="AI945" s="116"/>
      <c r="AJ945" s="116"/>
      <c r="AK945" s="116"/>
      <c r="AL945" s="116"/>
      <c r="AM945" s="116"/>
      <c r="AN945" s="116"/>
      <c r="AO945" s="116"/>
      <c r="AP945" s="116"/>
      <c r="AQ945" s="116"/>
      <c r="AR945" s="116"/>
      <c r="AS945" s="116"/>
      <c r="AT945" s="116"/>
      <c r="AU945" s="116"/>
      <c r="AV945" s="116"/>
      <c r="AW945" s="116"/>
      <c r="AX945" s="116"/>
      <c r="AY945" s="116"/>
      <c r="AZ945" s="116"/>
      <c r="BA945" s="116"/>
      <c r="BB945" s="116"/>
      <c r="BC945" s="116"/>
      <c r="BD945" s="116"/>
      <c r="BE945" s="116"/>
      <c r="BF945" s="116"/>
      <c r="BG945" s="116"/>
      <c r="BH945" s="124"/>
      <c r="BI945" s="124"/>
      <c r="BJ945" s="116"/>
      <c r="BK945" s="116"/>
      <c r="BL945" s="116"/>
      <c r="BM945" s="116"/>
      <c r="BN945" s="116"/>
      <c r="BO945" s="116"/>
      <c r="BP945" s="125"/>
      <c r="BQ945" s="116"/>
    </row>
    <row r="946">
      <c r="A946" s="11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c r="AA946" s="116"/>
      <c r="AB946" s="116"/>
      <c r="AC946" s="116"/>
      <c r="AD946" s="116"/>
      <c r="AE946" s="116"/>
      <c r="AF946" s="116"/>
      <c r="AG946" s="116"/>
      <c r="AH946" s="116"/>
      <c r="AI946" s="116"/>
      <c r="AJ946" s="116"/>
      <c r="AK946" s="116"/>
      <c r="AL946" s="116"/>
      <c r="AM946" s="116"/>
      <c r="AN946" s="116"/>
      <c r="AO946" s="116"/>
      <c r="AP946" s="116"/>
      <c r="AQ946" s="116"/>
      <c r="AR946" s="116"/>
      <c r="AS946" s="116"/>
      <c r="AT946" s="116"/>
      <c r="AU946" s="116"/>
      <c r="AV946" s="116"/>
      <c r="AW946" s="116"/>
      <c r="AX946" s="116"/>
      <c r="AY946" s="116"/>
      <c r="AZ946" s="116"/>
      <c r="BA946" s="116"/>
      <c r="BB946" s="116"/>
      <c r="BC946" s="116"/>
      <c r="BD946" s="116"/>
      <c r="BE946" s="116"/>
      <c r="BF946" s="116"/>
      <c r="BG946" s="116"/>
      <c r="BH946" s="124"/>
      <c r="BI946" s="124"/>
      <c r="BJ946" s="116"/>
      <c r="BK946" s="116"/>
      <c r="BL946" s="116"/>
      <c r="BM946" s="116"/>
      <c r="BN946" s="116"/>
      <c r="BO946" s="116"/>
      <c r="BP946" s="125"/>
      <c r="BQ946" s="116"/>
    </row>
    <row r="947">
      <c r="A947" s="116"/>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c r="AA947" s="116"/>
      <c r="AB947" s="116"/>
      <c r="AC947" s="116"/>
      <c r="AD947" s="116"/>
      <c r="AE947" s="116"/>
      <c r="AF947" s="116"/>
      <c r="AG947" s="116"/>
      <c r="AH947" s="116"/>
      <c r="AI947" s="116"/>
      <c r="AJ947" s="116"/>
      <c r="AK947" s="116"/>
      <c r="AL947" s="116"/>
      <c r="AM947" s="116"/>
      <c r="AN947" s="116"/>
      <c r="AO947" s="116"/>
      <c r="AP947" s="116"/>
      <c r="AQ947" s="116"/>
      <c r="AR947" s="116"/>
      <c r="AS947" s="116"/>
      <c r="AT947" s="116"/>
      <c r="AU947" s="116"/>
      <c r="AV947" s="116"/>
      <c r="AW947" s="116"/>
      <c r="AX947" s="116"/>
      <c r="AY947" s="116"/>
      <c r="AZ947" s="116"/>
      <c r="BA947" s="116"/>
      <c r="BB947" s="116"/>
      <c r="BC947" s="116"/>
      <c r="BD947" s="116"/>
      <c r="BE947" s="116"/>
      <c r="BF947" s="116"/>
      <c r="BG947" s="116"/>
      <c r="BH947" s="124"/>
      <c r="BI947" s="124"/>
      <c r="BJ947" s="116"/>
      <c r="BK947" s="116"/>
      <c r="BL947" s="116"/>
      <c r="BM947" s="116"/>
      <c r="BN947" s="116"/>
      <c r="BO947" s="116"/>
      <c r="BP947" s="125"/>
      <c r="BQ947" s="116"/>
    </row>
    <row r="948">
      <c r="A948" s="116"/>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c r="AA948" s="116"/>
      <c r="AB948" s="116"/>
      <c r="AC948" s="116"/>
      <c r="AD948" s="116"/>
      <c r="AE948" s="116"/>
      <c r="AF948" s="116"/>
      <c r="AG948" s="116"/>
      <c r="AH948" s="116"/>
      <c r="AI948" s="116"/>
      <c r="AJ948" s="116"/>
      <c r="AK948" s="116"/>
      <c r="AL948" s="116"/>
      <c r="AM948" s="116"/>
      <c r="AN948" s="116"/>
      <c r="AO948" s="116"/>
      <c r="AP948" s="116"/>
      <c r="AQ948" s="116"/>
      <c r="AR948" s="116"/>
      <c r="AS948" s="116"/>
      <c r="AT948" s="116"/>
      <c r="AU948" s="116"/>
      <c r="AV948" s="116"/>
      <c r="AW948" s="116"/>
      <c r="AX948" s="116"/>
      <c r="AY948" s="116"/>
      <c r="AZ948" s="116"/>
      <c r="BA948" s="116"/>
      <c r="BB948" s="116"/>
      <c r="BC948" s="116"/>
      <c r="BD948" s="116"/>
      <c r="BE948" s="116"/>
      <c r="BF948" s="116"/>
      <c r="BG948" s="116"/>
      <c r="BH948" s="124"/>
      <c r="BI948" s="124"/>
      <c r="BJ948" s="116"/>
      <c r="BK948" s="116"/>
      <c r="BL948" s="116"/>
      <c r="BM948" s="116"/>
      <c r="BN948" s="116"/>
      <c r="BO948" s="116"/>
      <c r="BP948" s="125"/>
      <c r="BQ948" s="116"/>
    </row>
    <row r="949">
      <c r="A949" s="116"/>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c r="AA949" s="116"/>
      <c r="AB949" s="116"/>
      <c r="AC949" s="116"/>
      <c r="AD949" s="116"/>
      <c r="AE949" s="116"/>
      <c r="AF949" s="116"/>
      <c r="AG949" s="116"/>
      <c r="AH949" s="116"/>
      <c r="AI949" s="116"/>
      <c r="AJ949" s="116"/>
      <c r="AK949" s="116"/>
      <c r="AL949" s="116"/>
      <c r="AM949" s="116"/>
      <c r="AN949" s="116"/>
      <c r="AO949" s="116"/>
      <c r="AP949" s="116"/>
      <c r="AQ949" s="116"/>
      <c r="AR949" s="116"/>
      <c r="AS949" s="116"/>
      <c r="AT949" s="116"/>
      <c r="AU949" s="116"/>
      <c r="AV949" s="116"/>
      <c r="AW949" s="116"/>
      <c r="AX949" s="116"/>
      <c r="AY949" s="116"/>
      <c r="AZ949" s="116"/>
      <c r="BA949" s="116"/>
      <c r="BB949" s="116"/>
      <c r="BC949" s="116"/>
      <c r="BD949" s="116"/>
      <c r="BE949" s="116"/>
      <c r="BF949" s="116"/>
      <c r="BG949" s="116"/>
      <c r="BH949" s="124"/>
      <c r="BI949" s="124"/>
      <c r="BJ949" s="116"/>
      <c r="BK949" s="116"/>
      <c r="BL949" s="116"/>
      <c r="BM949" s="116"/>
      <c r="BN949" s="116"/>
      <c r="BO949" s="116"/>
      <c r="BP949" s="125"/>
      <c r="BQ949" s="116"/>
    </row>
    <row r="950">
      <c r="A950" s="116"/>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c r="AA950" s="116"/>
      <c r="AB950" s="116"/>
      <c r="AC950" s="116"/>
      <c r="AD950" s="116"/>
      <c r="AE950" s="116"/>
      <c r="AF950" s="116"/>
      <c r="AG950" s="116"/>
      <c r="AH950" s="116"/>
      <c r="AI950" s="116"/>
      <c r="AJ950" s="116"/>
      <c r="AK950" s="116"/>
      <c r="AL950" s="116"/>
      <c r="AM950" s="116"/>
      <c r="AN950" s="116"/>
      <c r="AO950" s="116"/>
      <c r="AP950" s="116"/>
      <c r="AQ950" s="116"/>
      <c r="AR950" s="116"/>
      <c r="AS950" s="116"/>
      <c r="AT950" s="116"/>
      <c r="AU950" s="116"/>
      <c r="AV950" s="116"/>
      <c r="AW950" s="116"/>
      <c r="AX950" s="116"/>
      <c r="AY950" s="116"/>
      <c r="AZ950" s="116"/>
      <c r="BA950" s="116"/>
      <c r="BB950" s="116"/>
      <c r="BC950" s="116"/>
      <c r="BD950" s="116"/>
      <c r="BE950" s="116"/>
      <c r="BF950" s="116"/>
      <c r="BG950" s="116"/>
      <c r="BH950" s="124"/>
      <c r="BI950" s="124"/>
      <c r="BJ950" s="116"/>
      <c r="BK950" s="116"/>
      <c r="BL950" s="116"/>
      <c r="BM950" s="116"/>
      <c r="BN950" s="116"/>
      <c r="BO950" s="116"/>
      <c r="BP950" s="125"/>
      <c r="BQ950" s="116"/>
    </row>
    <row r="951">
      <c r="A951" s="116"/>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c r="AA951" s="116"/>
      <c r="AB951" s="116"/>
      <c r="AC951" s="116"/>
      <c r="AD951" s="116"/>
      <c r="AE951" s="116"/>
      <c r="AF951" s="116"/>
      <c r="AG951" s="116"/>
      <c r="AH951" s="116"/>
      <c r="AI951" s="116"/>
      <c r="AJ951" s="116"/>
      <c r="AK951" s="116"/>
      <c r="AL951" s="116"/>
      <c r="AM951" s="116"/>
      <c r="AN951" s="116"/>
      <c r="AO951" s="116"/>
      <c r="AP951" s="116"/>
      <c r="AQ951" s="116"/>
      <c r="AR951" s="116"/>
      <c r="AS951" s="116"/>
      <c r="AT951" s="116"/>
      <c r="AU951" s="116"/>
      <c r="AV951" s="116"/>
      <c r="AW951" s="116"/>
      <c r="AX951" s="116"/>
      <c r="AY951" s="116"/>
      <c r="AZ951" s="116"/>
      <c r="BA951" s="116"/>
      <c r="BB951" s="116"/>
      <c r="BC951" s="116"/>
      <c r="BD951" s="116"/>
      <c r="BE951" s="116"/>
      <c r="BF951" s="116"/>
      <c r="BG951" s="116"/>
      <c r="BH951" s="124"/>
      <c r="BI951" s="124"/>
      <c r="BJ951" s="116"/>
      <c r="BK951" s="116"/>
      <c r="BL951" s="116"/>
      <c r="BM951" s="116"/>
      <c r="BN951" s="116"/>
      <c r="BO951" s="116"/>
      <c r="BP951" s="125"/>
      <c r="BQ951" s="116"/>
    </row>
    <row r="952">
      <c r="A952" s="116"/>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c r="AA952" s="116"/>
      <c r="AB952" s="116"/>
      <c r="AC952" s="116"/>
      <c r="AD952" s="116"/>
      <c r="AE952" s="116"/>
      <c r="AF952" s="116"/>
      <c r="AG952" s="116"/>
      <c r="AH952" s="116"/>
      <c r="AI952" s="116"/>
      <c r="AJ952" s="116"/>
      <c r="AK952" s="116"/>
      <c r="AL952" s="116"/>
      <c r="AM952" s="116"/>
      <c r="AN952" s="116"/>
      <c r="AO952" s="116"/>
      <c r="AP952" s="116"/>
      <c r="AQ952" s="116"/>
      <c r="AR952" s="116"/>
      <c r="AS952" s="116"/>
      <c r="AT952" s="116"/>
      <c r="AU952" s="116"/>
      <c r="AV952" s="116"/>
      <c r="AW952" s="116"/>
      <c r="AX952" s="116"/>
      <c r="AY952" s="116"/>
      <c r="AZ952" s="116"/>
      <c r="BA952" s="116"/>
      <c r="BB952" s="116"/>
      <c r="BC952" s="116"/>
      <c r="BD952" s="116"/>
      <c r="BE952" s="116"/>
      <c r="BF952" s="116"/>
      <c r="BG952" s="116"/>
      <c r="BH952" s="124"/>
      <c r="BI952" s="124"/>
      <c r="BJ952" s="116"/>
      <c r="BK952" s="116"/>
      <c r="BL952" s="116"/>
      <c r="BM952" s="116"/>
      <c r="BN952" s="116"/>
      <c r="BO952" s="116"/>
      <c r="BP952" s="125"/>
      <c r="BQ952" s="116"/>
    </row>
    <row r="953">
      <c r="A953" s="116"/>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c r="AA953" s="116"/>
      <c r="AB953" s="116"/>
      <c r="AC953" s="116"/>
      <c r="AD953" s="116"/>
      <c r="AE953" s="116"/>
      <c r="AF953" s="116"/>
      <c r="AG953" s="116"/>
      <c r="AH953" s="116"/>
      <c r="AI953" s="116"/>
      <c r="AJ953" s="116"/>
      <c r="AK953" s="116"/>
      <c r="AL953" s="116"/>
      <c r="AM953" s="116"/>
      <c r="AN953" s="116"/>
      <c r="AO953" s="116"/>
      <c r="AP953" s="116"/>
      <c r="AQ953" s="116"/>
      <c r="AR953" s="116"/>
      <c r="AS953" s="116"/>
      <c r="AT953" s="116"/>
      <c r="AU953" s="116"/>
      <c r="AV953" s="116"/>
      <c r="AW953" s="116"/>
      <c r="AX953" s="116"/>
      <c r="AY953" s="116"/>
      <c r="AZ953" s="116"/>
      <c r="BA953" s="116"/>
      <c r="BB953" s="116"/>
      <c r="BC953" s="116"/>
      <c r="BD953" s="116"/>
      <c r="BE953" s="116"/>
      <c r="BF953" s="116"/>
      <c r="BG953" s="116"/>
      <c r="BH953" s="124"/>
      <c r="BI953" s="124"/>
      <c r="BJ953" s="116"/>
      <c r="BK953" s="116"/>
      <c r="BL953" s="116"/>
      <c r="BM953" s="116"/>
      <c r="BN953" s="116"/>
      <c r="BO953" s="116"/>
      <c r="BP953" s="125"/>
      <c r="BQ953" s="116"/>
    </row>
    <row r="954">
      <c r="A954" s="116"/>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c r="AA954" s="116"/>
      <c r="AB954" s="116"/>
      <c r="AC954" s="116"/>
      <c r="AD954" s="116"/>
      <c r="AE954" s="116"/>
      <c r="AF954" s="116"/>
      <c r="AG954" s="116"/>
      <c r="AH954" s="116"/>
      <c r="AI954" s="116"/>
      <c r="AJ954" s="116"/>
      <c r="AK954" s="116"/>
      <c r="AL954" s="116"/>
      <c r="AM954" s="116"/>
      <c r="AN954" s="116"/>
      <c r="AO954" s="116"/>
      <c r="AP954" s="116"/>
      <c r="AQ954" s="116"/>
      <c r="AR954" s="116"/>
      <c r="AS954" s="116"/>
      <c r="AT954" s="116"/>
      <c r="AU954" s="116"/>
      <c r="AV954" s="116"/>
      <c r="AW954" s="116"/>
      <c r="AX954" s="116"/>
      <c r="AY954" s="116"/>
      <c r="AZ954" s="116"/>
      <c r="BA954" s="116"/>
      <c r="BB954" s="116"/>
      <c r="BC954" s="116"/>
      <c r="BD954" s="116"/>
      <c r="BE954" s="116"/>
      <c r="BF954" s="116"/>
      <c r="BG954" s="116"/>
      <c r="BH954" s="124"/>
      <c r="BI954" s="124"/>
      <c r="BJ954" s="116"/>
      <c r="BK954" s="116"/>
      <c r="BL954" s="116"/>
      <c r="BM954" s="116"/>
      <c r="BN954" s="116"/>
      <c r="BO954" s="116"/>
      <c r="BP954" s="125"/>
      <c r="BQ954" s="116"/>
    </row>
    <row r="955">
      <c r="A955" s="116"/>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c r="AA955" s="116"/>
      <c r="AB955" s="116"/>
      <c r="AC955" s="116"/>
      <c r="AD955" s="116"/>
      <c r="AE955" s="116"/>
      <c r="AF955" s="116"/>
      <c r="AG955" s="116"/>
      <c r="AH955" s="116"/>
      <c r="AI955" s="116"/>
      <c r="AJ955" s="116"/>
      <c r="AK955" s="116"/>
      <c r="AL955" s="116"/>
      <c r="AM955" s="116"/>
      <c r="AN955" s="116"/>
      <c r="AO955" s="116"/>
      <c r="AP955" s="116"/>
      <c r="AQ955" s="116"/>
      <c r="AR955" s="116"/>
      <c r="AS955" s="116"/>
      <c r="AT955" s="116"/>
      <c r="AU955" s="116"/>
      <c r="AV955" s="116"/>
      <c r="AW955" s="116"/>
      <c r="AX955" s="116"/>
      <c r="AY955" s="116"/>
      <c r="AZ955" s="116"/>
      <c r="BA955" s="116"/>
      <c r="BB955" s="116"/>
      <c r="BC955" s="116"/>
      <c r="BD955" s="116"/>
      <c r="BE955" s="116"/>
      <c r="BF955" s="116"/>
      <c r="BG955" s="116"/>
      <c r="BH955" s="124"/>
      <c r="BI955" s="124"/>
      <c r="BJ955" s="116"/>
      <c r="BK955" s="116"/>
      <c r="BL955" s="116"/>
      <c r="BM955" s="116"/>
      <c r="BN955" s="116"/>
      <c r="BO955" s="116"/>
      <c r="BP955" s="125"/>
      <c r="BQ955" s="116"/>
    </row>
    <row r="956">
      <c r="A956" s="11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c r="AA956" s="116"/>
      <c r="AB956" s="116"/>
      <c r="AC956" s="116"/>
      <c r="AD956" s="116"/>
      <c r="AE956" s="116"/>
      <c r="AF956" s="116"/>
      <c r="AG956" s="116"/>
      <c r="AH956" s="116"/>
      <c r="AI956" s="116"/>
      <c r="AJ956" s="116"/>
      <c r="AK956" s="116"/>
      <c r="AL956" s="116"/>
      <c r="AM956" s="116"/>
      <c r="AN956" s="116"/>
      <c r="AO956" s="116"/>
      <c r="AP956" s="116"/>
      <c r="AQ956" s="116"/>
      <c r="AR956" s="116"/>
      <c r="AS956" s="116"/>
      <c r="AT956" s="116"/>
      <c r="AU956" s="116"/>
      <c r="AV956" s="116"/>
      <c r="AW956" s="116"/>
      <c r="AX956" s="116"/>
      <c r="AY956" s="116"/>
      <c r="AZ956" s="116"/>
      <c r="BA956" s="116"/>
      <c r="BB956" s="116"/>
      <c r="BC956" s="116"/>
      <c r="BD956" s="116"/>
      <c r="BE956" s="116"/>
      <c r="BF956" s="116"/>
      <c r="BG956" s="116"/>
      <c r="BH956" s="124"/>
      <c r="BI956" s="124"/>
      <c r="BJ956" s="116"/>
      <c r="BK956" s="116"/>
      <c r="BL956" s="116"/>
      <c r="BM956" s="116"/>
      <c r="BN956" s="116"/>
      <c r="BO956" s="116"/>
      <c r="BP956" s="125"/>
      <c r="BQ956" s="116"/>
    </row>
    <row r="957">
      <c r="A957" s="116"/>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c r="AA957" s="116"/>
      <c r="AB957" s="116"/>
      <c r="AC957" s="116"/>
      <c r="AD957" s="116"/>
      <c r="AE957" s="116"/>
      <c r="AF957" s="116"/>
      <c r="AG957" s="116"/>
      <c r="AH957" s="116"/>
      <c r="AI957" s="116"/>
      <c r="AJ957" s="116"/>
      <c r="AK957" s="116"/>
      <c r="AL957" s="116"/>
      <c r="AM957" s="116"/>
      <c r="AN957" s="116"/>
      <c r="AO957" s="116"/>
      <c r="AP957" s="116"/>
      <c r="AQ957" s="116"/>
      <c r="AR957" s="116"/>
      <c r="AS957" s="116"/>
      <c r="AT957" s="116"/>
      <c r="AU957" s="116"/>
      <c r="AV957" s="116"/>
      <c r="AW957" s="116"/>
      <c r="AX957" s="116"/>
      <c r="AY957" s="116"/>
      <c r="AZ957" s="116"/>
      <c r="BA957" s="116"/>
      <c r="BB957" s="116"/>
      <c r="BC957" s="116"/>
      <c r="BD957" s="116"/>
      <c r="BE957" s="116"/>
      <c r="BF957" s="116"/>
      <c r="BG957" s="116"/>
      <c r="BH957" s="124"/>
      <c r="BI957" s="124"/>
      <c r="BJ957" s="116"/>
      <c r="BK957" s="116"/>
      <c r="BL957" s="116"/>
      <c r="BM957" s="116"/>
      <c r="BN957" s="116"/>
      <c r="BO957" s="116"/>
      <c r="BP957" s="125"/>
      <c r="BQ957" s="116"/>
    </row>
    <row r="958">
      <c r="A958" s="116"/>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c r="AA958" s="116"/>
      <c r="AB958" s="116"/>
      <c r="AC958" s="116"/>
      <c r="AD958" s="116"/>
      <c r="AE958" s="116"/>
      <c r="AF958" s="116"/>
      <c r="AG958" s="116"/>
      <c r="AH958" s="116"/>
      <c r="AI958" s="116"/>
      <c r="AJ958" s="116"/>
      <c r="AK958" s="116"/>
      <c r="AL958" s="116"/>
      <c r="AM958" s="116"/>
      <c r="AN958" s="116"/>
      <c r="AO958" s="116"/>
      <c r="AP958" s="116"/>
      <c r="AQ958" s="116"/>
      <c r="AR958" s="116"/>
      <c r="AS958" s="116"/>
      <c r="AT958" s="116"/>
      <c r="AU958" s="116"/>
      <c r="AV958" s="116"/>
      <c r="AW958" s="116"/>
      <c r="AX958" s="116"/>
      <c r="AY958" s="116"/>
      <c r="AZ958" s="116"/>
      <c r="BA958" s="116"/>
      <c r="BB958" s="116"/>
      <c r="BC958" s="116"/>
      <c r="BD958" s="116"/>
      <c r="BE958" s="116"/>
      <c r="BF958" s="116"/>
      <c r="BG958" s="116"/>
      <c r="BH958" s="124"/>
      <c r="BI958" s="124"/>
      <c r="BJ958" s="116"/>
      <c r="BK958" s="116"/>
      <c r="BL958" s="116"/>
      <c r="BM958" s="116"/>
      <c r="BN958" s="116"/>
      <c r="BO958" s="116"/>
      <c r="BP958" s="125"/>
      <c r="BQ958" s="116"/>
    </row>
    <row r="959">
      <c r="A959" s="116"/>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c r="AA959" s="116"/>
      <c r="AB959" s="116"/>
      <c r="AC959" s="116"/>
      <c r="AD959" s="116"/>
      <c r="AE959" s="116"/>
      <c r="AF959" s="116"/>
      <c r="AG959" s="116"/>
      <c r="AH959" s="116"/>
      <c r="AI959" s="116"/>
      <c r="AJ959" s="116"/>
      <c r="AK959" s="116"/>
      <c r="AL959" s="116"/>
      <c r="AM959" s="116"/>
      <c r="AN959" s="116"/>
      <c r="AO959" s="116"/>
      <c r="AP959" s="116"/>
      <c r="AQ959" s="116"/>
      <c r="AR959" s="116"/>
      <c r="AS959" s="116"/>
      <c r="AT959" s="116"/>
      <c r="AU959" s="116"/>
      <c r="AV959" s="116"/>
      <c r="AW959" s="116"/>
      <c r="AX959" s="116"/>
      <c r="AY959" s="116"/>
      <c r="AZ959" s="116"/>
      <c r="BA959" s="116"/>
      <c r="BB959" s="116"/>
      <c r="BC959" s="116"/>
      <c r="BD959" s="116"/>
      <c r="BE959" s="116"/>
      <c r="BF959" s="116"/>
      <c r="BG959" s="116"/>
      <c r="BH959" s="124"/>
      <c r="BI959" s="124"/>
      <c r="BJ959" s="116"/>
      <c r="BK959" s="116"/>
      <c r="BL959" s="116"/>
      <c r="BM959" s="116"/>
      <c r="BN959" s="116"/>
      <c r="BO959" s="116"/>
      <c r="BP959" s="125"/>
      <c r="BQ959" s="116"/>
    </row>
    <row r="960">
      <c r="A960" s="116"/>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c r="AA960" s="116"/>
      <c r="AB960" s="116"/>
      <c r="AC960" s="116"/>
      <c r="AD960" s="116"/>
      <c r="AE960" s="116"/>
      <c r="AF960" s="116"/>
      <c r="AG960" s="116"/>
      <c r="AH960" s="116"/>
      <c r="AI960" s="116"/>
      <c r="AJ960" s="116"/>
      <c r="AK960" s="116"/>
      <c r="AL960" s="116"/>
      <c r="AM960" s="116"/>
      <c r="AN960" s="116"/>
      <c r="AO960" s="116"/>
      <c r="AP960" s="116"/>
      <c r="AQ960" s="116"/>
      <c r="AR960" s="116"/>
      <c r="AS960" s="116"/>
      <c r="AT960" s="116"/>
      <c r="AU960" s="116"/>
      <c r="AV960" s="116"/>
      <c r="AW960" s="116"/>
      <c r="AX960" s="116"/>
      <c r="AY960" s="116"/>
      <c r="AZ960" s="116"/>
      <c r="BA960" s="116"/>
      <c r="BB960" s="116"/>
      <c r="BC960" s="116"/>
      <c r="BD960" s="116"/>
      <c r="BE960" s="116"/>
      <c r="BF960" s="116"/>
      <c r="BG960" s="116"/>
      <c r="BH960" s="124"/>
      <c r="BI960" s="124"/>
      <c r="BJ960" s="116"/>
      <c r="BK960" s="116"/>
      <c r="BL960" s="116"/>
      <c r="BM960" s="116"/>
      <c r="BN960" s="116"/>
      <c r="BO960" s="116"/>
      <c r="BP960" s="125"/>
      <c r="BQ960" s="116"/>
    </row>
    <row r="961">
      <c r="A961" s="116"/>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c r="AA961" s="116"/>
      <c r="AB961" s="116"/>
      <c r="AC961" s="116"/>
      <c r="AD961" s="116"/>
      <c r="AE961" s="116"/>
      <c r="AF961" s="116"/>
      <c r="AG961" s="116"/>
      <c r="AH961" s="116"/>
      <c r="AI961" s="116"/>
      <c r="AJ961" s="116"/>
      <c r="AK961" s="116"/>
      <c r="AL961" s="116"/>
      <c r="AM961" s="116"/>
      <c r="AN961" s="116"/>
      <c r="AO961" s="116"/>
      <c r="AP961" s="116"/>
      <c r="AQ961" s="116"/>
      <c r="AR961" s="116"/>
      <c r="AS961" s="116"/>
      <c r="AT961" s="116"/>
      <c r="AU961" s="116"/>
      <c r="AV961" s="116"/>
      <c r="AW961" s="116"/>
      <c r="AX961" s="116"/>
      <c r="AY961" s="116"/>
      <c r="AZ961" s="116"/>
      <c r="BA961" s="116"/>
      <c r="BB961" s="116"/>
      <c r="BC961" s="116"/>
      <c r="BD961" s="116"/>
      <c r="BE961" s="116"/>
      <c r="BF961" s="116"/>
      <c r="BG961" s="116"/>
      <c r="BH961" s="124"/>
      <c r="BI961" s="124"/>
      <c r="BJ961" s="116"/>
      <c r="BK961" s="116"/>
      <c r="BL961" s="116"/>
      <c r="BM961" s="116"/>
      <c r="BN961" s="116"/>
      <c r="BO961" s="116"/>
      <c r="BP961" s="125"/>
      <c r="BQ961" s="116"/>
    </row>
    <row r="962">
      <c r="A962" s="116"/>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c r="AA962" s="116"/>
      <c r="AB962" s="116"/>
      <c r="AC962" s="116"/>
      <c r="AD962" s="116"/>
      <c r="AE962" s="116"/>
      <c r="AF962" s="116"/>
      <c r="AG962" s="116"/>
      <c r="AH962" s="116"/>
      <c r="AI962" s="116"/>
      <c r="AJ962" s="116"/>
      <c r="AK962" s="116"/>
      <c r="AL962" s="116"/>
      <c r="AM962" s="116"/>
      <c r="AN962" s="116"/>
      <c r="AO962" s="116"/>
      <c r="AP962" s="116"/>
      <c r="AQ962" s="116"/>
      <c r="AR962" s="116"/>
      <c r="AS962" s="116"/>
      <c r="AT962" s="116"/>
      <c r="AU962" s="116"/>
      <c r="AV962" s="116"/>
      <c r="AW962" s="116"/>
      <c r="AX962" s="116"/>
      <c r="AY962" s="116"/>
      <c r="AZ962" s="116"/>
      <c r="BA962" s="116"/>
      <c r="BB962" s="116"/>
      <c r="BC962" s="116"/>
      <c r="BD962" s="116"/>
      <c r="BE962" s="116"/>
      <c r="BF962" s="116"/>
      <c r="BG962" s="116"/>
      <c r="BH962" s="124"/>
      <c r="BI962" s="124"/>
      <c r="BJ962" s="116"/>
      <c r="BK962" s="116"/>
      <c r="BL962" s="116"/>
      <c r="BM962" s="116"/>
      <c r="BN962" s="116"/>
      <c r="BO962" s="116"/>
      <c r="BP962" s="125"/>
      <c r="BQ962" s="116"/>
    </row>
    <row r="963">
      <c r="A963" s="116"/>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c r="AA963" s="116"/>
      <c r="AB963" s="116"/>
      <c r="AC963" s="116"/>
      <c r="AD963" s="116"/>
      <c r="AE963" s="116"/>
      <c r="AF963" s="116"/>
      <c r="AG963" s="116"/>
      <c r="AH963" s="116"/>
      <c r="AI963" s="116"/>
      <c r="AJ963" s="116"/>
      <c r="AK963" s="116"/>
      <c r="AL963" s="116"/>
      <c r="AM963" s="116"/>
      <c r="AN963" s="116"/>
      <c r="AO963" s="116"/>
      <c r="AP963" s="116"/>
      <c r="AQ963" s="116"/>
      <c r="AR963" s="116"/>
      <c r="AS963" s="116"/>
      <c r="AT963" s="116"/>
      <c r="AU963" s="116"/>
      <c r="AV963" s="116"/>
      <c r="AW963" s="116"/>
      <c r="AX963" s="116"/>
      <c r="AY963" s="116"/>
      <c r="AZ963" s="116"/>
      <c r="BA963" s="116"/>
      <c r="BB963" s="116"/>
      <c r="BC963" s="116"/>
      <c r="BD963" s="116"/>
      <c r="BE963" s="116"/>
      <c r="BF963" s="116"/>
      <c r="BG963" s="116"/>
      <c r="BH963" s="124"/>
      <c r="BI963" s="124"/>
      <c r="BJ963" s="116"/>
      <c r="BK963" s="116"/>
      <c r="BL963" s="116"/>
      <c r="BM963" s="116"/>
      <c r="BN963" s="116"/>
      <c r="BO963" s="116"/>
      <c r="BP963" s="125"/>
      <c r="BQ963" s="116"/>
    </row>
    <row r="964">
      <c r="A964" s="116"/>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c r="AA964" s="116"/>
      <c r="AB964" s="116"/>
      <c r="AC964" s="116"/>
      <c r="AD964" s="116"/>
      <c r="AE964" s="116"/>
      <c r="AF964" s="116"/>
      <c r="AG964" s="116"/>
      <c r="AH964" s="116"/>
      <c r="AI964" s="116"/>
      <c r="AJ964" s="116"/>
      <c r="AK964" s="116"/>
      <c r="AL964" s="116"/>
      <c r="AM964" s="116"/>
      <c r="AN964" s="116"/>
      <c r="AO964" s="116"/>
      <c r="AP964" s="116"/>
      <c r="AQ964" s="116"/>
      <c r="AR964" s="116"/>
      <c r="AS964" s="116"/>
      <c r="AT964" s="116"/>
      <c r="AU964" s="116"/>
      <c r="AV964" s="116"/>
      <c r="AW964" s="116"/>
      <c r="AX964" s="116"/>
      <c r="AY964" s="116"/>
      <c r="AZ964" s="116"/>
      <c r="BA964" s="116"/>
      <c r="BB964" s="116"/>
      <c r="BC964" s="116"/>
      <c r="BD964" s="116"/>
      <c r="BE964" s="116"/>
      <c r="BF964" s="116"/>
      <c r="BG964" s="116"/>
      <c r="BH964" s="124"/>
      <c r="BI964" s="124"/>
      <c r="BJ964" s="116"/>
      <c r="BK964" s="116"/>
      <c r="BL964" s="116"/>
      <c r="BM964" s="116"/>
      <c r="BN964" s="116"/>
      <c r="BO964" s="116"/>
      <c r="BP964" s="125"/>
      <c r="BQ964" s="116"/>
    </row>
    <row r="965">
      <c r="A965" s="116"/>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c r="AA965" s="116"/>
      <c r="AB965" s="116"/>
      <c r="AC965" s="116"/>
      <c r="AD965" s="116"/>
      <c r="AE965" s="116"/>
      <c r="AF965" s="116"/>
      <c r="AG965" s="116"/>
      <c r="AH965" s="116"/>
      <c r="AI965" s="116"/>
      <c r="AJ965" s="116"/>
      <c r="AK965" s="116"/>
      <c r="AL965" s="116"/>
      <c r="AM965" s="116"/>
      <c r="AN965" s="116"/>
      <c r="AO965" s="116"/>
      <c r="AP965" s="116"/>
      <c r="AQ965" s="116"/>
      <c r="AR965" s="116"/>
      <c r="AS965" s="116"/>
      <c r="AT965" s="116"/>
      <c r="AU965" s="116"/>
      <c r="AV965" s="116"/>
      <c r="AW965" s="116"/>
      <c r="AX965" s="116"/>
      <c r="AY965" s="116"/>
      <c r="AZ965" s="116"/>
      <c r="BA965" s="116"/>
      <c r="BB965" s="116"/>
      <c r="BC965" s="116"/>
      <c r="BD965" s="116"/>
      <c r="BE965" s="116"/>
      <c r="BF965" s="116"/>
      <c r="BG965" s="116"/>
      <c r="BH965" s="124"/>
      <c r="BI965" s="124"/>
      <c r="BJ965" s="116"/>
      <c r="BK965" s="116"/>
      <c r="BL965" s="116"/>
      <c r="BM965" s="116"/>
      <c r="BN965" s="116"/>
      <c r="BO965" s="116"/>
      <c r="BP965" s="125"/>
      <c r="BQ965" s="116"/>
    </row>
    <row r="966">
      <c r="A966" s="11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c r="AA966" s="116"/>
      <c r="AB966" s="116"/>
      <c r="AC966" s="116"/>
      <c r="AD966" s="116"/>
      <c r="AE966" s="116"/>
      <c r="AF966" s="116"/>
      <c r="AG966" s="116"/>
      <c r="AH966" s="116"/>
      <c r="AI966" s="116"/>
      <c r="AJ966" s="116"/>
      <c r="AK966" s="116"/>
      <c r="AL966" s="116"/>
      <c r="AM966" s="116"/>
      <c r="AN966" s="116"/>
      <c r="AO966" s="116"/>
      <c r="AP966" s="116"/>
      <c r="AQ966" s="116"/>
      <c r="AR966" s="116"/>
      <c r="AS966" s="116"/>
      <c r="AT966" s="116"/>
      <c r="AU966" s="116"/>
      <c r="AV966" s="116"/>
      <c r="AW966" s="116"/>
      <c r="AX966" s="116"/>
      <c r="AY966" s="116"/>
      <c r="AZ966" s="116"/>
      <c r="BA966" s="116"/>
      <c r="BB966" s="116"/>
      <c r="BC966" s="116"/>
      <c r="BD966" s="116"/>
      <c r="BE966" s="116"/>
      <c r="BF966" s="116"/>
      <c r="BG966" s="116"/>
      <c r="BH966" s="124"/>
      <c r="BI966" s="124"/>
      <c r="BJ966" s="116"/>
      <c r="BK966" s="116"/>
      <c r="BL966" s="116"/>
      <c r="BM966" s="116"/>
      <c r="BN966" s="116"/>
      <c r="BO966" s="116"/>
      <c r="BP966" s="125"/>
      <c r="BQ966" s="116"/>
    </row>
    <row r="967">
      <c r="A967" s="116"/>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c r="AA967" s="116"/>
      <c r="AB967" s="116"/>
      <c r="AC967" s="116"/>
      <c r="AD967" s="116"/>
      <c r="AE967" s="116"/>
      <c r="AF967" s="116"/>
      <c r="AG967" s="116"/>
      <c r="AH967" s="116"/>
      <c r="AI967" s="116"/>
      <c r="AJ967" s="116"/>
      <c r="AK967" s="116"/>
      <c r="AL967" s="116"/>
      <c r="AM967" s="116"/>
      <c r="AN967" s="116"/>
      <c r="AO967" s="116"/>
      <c r="AP967" s="116"/>
      <c r="AQ967" s="116"/>
      <c r="AR967" s="116"/>
      <c r="AS967" s="116"/>
      <c r="AT967" s="116"/>
      <c r="AU967" s="116"/>
      <c r="AV967" s="116"/>
      <c r="AW967" s="116"/>
      <c r="AX967" s="116"/>
      <c r="AY967" s="116"/>
      <c r="AZ967" s="116"/>
      <c r="BA967" s="116"/>
      <c r="BB967" s="116"/>
      <c r="BC967" s="116"/>
      <c r="BD967" s="116"/>
      <c r="BE967" s="116"/>
      <c r="BF967" s="116"/>
      <c r="BG967" s="116"/>
      <c r="BH967" s="124"/>
      <c r="BI967" s="124"/>
      <c r="BJ967" s="116"/>
      <c r="BK967" s="116"/>
      <c r="BL967" s="116"/>
      <c r="BM967" s="116"/>
      <c r="BN967" s="116"/>
      <c r="BO967" s="116"/>
      <c r="BP967" s="125"/>
      <c r="BQ967" s="116"/>
    </row>
    <row r="968">
      <c r="A968" s="116"/>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c r="AA968" s="116"/>
      <c r="AB968" s="116"/>
      <c r="AC968" s="116"/>
      <c r="AD968" s="116"/>
      <c r="AE968" s="116"/>
      <c r="AF968" s="116"/>
      <c r="AG968" s="116"/>
      <c r="AH968" s="116"/>
      <c r="AI968" s="116"/>
      <c r="AJ968" s="116"/>
      <c r="AK968" s="116"/>
      <c r="AL968" s="116"/>
      <c r="AM968" s="116"/>
      <c r="AN968" s="116"/>
      <c r="AO968" s="116"/>
      <c r="AP968" s="116"/>
      <c r="AQ968" s="116"/>
      <c r="AR968" s="116"/>
      <c r="AS968" s="116"/>
      <c r="AT968" s="116"/>
      <c r="AU968" s="116"/>
      <c r="AV968" s="116"/>
      <c r="AW968" s="116"/>
      <c r="AX968" s="116"/>
      <c r="AY968" s="116"/>
      <c r="AZ968" s="116"/>
      <c r="BA968" s="116"/>
      <c r="BB968" s="116"/>
      <c r="BC968" s="116"/>
      <c r="BD968" s="116"/>
      <c r="BE968" s="116"/>
      <c r="BF968" s="116"/>
      <c r="BG968" s="116"/>
      <c r="BH968" s="124"/>
      <c r="BI968" s="124"/>
      <c r="BJ968" s="116"/>
      <c r="BK968" s="116"/>
      <c r="BL968" s="116"/>
      <c r="BM968" s="116"/>
      <c r="BN968" s="116"/>
      <c r="BO968" s="116"/>
      <c r="BP968" s="125"/>
      <c r="BQ968" s="116"/>
    </row>
    <row r="969">
      <c r="A969" s="116"/>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c r="AA969" s="116"/>
      <c r="AB969" s="116"/>
      <c r="AC969" s="116"/>
      <c r="AD969" s="116"/>
      <c r="AE969" s="116"/>
      <c r="AF969" s="116"/>
      <c r="AG969" s="116"/>
      <c r="AH969" s="116"/>
      <c r="AI969" s="116"/>
      <c r="AJ969" s="116"/>
      <c r="AK969" s="116"/>
      <c r="AL969" s="116"/>
      <c r="AM969" s="116"/>
      <c r="AN969" s="116"/>
      <c r="AO969" s="116"/>
      <c r="AP969" s="116"/>
      <c r="AQ969" s="116"/>
      <c r="AR969" s="116"/>
      <c r="AS969" s="116"/>
      <c r="AT969" s="116"/>
      <c r="AU969" s="116"/>
      <c r="AV969" s="116"/>
      <c r="AW969" s="116"/>
      <c r="AX969" s="116"/>
      <c r="AY969" s="116"/>
      <c r="AZ969" s="116"/>
      <c r="BA969" s="116"/>
      <c r="BB969" s="116"/>
      <c r="BC969" s="116"/>
      <c r="BD969" s="116"/>
      <c r="BE969" s="116"/>
      <c r="BF969" s="116"/>
      <c r="BG969" s="116"/>
      <c r="BH969" s="124"/>
      <c r="BI969" s="124"/>
      <c r="BJ969" s="116"/>
      <c r="BK969" s="116"/>
      <c r="BL969" s="116"/>
      <c r="BM969" s="116"/>
      <c r="BN969" s="116"/>
      <c r="BO969" s="116"/>
      <c r="BP969" s="125"/>
      <c r="BQ969" s="116"/>
    </row>
    <row r="970">
      <c r="A970" s="116"/>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c r="AA970" s="116"/>
      <c r="AB970" s="116"/>
      <c r="AC970" s="116"/>
      <c r="AD970" s="116"/>
      <c r="AE970" s="116"/>
      <c r="AF970" s="116"/>
      <c r="AG970" s="116"/>
      <c r="AH970" s="116"/>
      <c r="AI970" s="116"/>
      <c r="AJ970" s="116"/>
      <c r="AK970" s="116"/>
      <c r="AL970" s="116"/>
      <c r="AM970" s="116"/>
      <c r="AN970" s="116"/>
      <c r="AO970" s="116"/>
      <c r="AP970" s="116"/>
      <c r="AQ970" s="116"/>
      <c r="AR970" s="116"/>
      <c r="AS970" s="116"/>
      <c r="AT970" s="116"/>
      <c r="AU970" s="116"/>
      <c r="AV970" s="116"/>
      <c r="AW970" s="116"/>
      <c r="AX970" s="116"/>
      <c r="AY970" s="116"/>
      <c r="AZ970" s="116"/>
      <c r="BA970" s="116"/>
      <c r="BB970" s="116"/>
      <c r="BC970" s="116"/>
      <c r="BD970" s="116"/>
      <c r="BE970" s="116"/>
      <c r="BF970" s="116"/>
      <c r="BG970" s="116"/>
      <c r="BH970" s="124"/>
      <c r="BI970" s="124"/>
      <c r="BJ970" s="116"/>
      <c r="BK970" s="116"/>
      <c r="BL970" s="116"/>
      <c r="BM970" s="116"/>
      <c r="BN970" s="116"/>
      <c r="BO970" s="116"/>
      <c r="BP970" s="125"/>
      <c r="BQ970" s="116"/>
    </row>
    <row r="971">
      <c r="A971" s="116"/>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c r="AA971" s="116"/>
      <c r="AB971" s="116"/>
      <c r="AC971" s="116"/>
      <c r="AD971" s="116"/>
      <c r="AE971" s="116"/>
      <c r="AF971" s="116"/>
      <c r="AG971" s="116"/>
      <c r="AH971" s="116"/>
      <c r="AI971" s="116"/>
      <c r="AJ971" s="116"/>
      <c r="AK971" s="116"/>
      <c r="AL971" s="116"/>
      <c r="AM971" s="116"/>
      <c r="AN971" s="116"/>
      <c r="AO971" s="116"/>
      <c r="AP971" s="116"/>
      <c r="AQ971" s="116"/>
      <c r="AR971" s="116"/>
      <c r="AS971" s="116"/>
      <c r="AT971" s="116"/>
      <c r="AU971" s="116"/>
      <c r="AV971" s="116"/>
      <c r="AW971" s="116"/>
      <c r="AX971" s="116"/>
      <c r="AY971" s="116"/>
      <c r="AZ971" s="116"/>
      <c r="BA971" s="116"/>
      <c r="BB971" s="116"/>
      <c r="BC971" s="116"/>
      <c r="BD971" s="116"/>
      <c r="BE971" s="116"/>
      <c r="BF971" s="116"/>
      <c r="BG971" s="116"/>
      <c r="BH971" s="124"/>
      <c r="BI971" s="124"/>
      <c r="BJ971" s="116"/>
      <c r="BK971" s="116"/>
      <c r="BL971" s="116"/>
      <c r="BM971" s="116"/>
      <c r="BN971" s="116"/>
      <c r="BO971" s="116"/>
      <c r="BP971" s="125"/>
      <c r="BQ971" s="116"/>
    </row>
    <row r="972">
      <c r="A972" s="116"/>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c r="AA972" s="116"/>
      <c r="AB972" s="116"/>
      <c r="AC972" s="116"/>
      <c r="AD972" s="116"/>
      <c r="AE972" s="116"/>
      <c r="AF972" s="116"/>
      <c r="AG972" s="116"/>
      <c r="AH972" s="116"/>
      <c r="AI972" s="116"/>
      <c r="AJ972" s="116"/>
      <c r="AK972" s="116"/>
      <c r="AL972" s="116"/>
      <c r="AM972" s="116"/>
      <c r="AN972" s="116"/>
      <c r="AO972" s="116"/>
      <c r="AP972" s="116"/>
      <c r="AQ972" s="116"/>
      <c r="AR972" s="116"/>
      <c r="AS972" s="116"/>
      <c r="AT972" s="116"/>
      <c r="AU972" s="116"/>
      <c r="AV972" s="116"/>
      <c r="AW972" s="116"/>
      <c r="AX972" s="116"/>
      <c r="AY972" s="116"/>
      <c r="AZ972" s="116"/>
      <c r="BA972" s="116"/>
      <c r="BB972" s="116"/>
      <c r="BC972" s="116"/>
      <c r="BD972" s="116"/>
      <c r="BE972" s="116"/>
      <c r="BF972" s="116"/>
      <c r="BG972" s="116"/>
      <c r="BH972" s="124"/>
      <c r="BI972" s="124"/>
      <c r="BJ972" s="116"/>
      <c r="BK972" s="116"/>
      <c r="BL972" s="116"/>
      <c r="BM972" s="116"/>
      <c r="BN972" s="116"/>
      <c r="BO972" s="116"/>
      <c r="BP972" s="125"/>
      <c r="BQ972" s="116"/>
    </row>
    <row r="973">
      <c r="A973" s="116"/>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c r="AA973" s="116"/>
      <c r="AB973" s="116"/>
      <c r="AC973" s="116"/>
      <c r="AD973" s="116"/>
      <c r="AE973" s="116"/>
      <c r="AF973" s="116"/>
      <c r="AG973" s="116"/>
      <c r="AH973" s="116"/>
      <c r="AI973" s="116"/>
      <c r="AJ973" s="116"/>
      <c r="AK973" s="116"/>
      <c r="AL973" s="116"/>
      <c r="AM973" s="116"/>
      <c r="AN973" s="116"/>
      <c r="AO973" s="116"/>
      <c r="AP973" s="116"/>
      <c r="AQ973" s="116"/>
      <c r="AR973" s="116"/>
      <c r="AS973" s="116"/>
      <c r="AT973" s="116"/>
      <c r="AU973" s="116"/>
      <c r="AV973" s="116"/>
      <c r="AW973" s="116"/>
      <c r="AX973" s="116"/>
      <c r="AY973" s="116"/>
      <c r="AZ973" s="116"/>
      <c r="BA973" s="116"/>
      <c r="BB973" s="116"/>
      <c r="BC973" s="116"/>
      <c r="BD973" s="116"/>
      <c r="BE973" s="116"/>
      <c r="BF973" s="116"/>
      <c r="BG973" s="116"/>
      <c r="BH973" s="124"/>
      <c r="BI973" s="124"/>
      <c r="BJ973" s="116"/>
      <c r="BK973" s="116"/>
      <c r="BL973" s="116"/>
      <c r="BM973" s="116"/>
      <c r="BN973" s="116"/>
      <c r="BO973" s="116"/>
      <c r="BP973" s="125"/>
      <c r="BQ973" s="116"/>
    </row>
    <row r="974">
      <c r="A974" s="116"/>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c r="AA974" s="116"/>
      <c r="AB974" s="116"/>
      <c r="AC974" s="116"/>
      <c r="AD974" s="116"/>
      <c r="AE974" s="116"/>
      <c r="AF974" s="116"/>
      <c r="AG974" s="116"/>
      <c r="AH974" s="116"/>
      <c r="AI974" s="116"/>
      <c r="AJ974" s="116"/>
      <c r="AK974" s="116"/>
      <c r="AL974" s="116"/>
      <c r="AM974" s="116"/>
      <c r="AN974" s="116"/>
      <c r="AO974" s="116"/>
      <c r="AP974" s="116"/>
      <c r="AQ974" s="116"/>
      <c r="AR974" s="116"/>
      <c r="AS974" s="116"/>
      <c r="AT974" s="116"/>
      <c r="AU974" s="116"/>
      <c r="AV974" s="116"/>
      <c r="AW974" s="116"/>
      <c r="AX974" s="116"/>
      <c r="AY974" s="116"/>
      <c r="AZ974" s="116"/>
      <c r="BA974" s="116"/>
      <c r="BB974" s="116"/>
      <c r="BC974" s="116"/>
      <c r="BD974" s="116"/>
      <c r="BE974" s="116"/>
      <c r="BF974" s="116"/>
      <c r="BG974" s="116"/>
      <c r="BH974" s="124"/>
      <c r="BI974" s="124"/>
      <c r="BJ974" s="116"/>
      <c r="BK974" s="116"/>
      <c r="BL974" s="116"/>
      <c r="BM974" s="116"/>
      <c r="BN974" s="116"/>
      <c r="BO974" s="116"/>
      <c r="BP974" s="125"/>
      <c r="BQ974" s="116"/>
    </row>
    <row r="975">
      <c r="A975" s="116"/>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c r="AA975" s="116"/>
      <c r="AB975" s="116"/>
      <c r="AC975" s="116"/>
      <c r="AD975" s="116"/>
      <c r="AE975" s="116"/>
      <c r="AF975" s="116"/>
      <c r="AG975" s="116"/>
      <c r="AH975" s="116"/>
      <c r="AI975" s="116"/>
      <c r="AJ975" s="116"/>
      <c r="AK975" s="116"/>
      <c r="AL975" s="116"/>
      <c r="AM975" s="116"/>
      <c r="AN975" s="116"/>
      <c r="AO975" s="116"/>
      <c r="AP975" s="116"/>
      <c r="AQ975" s="116"/>
      <c r="AR975" s="116"/>
      <c r="AS975" s="116"/>
      <c r="AT975" s="116"/>
      <c r="AU975" s="116"/>
      <c r="AV975" s="116"/>
      <c r="AW975" s="116"/>
      <c r="AX975" s="116"/>
      <c r="AY975" s="116"/>
      <c r="AZ975" s="116"/>
      <c r="BA975" s="116"/>
      <c r="BB975" s="116"/>
      <c r="BC975" s="116"/>
      <c r="BD975" s="116"/>
      <c r="BE975" s="116"/>
      <c r="BF975" s="116"/>
      <c r="BG975" s="116"/>
      <c r="BH975" s="124"/>
      <c r="BI975" s="124"/>
      <c r="BJ975" s="116"/>
      <c r="BK975" s="116"/>
      <c r="BL975" s="116"/>
      <c r="BM975" s="116"/>
      <c r="BN975" s="116"/>
      <c r="BO975" s="116"/>
      <c r="BP975" s="125"/>
      <c r="BQ975" s="116"/>
    </row>
    <row r="976">
      <c r="A976" s="11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c r="AA976" s="116"/>
      <c r="AB976" s="116"/>
      <c r="AC976" s="116"/>
      <c r="AD976" s="116"/>
      <c r="AE976" s="116"/>
      <c r="AF976" s="116"/>
      <c r="AG976" s="116"/>
      <c r="AH976" s="116"/>
      <c r="AI976" s="116"/>
      <c r="AJ976" s="116"/>
      <c r="AK976" s="116"/>
      <c r="AL976" s="116"/>
      <c r="AM976" s="116"/>
      <c r="AN976" s="116"/>
      <c r="AO976" s="116"/>
      <c r="AP976" s="116"/>
      <c r="AQ976" s="116"/>
      <c r="AR976" s="116"/>
      <c r="AS976" s="116"/>
      <c r="AT976" s="116"/>
      <c r="AU976" s="116"/>
      <c r="AV976" s="116"/>
      <c r="AW976" s="116"/>
      <c r="AX976" s="116"/>
      <c r="AY976" s="116"/>
      <c r="AZ976" s="116"/>
      <c r="BA976" s="116"/>
      <c r="BB976" s="116"/>
      <c r="BC976" s="116"/>
      <c r="BD976" s="116"/>
      <c r="BE976" s="116"/>
      <c r="BF976" s="116"/>
      <c r="BG976" s="116"/>
      <c r="BH976" s="124"/>
      <c r="BI976" s="124"/>
      <c r="BJ976" s="116"/>
      <c r="BK976" s="116"/>
      <c r="BL976" s="116"/>
      <c r="BM976" s="116"/>
      <c r="BN976" s="116"/>
      <c r="BO976" s="116"/>
      <c r="BP976" s="125"/>
      <c r="BQ976" s="116"/>
    </row>
    <row r="977">
      <c r="A977" s="116"/>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c r="AA977" s="116"/>
      <c r="AB977" s="116"/>
      <c r="AC977" s="116"/>
      <c r="AD977" s="116"/>
      <c r="AE977" s="116"/>
      <c r="AF977" s="116"/>
      <c r="AG977" s="116"/>
      <c r="AH977" s="116"/>
      <c r="AI977" s="116"/>
      <c r="AJ977" s="116"/>
      <c r="AK977" s="116"/>
      <c r="AL977" s="116"/>
      <c r="AM977" s="116"/>
      <c r="AN977" s="116"/>
      <c r="AO977" s="116"/>
      <c r="AP977" s="116"/>
      <c r="AQ977" s="116"/>
      <c r="AR977" s="116"/>
      <c r="AS977" s="116"/>
      <c r="AT977" s="116"/>
      <c r="AU977" s="116"/>
      <c r="AV977" s="116"/>
      <c r="AW977" s="116"/>
      <c r="AX977" s="116"/>
      <c r="AY977" s="116"/>
      <c r="AZ977" s="116"/>
      <c r="BA977" s="116"/>
      <c r="BB977" s="116"/>
      <c r="BC977" s="116"/>
      <c r="BD977" s="116"/>
      <c r="BE977" s="116"/>
      <c r="BF977" s="116"/>
      <c r="BG977" s="116"/>
      <c r="BH977" s="124"/>
      <c r="BI977" s="124"/>
      <c r="BJ977" s="116"/>
      <c r="BK977" s="116"/>
      <c r="BL977" s="116"/>
      <c r="BM977" s="116"/>
      <c r="BN977" s="116"/>
      <c r="BO977" s="116"/>
      <c r="BP977" s="125"/>
      <c r="BQ977" s="116"/>
    </row>
    <row r="978">
      <c r="A978" s="116"/>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c r="AA978" s="116"/>
      <c r="AB978" s="116"/>
      <c r="AC978" s="116"/>
      <c r="AD978" s="116"/>
      <c r="AE978" s="116"/>
      <c r="AF978" s="116"/>
      <c r="AG978" s="116"/>
      <c r="AH978" s="116"/>
      <c r="AI978" s="116"/>
      <c r="AJ978" s="116"/>
      <c r="AK978" s="116"/>
      <c r="AL978" s="116"/>
      <c r="AM978" s="116"/>
      <c r="AN978" s="116"/>
      <c r="AO978" s="116"/>
      <c r="AP978" s="116"/>
      <c r="AQ978" s="116"/>
      <c r="AR978" s="116"/>
      <c r="AS978" s="116"/>
      <c r="AT978" s="116"/>
      <c r="AU978" s="116"/>
      <c r="AV978" s="116"/>
      <c r="AW978" s="116"/>
      <c r="AX978" s="116"/>
      <c r="AY978" s="116"/>
      <c r="AZ978" s="116"/>
      <c r="BA978" s="116"/>
      <c r="BB978" s="116"/>
      <c r="BC978" s="116"/>
      <c r="BD978" s="116"/>
      <c r="BE978" s="116"/>
      <c r="BF978" s="116"/>
      <c r="BG978" s="116"/>
      <c r="BH978" s="124"/>
      <c r="BI978" s="124"/>
      <c r="BJ978" s="116"/>
      <c r="BK978" s="116"/>
      <c r="BL978" s="116"/>
      <c r="BM978" s="116"/>
      <c r="BN978" s="116"/>
      <c r="BO978" s="116"/>
      <c r="BP978" s="125"/>
      <c r="BQ978" s="116"/>
    </row>
    <row r="979">
      <c r="A979" s="116"/>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c r="AA979" s="116"/>
      <c r="AB979" s="116"/>
      <c r="AC979" s="116"/>
      <c r="AD979" s="116"/>
      <c r="AE979" s="116"/>
      <c r="AF979" s="116"/>
      <c r="AG979" s="116"/>
      <c r="AH979" s="116"/>
      <c r="AI979" s="116"/>
      <c r="AJ979" s="116"/>
      <c r="AK979" s="116"/>
      <c r="AL979" s="116"/>
      <c r="AM979" s="116"/>
      <c r="AN979" s="116"/>
      <c r="AO979" s="116"/>
      <c r="AP979" s="116"/>
      <c r="AQ979" s="116"/>
      <c r="AR979" s="116"/>
      <c r="AS979" s="116"/>
      <c r="AT979" s="116"/>
      <c r="AU979" s="116"/>
      <c r="AV979" s="116"/>
      <c r="AW979" s="116"/>
      <c r="AX979" s="116"/>
      <c r="AY979" s="116"/>
      <c r="AZ979" s="116"/>
      <c r="BA979" s="116"/>
      <c r="BB979" s="116"/>
      <c r="BC979" s="116"/>
      <c r="BD979" s="116"/>
      <c r="BE979" s="116"/>
      <c r="BF979" s="116"/>
      <c r="BG979" s="116"/>
      <c r="BH979" s="124"/>
      <c r="BI979" s="124"/>
      <c r="BJ979" s="116"/>
      <c r="BK979" s="116"/>
      <c r="BL979" s="116"/>
      <c r="BM979" s="116"/>
      <c r="BN979" s="116"/>
      <c r="BO979" s="116"/>
      <c r="BP979" s="125"/>
      <c r="BQ979" s="116"/>
    </row>
    <row r="980">
      <c r="A980" s="116"/>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c r="AA980" s="116"/>
      <c r="AB980" s="116"/>
      <c r="AC980" s="116"/>
      <c r="AD980" s="116"/>
      <c r="AE980" s="116"/>
      <c r="AF980" s="116"/>
      <c r="AG980" s="116"/>
      <c r="AH980" s="116"/>
      <c r="AI980" s="116"/>
      <c r="AJ980" s="116"/>
      <c r="AK980" s="116"/>
      <c r="AL980" s="116"/>
      <c r="AM980" s="116"/>
      <c r="AN980" s="116"/>
      <c r="AO980" s="116"/>
      <c r="AP980" s="116"/>
      <c r="AQ980" s="116"/>
      <c r="AR980" s="116"/>
      <c r="AS980" s="116"/>
      <c r="AT980" s="116"/>
      <c r="AU980" s="116"/>
      <c r="AV980" s="116"/>
      <c r="AW980" s="116"/>
      <c r="AX980" s="116"/>
      <c r="AY980" s="116"/>
      <c r="AZ980" s="116"/>
      <c r="BA980" s="116"/>
      <c r="BB980" s="116"/>
      <c r="BC980" s="116"/>
      <c r="BD980" s="116"/>
      <c r="BE980" s="116"/>
      <c r="BF980" s="116"/>
      <c r="BG980" s="116"/>
      <c r="BH980" s="124"/>
      <c r="BI980" s="124"/>
      <c r="BJ980" s="116"/>
      <c r="BK980" s="116"/>
      <c r="BL980" s="116"/>
      <c r="BM980" s="116"/>
      <c r="BN980" s="116"/>
      <c r="BO980" s="116"/>
      <c r="BP980" s="125"/>
      <c r="BQ980" s="116"/>
    </row>
    <row r="981">
      <c r="A981" s="116"/>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c r="AA981" s="116"/>
      <c r="AB981" s="116"/>
      <c r="AC981" s="116"/>
      <c r="AD981" s="116"/>
      <c r="AE981" s="116"/>
      <c r="AF981" s="116"/>
      <c r="AG981" s="116"/>
      <c r="AH981" s="116"/>
      <c r="AI981" s="116"/>
      <c r="AJ981" s="116"/>
      <c r="AK981" s="116"/>
      <c r="AL981" s="116"/>
      <c r="AM981" s="116"/>
      <c r="AN981" s="116"/>
      <c r="AO981" s="116"/>
      <c r="AP981" s="116"/>
      <c r="AQ981" s="116"/>
      <c r="AR981" s="116"/>
      <c r="AS981" s="116"/>
      <c r="AT981" s="116"/>
      <c r="AU981" s="116"/>
      <c r="AV981" s="116"/>
      <c r="AW981" s="116"/>
      <c r="AX981" s="116"/>
      <c r="AY981" s="116"/>
      <c r="AZ981" s="116"/>
      <c r="BA981" s="116"/>
      <c r="BB981" s="116"/>
      <c r="BC981" s="116"/>
      <c r="BD981" s="116"/>
      <c r="BE981" s="116"/>
      <c r="BF981" s="116"/>
      <c r="BG981" s="116"/>
      <c r="BH981" s="124"/>
      <c r="BI981" s="124"/>
      <c r="BJ981" s="116"/>
      <c r="BK981" s="116"/>
      <c r="BL981" s="116"/>
      <c r="BM981" s="116"/>
      <c r="BN981" s="116"/>
      <c r="BO981" s="116"/>
      <c r="BP981" s="125"/>
      <c r="BQ981" s="116"/>
    </row>
    <row r="982">
      <c r="A982" s="116"/>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c r="AA982" s="116"/>
      <c r="AB982" s="116"/>
      <c r="AC982" s="116"/>
      <c r="AD982" s="116"/>
      <c r="AE982" s="116"/>
      <c r="AF982" s="116"/>
      <c r="AG982" s="116"/>
      <c r="AH982" s="116"/>
      <c r="AI982" s="116"/>
      <c r="AJ982" s="116"/>
      <c r="AK982" s="116"/>
      <c r="AL982" s="116"/>
      <c r="AM982" s="116"/>
      <c r="AN982" s="116"/>
      <c r="AO982" s="116"/>
      <c r="AP982" s="116"/>
      <c r="AQ982" s="116"/>
      <c r="AR982" s="116"/>
      <c r="AS982" s="116"/>
      <c r="AT982" s="116"/>
      <c r="AU982" s="116"/>
      <c r="AV982" s="116"/>
      <c r="AW982" s="116"/>
      <c r="AX982" s="116"/>
      <c r="AY982" s="116"/>
      <c r="AZ982" s="116"/>
      <c r="BA982" s="116"/>
      <c r="BB982" s="116"/>
      <c r="BC982" s="116"/>
      <c r="BD982" s="116"/>
      <c r="BE982" s="116"/>
      <c r="BF982" s="116"/>
      <c r="BG982" s="116"/>
      <c r="BH982" s="124"/>
      <c r="BI982" s="124"/>
      <c r="BJ982" s="116"/>
      <c r="BK982" s="116"/>
      <c r="BL982" s="116"/>
      <c r="BM982" s="116"/>
      <c r="BN982" s="116"/>
      <c r="BO982" s="116"/>
      <c r="BP982" s="125"/>
      <c r="BQ982" s="116"/>
    </row>
    <row r="983">
      <c r="A983" s="116"/>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c r="AA983" s="116"/>
      <c r="AB983" s="116"/>
      <c r="AC983" s="116"/>
      <c r="AD983" s="116"/>
      <c r="AE983" s="116"/>
      <c r="AF983" s="116"/>
      <c r="AG983" s="116"/>
      <c r="AH983" s="116"/>
      <c r="AI983" s="116"/>
      <c r="AJ983" s="116"/>
      <c r="AK983" s="116"/>
      <c r="AL983" s="116"/>
      <c r="AM983" s="116"/>
      <c r="AN983" s="116"/>
      <c r="AO983" s="116"/>
      <c r="AP983" s="116"/>
      <c r="AQ983" s="116"/>
      <c r="AR983" s="116"/>
      <c r="AS983" s="116"/>
      <c r="AT983" s="116"/>
      <c r="AU983" s="116"/>
      <c r="AV983" s="116"/>
      <c r="AW983" s="116"/>
      <c r="AX983" s="116"/>
      <c r="AY983" s="116"/>
      <c r="AZ983" s="116"/>
      <c r="BA983" s="116"/>
      <c r="BB983" s="116"/>
      <c r="BC983" s="116"/>
      <c r="BD983" s="116"/>
      <c r="BE983" s="116"/>
      <c r="BF983" s="116"/>
      <c r="BG983" s="116"/>
      <c r="BH983" s="124"/>
      <c r="BI983" s="124"/>
      <c r="BJ983" s="116"/>
      <c r="BK983" s="116"/>
      <c r="BL983" s="116"/>
      <c r="BM983" s="116"/>
      <c r="BN983" s="116"/>
      <c r="BO983" s="116"/>
      <c r="BP983" s="125"/>
      <c r="BQ983" s="116"/>
    </row>
    <row r="984">
      <c r="A984" s="116"/>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c r="AA984" s="116"/>
      <c r="AB984" s="116"/>
      <c r="AC984" s="116"/>
      <c r="AD984" s="116"/>
      <c r="AE984" s="116"/>
      <c r="AF984" s="116"/>
      <c r="AG984" s="116"/>
      <c r="AH984" s="116"/>
      <c r="AI984" s="116"/>
      <c r="AJ984" s="116"/>
      <c r="AK984" s="116"/>
      <c r="AL984" s="116"/>
      <c r="AM984" s="116"/>
      <c r="AN984" s="116"/>
      <c r="AO984" s="116"/>
      <c r="AP984" s="116"/>
      <c r="AQ984" s="116"/>
      <c r="AR984" s="116"/>
      <c r="AS984" s="116"/>
      <c r="AT984" s="116"/>
      <c r="AU984" s="116"/>
      <c r="AV984" s="116"/>
      <c r="AW984" s="116"/>
      <c r="AX984" s="116"/>
      <c r="AY984" s="116"/>
      <c r="AZ984" s="116"/>
      <c r="BA984" s="116"/>
      <c r="BB984" s="116"/>
      <c r="BC984" s="116"/>
      <c r="BD984" s="116"/>
      <c r="BE984" s="116"/>
      <c r="BF984" s="116"/>
      <c r="BG984" s="116"/>
      <c r="BH984" s="124"/>
      <c r="BI984" s="124"/>
      <c r="BJ984" s="116"/>
      <c r="BK984" s="116"/>
      <c r="BL984" s="116"/>
      <c r="BM984" s="116"/>
      <c r="BN984" s="116"/>
      <c r="BO984" s="116"/>
      <c r="BP984" s="125"/>
      <c r="BQ984" s="116"/>
    </row>
    <row r="985">
      <c r="A985" s="116"/>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c r="AA985" s="116"/>
      <c r="AB985" s="116"/>
      <c r="AC985" s="116"/>
      <c r="AD985" s="116"/>
      <c r="AE985" s="116"/>
      <c r="AF985" s="116"/>
      <c r="AG985" s="116"/>
      <c r="AH985" s="116"/>
      <c r="AI985" s="116"/>
      <c r="AJ985" s="116"/>
      <c r="AK985" s="116"/>
      <c r="AL985" s="116"/>
      <c r="AM985" s="116"/>
      <c r="AN985" s="116"/>
      <c r="AO985" s="116"/>
      <c r="AP985" s="116"/>
      <c r="AQ985" s="116"/>
      <c r="AR985" s="116"/>
      <c r="AS985" s="116"/>
      <c r="AT985" s="116"/>
      <c r="AU985" s="116"/>
      <c r="AV985" s="116"/>
      <c r="AW985" s="116"/>
      <c r="AX985" s="116"/>
      <c r="AY985" s="116"/>
      <c r="AZ985" s="116"/>
      <c r="BA985" s="116"/>
      <c r="BB985" s="116"/>
      <c r="BC985" s="116"/>
      <c r="BD985" s="116"/>
      <c r="BE985" s="116"/>
      <c r="BF985" s="116"/>
      <c r="BG985" s="116"/>
      <c r="BH985" s="124"/>
      <c r="BI985" s="124"/>
      <c r="BJ985" s="116"/>
      <c r="BK985" s="116"/>
      <c r="BL985" s="116"/>
      <c r="BM985" s="116"/>
      <c r="BN985" s="116"/>
      <c r="BO985" s="116"/>
      <c r="BP985" s="125"/>
      <c r="BQ985" s="116"/>
    </row>
    <row r="986">
      <c r="A986" s="11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c r="AA986" s="116"/>
      <c r="AB986" s="116"/>
      <c r="AC986" s="116"/>
      <c r="AD986" s="116"/>
      <c r="AE986" s="116"/>
      <c r="AF986" s="116"/>
      <c r="AG986" s="116"/>
      <c r="AH986" s="116"/>
      <c r="AI986" s="116"/>
      <c r="AJ986" s="116"/>
      <c r="AK986" s="116"/>
      <c r="AL986" s="116"/>
      <c r="AM986" s="116"/>
      <c r="AN986" s="116"/>
      <c r="AO986" s="116"/>
      <c r="AP986" s="116"/>
      <c r="AQ986" s="116"/>
      <c r="AR986" s="116"/>
      <c r="AS986" s="116"/>
      <c r="AT986" s="116"/>
      <c r="AU986" s="116"/>
      <c r="AV986" s="116"/>
      <c r="AW986" s="116"/>
      <c r="AX986" s="116"/>
      <c r="AY986" s="116"/>
      <c r="AZ986" s="116"/>
      <c r="BA986" s="116"/>
      <c r="BB986" s="116"/>
      <c r="BC986" s="116"/>
      <c r="BD986" s="116"/>
      <c r="BE986" s="116"/>
      <c r="BF986" s="116"/>
      <c r="BG986" s="116"/>
      <c r="BH986" s="124"/>
      <c r="BI986" s="124"/>
      <c r="BJ986" s="116"/>
      <c r="BK986" s="116"/>
      <c r="BL986" s="116"/>
      <c r="BM986" s="116"/>
      <c r="BN986" s="116"/>
      <c r="BO986" s="116"/>
      <c r="BP986" s="125"/>
      <c r="BQ986" s="116"/>
    </row>
    <row r="987">
      <c r="A987" s="116"/>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c r="AA987" s="116"/>
      <c r="AB987" s="116"/>
      <c r="AC987" s="116"/>
      <c r="AD987" s="116"/>
      <c r="AE987" s="116"/>
      <c r="AF987" s="116"/>
      <c r="AG987" s="116"/>
      <c r="AH987" s="116"/>
      <c r="AI987" s="116"/>
      <c r="AJ987" s="116"/>
      <c r="AK987" s="116"/>
      <c r="AL987" s="116"/>
      <c r="AM987" s="116"/>
      <c r="AN987" s="116"/>
      <c r="AO987" s="116"/>
      <c r="AP987" s="116"/>
      <c r="AQ987" s="116"/>
      <c r="AR987" s="116"/>
      <c r="AS987" s="116"/>
      <c r="AT987" s="116"/>
      <c r="AU987" s="116"/>
      <c r="AV987" s="116"/>
      <c r="AW987" s="116"/>
      <c r="AX987" s="116"/>
      <c r="AY987" s="116"/>
      <c r="AZ987" s="116"/>
      <c r="BA987" s="116"/>
      <c r="BB987" s="116"/>
      <c r="BC987" s="116"/>
      <c r="BD987" s="116"/>
      <c r="BE987" s="116"/>
      <c r="BF987" s="116"/>
      <c r="BG987" s="116"/>
      <c r="BH987" s="124"/>
      <c r="BI987" s="124"/>
      <c r="BJ987" s="116"/>
      <c r="BK987" s="116"/>
      <c r="BL987" s="116"/>
      <c r="BM987" s="116"/>
      <c r="BN987" s="116"/>
      <c r="BO987" s="116"/>
      <c r="BP987" s="125"/>
      <c r="BQ987" s="116"/>
    </row>
    <row r="988">
      <c r="A988" s="116"/>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c r="AA988" s="116"/>
      <c r="AB988" s="116"/>
      <c r="AC988" s="116"/>
      <c r="AD988" s="116"/>
      <c r="AE988" s="116"/>
      <c r="AF988" s="116"/>
      <c r="AG988" s="116"/>
      <c r="AH988" s="116"/>
      <c r="AI988" s="116"/>
      <c r="AJ988" s="116"/>
      <c r="AK988" s="116"/>
      <c r="AL988" s="116"/>
      <c r="AM988" s="116"/>
      <c r="AN988" s="116"/>
      <c r="AO988" s="116"/>
      <c r="AP988" s="116"/>
      <c r="AQ988" s="116"/>
      <c r="AR988" s="116"/>
      <c r="AS988" s="116"/>
      <c r="AT988" s="116"/>
      <c r="AU988" s="116"/>
      <c r="AV988" s="116"/>
      <c r="AW988" s="116"/>
      <c r="AX988" s="116"/>
      <c r="AY988" s="116"/>
      <c r="AZ988" s="116"/>
      <c r="BA988" s="116"/>
      <c r="BB988" s="116"/>
      <c r="BC988" s="116"/>
      <c r="BD988" s="116"/>
      <c r="BE988" s="116"/>
      <c r="BF988" s="116"/>
      <c r="BG988" s="116"/>
      <c r="BH988" s="124"/>
      <c r="BI988" s="124"/>
      <c r="BJ988" s="116"/>
      <c r="BK988" s="116"/>
      <c r="BL988" s="116"/>
      <c r="BM988" s="116"/>
      <c r="BN988" s="116"/>
      <c r="BO988" s="116"/>
      <c r="BP988" s="125"/>
      <c r="BQ988" s="116"/>
    </row>
    <row r="989">
      <c r="A989" s="116"/>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c r="AA989" s="116"/>
      <c r="AB989" s="116"/>
      <c r="AC989" s="116"/>
      <c r="AD989" s="116"/>
      <c r="AE989" s="116"/>
      <c r="AF989" s="116"/>
      <c r="AG989" s="116"/>
      <c r="AH989" s="116"/>
      <c r="AI989" s="116"/>
      <c r="AJ989" s="116"/>
      <c r="AK989" s="116"/>
      <c r="AL989" s="116"/>
      <c r="AM989" s="116"/>
      <c r="AN989" s="116"/>
      <c r="AO989" s="116"/>
      <c r="AP989" s="116"/>
      <c r="AQ989" s="116"/>
      <c r="AR989" s="116"/>
      <c r="AS989" s="116"/>
      <c r="AT989" s="116"/>
      <c r="AU989" s="116"/>
      <c r="AV989" s="116"/>
      <c r="AW989" s="116"/>
      <c r="AX989" s="116"/>
      <c r="AY989" s="116"/>
      <c r="AZ989" s="116"/>
      <c r="BA989" s="116"/>
      <c r="BB989" s="116"/>
      <c r="BC989" s="116"/>
      <c r="BD989" s="116"/>
      <c r="BE989" s="116"/>
      <c r="BF989" s="116"/>
      <c r="BG989" s="116"/>
      <c r="BH989" s="124"/>
      <c r="BI989" s="124"/>
      <c r="BJ989" s="116"/>
      <c r="BK989" s="116"/>
      <c r="BL989" s="116"/>
      <c r="BM989" s="116"/>
      <c r="BN989" s="116"/>
      <c r="BO989" s="116"/>
      <c r="BP989" s="125"/>
      <c r="BQ989" s="116"/>
    </row>
    <row r="990">
      <c r="A990" s="116"/>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c r="AA990" s="116"/>
      <c r="AB990" s="116"/>
      <c r="AC990" s="116"/>
      <c r="AD990" s="116"/>
      <c r="AE990" s="116"/>
      <c r="AF990" s="116"/>
      <c r="AG990" s="116"/>
      <c r="AH990" s="116"/>
      <c r="AI990" s="116"/>
      <c r="AJ990" s="116"/>
      <c r="AK990" s="116"/>
      <c r="AL990" s="116"/>
      <c r="AM990" s="116"/>
      <c r="AN990" s="116"/>
      <c r="AO990" s="116"/>
      <c r="AP990" s="116"/>
      <c r="AQ990" s="116"/>
      <c r="AR990" s="116"/>
      <c r="AS990" s="116"/>
      <c r="AT990" s="116"/>
      <c r="AU990" s="116"/>
      <c r="AV990" s="116"/>
      <c r="AW990" s="116"/>
      <c r="AX990" s="116"/>
      <c r="AY990" s="116"/>
      <c r="AZ990" s="116"/>
      <c r="BA990" s="116"/>
      <c r="BB990" s="116"/>
      <c r="BC990" s="116"/>
      <c r="BD990" s="116"/>
      <c r="BE990" s="116"/>
      <c r="BF990" s="116"/>
      <c r="BG990" s="116"/>
      <c r="BH990" s="124"/>
      <c r="BI990" s="124"/>
      <c r="BJ990" s="116"/>
      <c r="BK990" s="116"/>
      <c r="BL990" s="116"/>
      <c r="BM990" s="116"/>
      <c r="BN990" s="116"/>
      <c r="BO990" s="116"/>
      <c r="BP990" s="125"/>
      <c r="BQ990" s="116"/>
    </row>
    <row r="991">
      <c r="A991" s="116"/>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c r="AA991" s="116"/>
      <c r="AB991" s="116"/>
      <c r="AC991" s="116"/>
      <c r="AD991" s="116"/>
      <c r="AE991" s="116"/>
      <c r="AF991" s="116"/>
      <c r="AG991" s="116"/>
      <c r="AH991" s="116"/>
      <c r="AI991" s="116"/>
      <c r="AJ991" s="116"/>
      <c r="AK991" s="116"/>
      <c r="AL991" s="116"/>
      <c r="AM991" s="116"/>
      <c r="AN991" s="116"/>
      <c r="AO991" s="116"/>
      <c r="AP991" s="116"/>
      <c r="AQ991" s="116"/>
      <c r="AR991" s="116"/>
      <c r="AS991" s="116"/>
      <c r="AT991" s="116"/>
      <c r="AU991" s="116"/>
      <c r="AV991" s="116"/>
      <c r="AW991" s="116"/>
      <c r="AX991" s="116"/>
      <c r="AY991" s="116"/>
      <c r="AZ991" s="116"/>
      <c r="BA991" s="116"/>
      <c r="BB991" s="116"/>
      <c r="BC991" s="116"/>
      <c r="BD991" s="116"/>
      <c r="BE991" s="116"/>
      <c r="BF991" s="116"/>
      <c r="BG991" s="116"/>
      <c r="BH991" s="124"/>
      <c r="BI991" s="124"/>
      <c r="BJ991" s="116"/>
      <c r="BK991" s="116"/>
      <c r="BL991" s="116"/>
      <c r="BM991" s="116"/>
      <c r="BN991" s="116"/>
      <c r="BO991" s="116"/>
      <c r="BP991" s="125"/>
      <c r="BQ991" s="116"/>
    </row>
    <row r="992">
      <c r="A992" s="116"/>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c r="AA992" s="116"/>
      <c r="AB992" s="116"/>
      <c r="AC992" s="116"/>
      <c r="AD992" s="116"/>
      <c r="AE992" s="116"/>
      <c r="AF992" s="116"/>
      <c r="AG992" s="116"/>
      <c r="AH992" s="116"/>
      <c r="AI992" s="116"/>
      <c r="AJ992" s="116"/>
      <c r="AK992" s="116"/>
      <c r="AL992" s="116"/>
      <c r="AM992" s="116"/>
      <c r="AN992" s="116"/>
      <c r="AO992" s="116"/>
      <c r="AP992" s="116"/>
      <c r="AQ992" s="116"/>
      <c r="AR992" s="116"/>
      <c r="AS992" s="116"/>
      <c r="AT992" s="116"/>
      <c r="AU992" s="116"/>
      <c r="AV992" s="116"/>
      <c r="AW992" s="116"/>
      <c r="AX992" s="116"/>
      <c r="AY992" s="116"/>
      <c r="AZ992" s="116"/>
      <c r="BA992" s="116"/>
      <c r="BB992" s="116"/>
      <c r="BC992" s="116"/>
      <c r="BD992" s="116"/>
      <c r="BE992" s="116"/>
      <c r="BF992" s="116"/>
      <c r="BG992" s="116"/>
      <c r="BH992" s="124"/>
      <c r="BI992" s="124"/>
      <c r="BJ992" s="116"/>
      <c r="BK992" s="116"/>
      <c r="BL992" s="116"/>
      <c r="BM992" s="116"/>
      <c r="BN992" s="116"/>
      <c r="BO992" s="116"/>
      <c r="BP992" s="125"/>
      <c r="BQ992" s="116"/>
    </row>
    <row r="993">
      <c r="A993" s="116"/>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c r="AA993" s="116"/>
      <c r="AB993" s="116"/>
      <c r="AC993" s="116"/>
      <c r="AD993" s="116"/>
      <c r="AE993" s="116"/>
      <c r="AF993" s="116"/>
      <c r="AG993" s="116"/>
      <c r="AH993" s="116"/>
      <c r="AI993" s="116"/>
      <c r="AJ993" s="116"/>
      <c r="AK993" s="116"/>
      <c r="AL993" s="116"/>
      <c r="AM993" s="116"/>
      <c r="AN993" s="116"/>
      <c r="AO993" s="116"/>
      <c r="AP993" s="116"/>
      <c r="AQ993" s="116"/>
      <c r="AR993" s="116"/>
      <c r="AS993" s="116"/>
      <c r="AT993" s="116"/>
      <c r="AU993" s="116"/>
      <c r="AV993" s="116"/>
      <c r="AW993" s="116"/>
      <c r="AX993" s="116"/>
      <c r="AY993" s="116"/>
      <c r="AZ993" s="116"/>
      <c r="BA993" s="116"/>
      <c r="BB993" s="116"/>
      <c r="BC993" s="116"/>
      <c r="BD993" s="116"/>
      <c r="BE993" s="116"/>
      <c r="BF993" s="116"/>
      <c r="BG993" s="116"/>
      <c r="BH993" s="124"/>
      <c r="BI993" s="124"/>
      <c r="BJ993" s="116"/>
      <c r="BK993" s="116"/>
      <c r="BL993" s="116"/>
      <c r="BM993" s="116"/>
      <c r="BN993" s="116"/>
      <c r="BO993" s="116"/>
      <c r="BP993" s="125"/>
      <c r="BQ993" s="116"/>
    </row>
    <row r="994">
      <c r="A994" s="116"/>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c r="AA994" s="116"/>
      <c r="AB994" s="116"/>
      <c r="AC994" s="116"/>
      <c r="AD994" s="116"/>
      <c r="AE994" s="116"/>
      <c r="AF994" s="116"/>
      <c r="AG994" s="116"/>
      <c r="AH994" s="116"/>
      <c r="AI994" s="116"/>
      <c r="AJ994" s="116"/>
      <c r="AK994" s="116"/>
      <c r="AL994" s="116"/>
      <c r="AM994" s="116"/>
      <c r="AN994" s="116"/>
      <c r="AO994" s="116"/>
      <c r="AP994" s="116"/>
      <c r="AQ994" s="116"/>
      <c r="AR994" s="116"/>
      <c r="AS994" s="116"/>
      <c r="AT994" s="116"/>
      <c r="AU994" s="116"/>
      <c r="AV994" s="116"/>
      <c r="AW994" s="116"/>
      <c r="AX994" s="116"/>
      <c r="AY994" s="116"/>
      <c r="AZ994" s="116"/>
      <c r="BA994" s="116"/>
      <c r="BB994" s="116"/>
      <c r="BC994" s="116"/>
      <c r="BD994" s="116"/>
      <c r="BE994" s="116"/>
      <c r="BF994" s="116"/>
      <c r="BG994" s="116"/>
      <c r="BH994" s="124"/>
      <c r="BI994" s="124"/>
      <c r="BJ994" s="116"/>
      <c r="BK994" s="116"/>
      <c r="BL994" s="116"/>
      <c r="BM994" s="116"/>
      <c r="BN994" s="116"/>
      <c r="BO994" s="116"/>
      <c r="BP994" s="125"/>
      <c r="BQ994" s="116"/>
    </row>
    <row r="995">
      <c r="A995" s="116"/>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c r="AA995" s="116"/>
      <c r="AB995" s="116"/>
      <c r="AC995" s="116"/>
      <c r="AD995" s="116"/>
      <c r="AE995" s="116"/>
      <c r="AF995" s="116"/>
      <c r="AG995" s="116"/>
      <c r="AH995" s="116"/>
      <c r="AI995" s="116"/>
      <c r="AJ995" s="116"/>
      <c r="AK995" s="116"/>
      <c r="AL995" s="116"/>
      <c r="AM995" s="116"/>
      <c r="AN995" s="116"/>
      <c r="AO995" s="116"/>
      <c r="AP995" s="116"/>
      <c r="AQ995" s="116"/>
      <c r="AR995" s="116"/>
      <c r="AS995" s="116"/>
      <c r="AT995" s="116"/>
      <c r="AU995" s="116"/>
      <c r="AV995" s="116"/>
      <c r="AW995" s="116"/>
      <c r="AX995" s="116"/>
      <c r="AY995" s="116"/>
      <c r="AZ995" s="116"/>
      <c r="BA995" s="116"/>
      <c r="BB995" s="116"/>
      <c r="BC995" s="116"/>
      <c r="BD995" s="116"/>
      <c r="BE995" s="116"/>
      <c r="BF995" s="116"/>
      <c r="BG995" s="116"/>
      <c r="BH995" s="124"/>
      <c r="BI995" s="124"/>
      <c r="BJ995" s="116"/>
      <c r="BK995" s="116"/>
      <c r="BL995" s="116"/>
      <c r="BM995" s="116"/>
      <c r="BN995" s="116"/>
      <c r="BO995" s="116"/>
      <c r="BP995" s="125"/>
      <c r="BQ995" s="116"/>
    </row>
    <row r="996">
      <c r="A996" s="11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c r="AA996" s="116"/>
      <c r="AB996" s="116"/>
      <c r="AC996" s="116"/>
      <c r="AD996" s="116"/>
      <c r="AE996" s="116"/>
      <c r="AF996" s="116"/>
      <c r="AG996" s="116"/>
      <c r="AH996" s="116"/>
      <c r="AI996" s="116"/>
      <c r="AJ996" s="116"/>
      <c r="AK996" s="116"/>
      <c r="AL996" s="116"/>
      <c r="AM996" s="116"/>
      <c r="AN996" s="116"/>
      <c r="AO996" s="116"/>
      <c r="AP996" s="116"/>
      <c r="AQ996" s="116"/>
      <c r="AR996" s="116"/>
      <c r="AS996" s="116"/>
      <c r="AT996" s="116"/>
      <c r="AU996" s="116"/>
      <c r="AV996" s="116"/>
      <c r="AW996" s="116"/>
      <c r="AX996" s="116"/>
      <c r="AY996" s="116"/>
      <c r="AZ996" s="116"/>
      <c r="BA996" s="116"/>
      <c r="BB996" s="116"/>
      <c r="BC996" s="116"/>
      <c r="BD996" s="116"/>
      <c r="BE996" s="116"/>
      <c r="BF996" s="116"/>
      <c r="BG996" s="116"/>
      <c r="BH996" s="124"/>
      <c r="BI996" s="124"/>
      <c r="BJ996" s="116"/>
      <c r="BK996" s="116"/>
      <c r="BL996" s="116"/>
      <c r="BM996" s="116"/>
      <c r="BN996" s="116"/>
      <c r="BO996" s="116"/>
      <c r="BP996" s="125"/>
      <c r="BQ996" s="116"/>
    </row>
    <row r="997">
      <c r="A997" s="116"/>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c r="AA997" s="116"/>
      <c r="AB997" s="116"/>
      <c r="AC997" s="116"/>
      <c r="AD997" s="116"/>
      <c r="AE997" s="116"/>
      <c r="AF997" s="116"/>
      <c r="AG997" s="116"/>
      <c r="AH997" s="116"/>
      <c r="AI997" s="116"/>
      <c r="AJ997" s="116"/>
      <c r="AK997" s="116"/>
      <c r="AL997" s="116"/>
      <c r="AM997" s="116"/>
      <c r="AN997" s="116"/>
      <c r="AO997" s="116"/>
      <c r="AP997" s="116"/>
      <c r="AQ997" s="116"/>
      <c r="AR997" s="116"/>
      <c r="AS997" s="116"/>
      <c r="AT997" s="116"/>
      <c r="AU997" s="116"/>
      <c r="AV997" s="116"/>
      <c r="AW997" s="116"/>
      <c r="AX997" s="116"/>
      <c r="AY997" s="116"/>
      <c r="AZ997" s="116"/>
      <c r="BA997" s="116"/>
      <c r="BB997" s="116"/>
      <c r="BC997" s="116"/>
      <c r="BD997" s="116"/>
      <c r="BE997" s="116"/>
      <c r="BF997" s="116"/>
      <c r="BG997" s="116"/>
      <c r="BH997" s="124"/>
      <c r="BI997" s="124"/>
      <c r="BJ997" s="116"/>
      <c r="BK997" s="116"/>
      <c r="BL997" s="116"/>
      <c r="BM997" s="116"/>
      <c r="BN997" s="116"/>
      <c r="BO997" s="116"/>
      <c r="BP997" s="125"/>
      <c r="BQ997" s="116"/>
    </row>
    <row r="998">
      <c r="A998" s="116"/>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c r="AA998" s="116"/>
      <c r="AB998" s="116"/>
      <c r="AC998" s="116"/>
      <c r="AD998" s="116"/>
      <c r="AE998" s="116"/>
      <c r="AF998" s="116"/>
      <c r="AG998" s="116"/>
      <c r="AH998" s="116"/>
      <c r="AI998" s="116"/>
      <c r="AJ998" s="116"/>
      <c r="AK998" s="116"/>
      <c r="AL998" s="116"/>
      <c r="AM998" s="116"/>
      <c r="AN998" s="116"/>
      <c r="AO998" s="116"/>
      <c r="AP998" s="116"/>
      <c r="AQ998" s="116"/>
      <c r="AR998" s="116"/>
      <c r="AS998" s="116"/>
      <c r="AT998" s="116"/>
      <c r="AU998" s="116"/>
      <c r="AV998" s="116"/>
      <c r="AW998" s="116"/>
      <c r="AX998" s="116"/>
      <c r="AY998" s="116"/>
      <c r="AZ998" s="116"/>
      <c r="BA998" s="116"/>
      <c r="BB998" s="116"/>
      <c r="BC998" s="116"/>
      <c r="BD998" s="116"/>
      <c r="BE998" s="116"/>
      <c r="BF998" s="116"/>
      <c r="BG998" s="116"/>
      <c r="BH998" s="124"/>
      <c r="BI998" s="124"/>
      <c r="BJ998" s="116"/>
      <c r="BK998" s="116"/>
      <c r="BL998" s="116"/>
      <c r="BM998" s="116"/>
      <c r="BN998" s="116"/>
      <c r="BO998" s="116"/>
      <c r="BP998" s="125"/>
      <c r="BQ998" s="116"/>
    </row>
    <row r="999">
      <c r="A999" s="116"/>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c r="AA999" s="116"/>
      <c r="AB999" s="116"/>
      <c r="AC999" s="116"/>
      <c r="AD999" s="116"/>
      <c r="AE999" s="116"/>
      <c r="AF999" s="116"/>
      <c r="AG999" s="116"/>
      <c r="AH999" s="116"/>
      <c r="AI999" s="116"/>
      <c r="AJ999" s="116"/>
      <c r="AK999" s="116"/>
      <c r="AL999" s="116"/>
      <c r="AM999" s="116"/>
      <c r="AN999" s="116"/>
      <c r="AO999" s="116"/>
      <c r="AP999" s="116"/>
      <c r="AQ999" s="116"/>
      <c r="AR999" s="116"/>
      <c r="AS999" s="116"/>
      <c r="AT999" s="116"/>
      <c r="AU999" s="116"/>
      <c r="AV999" s="116"/>
      <c r="AW999" s="116"/>
      <c r="AX999" s="116"/>
      <c r="AY999" s="116"/>
      <c r="AZ999" s="116"/>
      <c r="BA999" s="116"/>
      <c r="BB999" s="116"/>
      <c r="BC999" s="116"/>
      <c r="BD999" s="116"/>
      <c r="BE999" s="116"/>
      <c r="BF999" s="116"/>
      <c r="BG999" s="116"/>
      <c r="BH999" s="124"/>
      <c r="BI999" s="124"/>
      <c r="BJ999" s="116"/>
      <c r="BK999" s="116"/>
      <c r="BL999" s="116"/>
      <c r="BM999" s="116"/>
      <c r="BN999" s="116"/>
      <c r="BO999" s="116"/>
      <c r="BP999" s="125"/>
      <c r="BQ999" s="116"/>
    </row>
    <row r="1000">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c r="AA1000" s="116"/>
      <c r="AB1000" s="116"/>
      <c r="AC1000" s="116"/>
      <c r="AD1000" s="116"/>
      <c r="AE1000" s="116"/>
      <c r="AF1000" s="116"/>
      <c r="AG1000" s="116"/>
      <c r="AH1000" s="116"/>
      <c r="AI1000" s="116"/>
      <c r="AJ1000" s="116"/>
      <c r="AK1000" s="116"/>
      <c r="AL1000" s="116"/>
      <c r="AM1000" s="116"/>
      <c r="AN1000" s="116"/>
      <c r="AO1000" s="116"/>
      <c r="AP1000" s="116"/>
      <c r="AQ1000" s="116"/>
      <c r="AR1000" s="116"/>
      <c r="AS1000" s="116"/>
      <c r="AT1000" s="116"/>
      <c r="AU1000" s="116"/>
      <c r="AV1000" s="116"/>
      <c r="AW1000" s="116"/>
      <c r="AX1000" s="116"/>
      <c r="AY1000" s="116"/>
      <c r="AZ1000" s="116"/>
      <c r="BA1000" s="116"/>
      <c r="BB1000" s="116"/>
      <c r="BC1000" s="116"/>
      <c r="BD1000" s="116"/>
      <c r="BE1000" s="116"/>
      <c r="BF1000" s="116"/>
      <c r="BG1000" s="116"/>
      <c r="BH1000" s="124"/>
      <c r="BI1000" s="124"/>
      <c r="BJ1000" s="116"/>
      <c r="BK1000" s="116"/>
      <c r="BL1000" s="116"/>
      <c r="BM1000" s="116"/>
      <c r="BN1000" s="116"/>
      <c r="BO1000" s="116"/>
      <c r="BP1000" s="125"/>
      <c r="BQ1000" s="116"/>
    </row>
    <row r="1001">
      <c r="A1001" s="116"/>
      <c r="B1001" s="116"/>
      <c r="C1001" s="116"/>
      <c r="D1001" s="116"/>
      <c r="E1001" s="116"/>
      <c r="F1001" s="116"/>
      <c r="G1001" s="116"/>
      <c r="H1001" s="116"/>
      <c r="I1001" s="116"/>
      <c r="J1001" s="116"/>
      <c r="K1001" s="116"/>
      <c r="L1001" s="116"/>
      <c r="M1001" s="116"/>
      <c r="N1001" s="116"/>
      <c r="O1001" s="116"/>
      <c r="P1001" s="116"/>
      <c r="Q1001" s="116"/>
      <c r="R1001" s="116"/>
      <c r="S1001" s="116"/>
      <c r="T1001" s="116"/>
      <c r="U1001" s="116"/>
      <c r="V1001" s="116"/>
      <c r="W1001" s="116"/>
      <c r="X1001" s="116"/>
      <c r="Y1001" s="116"/>
      <c r="Z1001" s="116"/>
      <c r="AA1001" s="116"/>
      <c r="AB1001" s="116"/>
      <c r="AC1001" s="116"/>
      <c r="AD1001" s="116"/>
      <c r="AE1001" s="116"/>
      <c r="AF1001" s="116"/>
      <c r="AG1001" s="116"/>
      <c r="AH1001" s="116"/>
      <c r="AI1001" s="116"/>
      <c r="AJ1001" s="116"/>
      <c r="AK1001" s="116"/>
      <c r="AL1001" s="116"/>
      <c r="AM1001" s="116"/>
      <c r="AN1001" s="116"/>
      <c r="AO1001" s="116"/>
      <c r="AP1001" s="116"/>
      <c r="AQ1001" s="116"/>
      <c r="AR1001" s="116"/>
      <c r="AS1001" s="116"/>
      <c r="AT1001" s="116"/>
      <c r="AU1001" s="116"/>
      <c r="AV1001" s="116"/>
      <c r="AW1001" s="116"/>
      <c r="AX1001" s="116"/>
      <c r="AY1001" s="116"/>
      <c r="AZ1001" s="116"/>
      <c r="BA1001" s="116"/>
      <c r="BB1001" s="116"/>
      <c r="BC1001" s="116"/>
      <c r="BD1001" s="116"/>
      <c r="BE1001" s="116"/>
      <c r="BF1001" s="116"/>
      <c r="BG1001" s="116"/>
      <c r="BH1001" s="124"/>
      <c r="BI1001" s="124"/>
      <c r="BJ1001" s="116"/>
      <c r="BK1001" s="116"/>
      <c r="BL1001" s="116"/>
      <c r="BM1001" s="116"/>
      <c r="BN1001" s="116"/>
      <c r="BO1001" s="116"/>
      <c r="BP1001" s="125"/>
      <c r="BQ1001" s="116"/>
    </row>
  </sheetData>
  <autoFilter ref="$A$1:$BQ$32">
    <sortState ref="A1:BQ32">
      <sortCondition ref="G1:G32"/>
    </sortState>
  </autoFilter>
  <customSheetViews>
    <customSheetView guid="{ED4B0A62-97F8-4E9B-A355-09B7A03BC5F2}" filter="1" showAutoFilter="1">
      <autoFilter ref="$A$1:$BQ$33"/>
    </customSheetView>
  </customSheetViews>
  <dataValidations>
    <dataValidation type="list" allowBlank="1" showErrorMessage="1" sqref="AQ8">
      <formula1>"No Dependency,1,2,3,4,5,6,7,8,9,10,11,12,13,14,15,16,17,18,19,20,30,50,TBD,32,22,68"</formula1>
    </dataValidation>
    <dataValidation type="list" allowBlank="1" showErrorMessage="1" sqref="AQ14">
      <formula1>"No Dependency,1,2,3,4,5,6,7,8,9,10,11,12,13,14,15,16,17,18,19,20,30,50,TBD,32,22,120,80"</formula1>
    </dataValidation>
    <dataValidation type="list" allowBlank="1" showErrorMessage="1" sqref="S2 AU2:AU3 BM2:BM4 AO2:AO5 AQ3:AQ7 BM7:BM11 AQ9:AQ13 BM13:BM15 BC3:BC17 BM17:BM21 O2:O26 BC19:BC28 M2:M30 O28:O30 Q2:Q30 S4:S30 U2:U30 W2:W30 Y2:Y30 AA2:AA30 AC2:AC30 AE2:AE30 AG2:AG30 AI2:AI30 AK2:AK30 AM2:AM30 AO7:AO30 AQ15:AQ30 AS2:AS30 AU5:AU30 AW3:AW30 AY2:AY30 BA2:BA30 BC30 BE2:BE30 BG2:BG30 BI3:BI30 BK3:BK30 BM23:BM30 BO2:BO30 BQ2:BQ30">
      <formula1>"No Dependency,1,2,3,4,5,6,7,8,9,10,11,12,13,14,15,16,17,18,19,20,30,50,TBD,32,22,40"</formula1>
    </dataValidation>
    <dataValidation type="list" allowBlank="1" showErrorMessage="1" sqref="S3">
      <formula1>"No Dependency,1,2,3,4,5,6,7,8,9,10,11,12,13,14,15,16,17,18,19,20,30,TBD,23,25,37,148,74"</formula1>
    </dataValidation>
    <dataValidation type="list" allowBlank="1" showErrorMessage="1" sqref="BI2">
      <formula1>"No Dependency,1,2,3,4,5,6,7,8,9,10,11,12,13,14,15,16,17,18,19,20,30,50,TBD,32,22,40,36"</formula1>
    </dataValidation>
    <dataValidation type="list" allowBlank="1" showErrorMessage="1" sqref="AQ2">
      <formula1>"No Dependency,1,2,3,4,5,6,7,8,9,10,11,12,13,14,15,16,17,18,19,20,30,50,TBD,32,22,80,60"</formula1>
    </dataValidation>
    <dataValidation type="list" allowBlank="1" showErrorMessage="1" sqref="BC29">
      <formula1>"No Dependency,1,2,3,4,5,6,7,8,9,10,11,12,13,14,15,16,17,18,19,20,30,50,TBD,100,66"</formula1>
    </dataValidation>
    <dataValidation type="list" allowBlank="1" showErrorMessage="1" sqref="AW2">
      <formula1>"No Dependency,1,2,3,4,5,6,7,8,9,10,11,12,13,14,15,16,17,18,19,20,30,50,TBD,32,22,40,33"</formula1>
    </dataValidation>
    <dataValidation type="list" allowBlank="1" showErrorMessage="1" sqref="BC2">
      <formula1>"No Dependency,1,2,3,4,5,6,7,8,9,10,11,12,13,14,15,16,17,18,19,20,30,50,TBD,32,22,40,21"</formula1>
    </dataValidation>
    <dataValidation type="list" allowBlank="1" showErrorMessage="1" sqref="BM12">
      <formula1>"No Dependency,1,2,3,4,5,6,7,8,9,10,11,12,13,14,15,16,17,18,19,20,30,TBD,Already captured"</formula1>
    </dataValidation>
    <dataValidation type="list" allowBlank="1" showErrorMessage="1" sqref="BC18">
      <formula1>"No Dependency,1,2,3,4,5,6,7,8,9,10,11,12,13,14,15,16,17,18,19,20,30,50,TBD,32,22,40,60"</formula1>
    </dataValidation>
    <dataValidation type="list" allowBlank="1" showErrorMessage="1" sqref="BM5 BM16 BM22">
      <formula1>"No Dependency,1,2,3,4,5,6,7,8,9,10,11,12,13,14,15,16,17,18,19,20,30,50,Already captured,TBD"</formula1>
    </dataValidation>
    <dataValidation type="list" allowBlank="1" showErrorMessage="1" sqref="BM6">
      <formula1>"No Dependency,1,2,3,4,5,6,7,8,9,10,11,12,13,14,15,16,17,18,19,20,23,30,50,TBD,Already captured"</formula1>
    </dataValidation>
    <dataValidation type="list" allowBlank="1" showErrorMessage="1" sqref="AU4">
      <formula1>"No Dependency,1,2,3,4,5,6,7,8,9,10,11,12,13,14,15,16,17,18,19,20,30,50,TBD,32,22,40,200"</formula1>
    </dataValidation>
    <dataValidation type="list" allowBlank="1" showErrorMessage="1" sqref="AO6">
      <formula1>"No Dependency,1,2,3,4,5,6,7,8,9,10,11,12,13,14,15,16,17,18,19,20,26,30,62,22,44,66"</formula1>
    </dataValidation>
    <dataValidation type="list" allowBlank="1" showErrorMessage="1" sqref="O27">
      <formula1>"No Dependency,1,2,3,4,5,6,7,8,9,10,11,12,13,14,15,16,17,18,19,20,30,TBD,21,27"</formula1>
    </dataValidation>
    <dataValidation type="list" allowBlank="1" showErrorMessage="1" sqref="BK2">
      <formula1>"No Dependency,1,2,3,4,5,6,7,8,9,10,11,12,13,14,15,16,17,18,19,20,30,50,42,TBD,32"</formula1>
    </dataValidation>
  </dataValidations>
  <hyperlinks>
    <hyperlink r:id="rId4" ref="B2"/>
    <hyperlink r:id="rId5" ref="C2"/>
    <hyperlink r:id="rId6" ref="D2"/>
    <hyperlink r:id="rId7" ref="E2"/>
    <hyperlink r:id="rId8" ref="F2"/>
    <hyperlink r:id="rId9" ref="B3"/>
    <hyperlink r:id="rId10" ref="C3"/>
    <hyperlink r:id="rId11" ref="D3"/>
    <hyperlink r:id="rId12" ref="E3"/>
    <hyperlink r:id="rId13" ref="F3"/>
    <hyperlink r:id="rId14" ref="B4"/>
    <hyperlink r:id="rId15" ref="C4"/>
    <hyperlink r:id="rId16" ref="D4"/>
    <hyperlink r:id="rId17" ref="E4"/>
    <hyperlink r:id="rId18" ref="C5"/>
    <hyperlink r:id="rId19" ref="D5"/>
    <hyperlink r:id="rId20" ref="B6"/>
    <hyperlink r:id="rId21" ref="C6"/>
    <hyperlink r:id="rId22" ref="D6"/>
    <hyperlink r:id="rId23" ref="E6"/>
    <hyperlink r:id="rId24" ref="F6"/>
    <hyperlink r:id="rId25" ref="D7"/>
    <hyperlink r:id="rId26" ref="F7"/>
    <hyperlink r:id="rId27" ref="B8"/>
    <hyperlink r:id="rId28" ref="C8"/>
    <hyperlink r:id="rId29" ref="D8"/>
    <hyperlink r:id="rId30" ref="E8"/>
    <hyperlink r:id="rId31" ref="F8"/>
    <hyperlink r:id="rId32" ref="B9"/>
    <hyperlink r:id="rId33" ref="C9"/>
    <hyperlink r:id="rId34" ref="D9"/>
    <hyperlink r:id="rId35" ref="E9"/>
    <hyperlink r:id="rId36" ref="F9"/>
    <hyperlink r:id="rId37" ref="B10"/>
    <hyperlink r:id="rId38" ref="C10"/>
    <hyperlink r:id="rId39" ref="D10"/>
    <hyperlink r:id="rId40" ref="E10"/>
    <hyperlink r:id="rId41" ref="F10"/>
    <hyperlink r:id="rId42" ref="C11"/>
    <hyperlink r:id="rId43" ref="D11"/>
    <hyperlink r:id="rId44" ref="F11"/>
    <hyperlink r:id="rId45" ref="B12"/>
    <hyperlink r:id="rId46" ref="C12"/>
    <hyperlink r:id="rId47" ref="D12"/>
    <hyperlink r:id="rId48" ref="E12"/>
    <hyperlink r:id="rId49" ref="B13"/>
    <hyperlink r:id="rId50" ref="C13"/>
    <hyperlink r:id="rId51" ref="D13"/>
    <hyperlink r:id="rId52" ref="E13"/>
    <hyperlink r:id="rId53" ref="F13"/>
    <hyperlink r:id="rId54" ref="B14"/>
    <hyperlink r:id="rId55" ref="C14"/>
    <hyperlink r:id="rId56" ref="D14"/>
    <hyperlink r:id="rId57" ref="E14"/>
    <hyperlink r:id="rId58" ref="B15"/>
    <hyperlink r:id="rId59" ref="C15"/>
    <hyperlink r:id="rId60" ref="D15"/>
    <hyperlink r:id="rId61" ref="E15"/>
    <hyperlink r:id="rId62" ref="F15"/>
    <hyperlink r:id="rId63" ref="B16"/>
    <hyperlink r:id="rId64" ref="D16"/>
    <hyperlink r:id="rId65" ref="E16"/>
    <hyperlink r:id="rId66" ref="B17"/>
    <hyperlink r:id="rId67" ref="C17"/>
    <hyperlink r:id="rId68" ref="D17"/>
    <hyperlink r:id="rId69" ref="F17"/>
    <hyperlink r:id="rId70" ref="B18"/>
    <hyperlink r:id="rId71" ref="C18"/>
    <hyperlink r:id="rId72" ref="D18"/>
    <hyperlink r:id="rId73" ref="E18"/>
    <hyperlink r:id="rId74" ref="F18"/>
    <hyperlink r:id="rId75" ref="C19"/>
    <hyperlink r:id="rId76" ref="D19"/>
    <hyperlink r:id="rId77" ref="E19"/>
    <hyperlink r:id="rId78" ref="F19"/>
    <hyperlink r:id="rId79" ref="B20"/>
    <hyperlink r:id="rId80" ref="C20"/>
    <hyperlink r:id="rId81" ref="D20"/>
    <hyperlink r:id="rId82" ref="B21"/>
    <hyperlink r:id="rId83" ref="C21"/>
    <hyperlink r:id="rId84" ref="D21"/>
    <hyperlink r:id="rId85" ref="E21"/>
    <hyperlink r:id="rId86" ref="F21"/>
    <hyperlink r:id="rId87" location="Pod-reference-(subset)" ref="B22"/>
    <hyperlink r:id="rId88" ref="C22"/>
    <hyperlink r:id="rId89" ref="D22"/>
    <hyperlink r:id="rId90" ref="E22"/>
    <hyperlink r:id="rId91" ref="F22"/>
    <hyperlink r:id="rId92" location="slide=id.g3d2583366a7_0_348" ref="B23"/>
    <hyperlink r:id="rId93" ref="E23"/>
    <hyperlink r:id="rId94" ref="F23"/>
    <hyperlink r:id="rId95" ref="B24"/>
    <hyperlink r:id="rId96" ref="C24"/>
    <hyperlink r:id="rId97" ref="D24"/>
    <hyperlink r:id="rId98" ref="E24"/>
    <hyperlink r:id="rId99" ref="B25"/>
    <hyperlink r:id="rId100" ref="C25"/>
    <hyperlink r:id="rId101" ref="D25"/>
    <hyperlink r:id="rId102" ref="E25"/>
    <hyperlink r:id="rId103" ref="F25"/>
    <hyperlink r:id="rId104" ref="B26"/>
    <hyperlink r:id="rId105" ref="C26"/>
    <hyperlink r:id="rId106" ref="D26"/>
    <hyperlink r:id="rId107" ref="E26"/>
    <hyperlink r:id="rId108" ref="F26"/>
    <hyperlink r:id="rId109" ref="B27"/>
    <hyperlink r:id="rId110" ref="C27"/>
    <hyperlink r:id="rId111" ref="D27"/>
    <hyperlink r:id="rId112" ref="E27"/>
    <hyperlink r:id="rId113" ref="F27"/>
    <hyperlink r:id="rId114" ref="B28"/>
    <hyperlink r:id="rId115" ref="C28"/>
    <hyperlink r:id="rId116" ref="D28"/>
    <hyperlink r:id="rId117" ref="E28"/>
    <hyperlink r:id="rId118" ref="B29"/>
    <hyperlink r:id="rId119" ref="C29"/>
    <hyperlink r:id="rId120" ref="D29"/>
    <hyperlink r:id="rId121" ref="B30"/>
    <hyperlink r:id="rId122" ref="C30"/>
    <hyperlink r:id="rId123" ref="D30"/>
    <hyperlink r:id="rId124" ref="E30"/>
  </hyperlinks>
  <drawing r:id="rId125"/>
  <legacyDrawing r:id="rId12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topLeftCell="I1" activePane="topRight" state="frozen"/>
      <selection activeCell="J2" sqref="J2" pane="topRight"/>
    </sheetView>
  </sheetViews>
  <sheetFormatPr customHeight="1" defaultColWidth="12.63" defaultRowHeight="15.75"/>
  <cols>
    <col hidden="1" min="1" max="1" width="12.63"/>
    <col hidden="1" min="3" max="3" width="12.63"/>
    <col customWidth="1" min="4" max="4" width="54.0"/>
    <col customWidth="1" min="7" max="7" width="15.63"/>
    <col customWidth="1" min="8" max="8" width="16.0"/>
    <col customWidth="1" min="9" max="9" width="8.25"/>
    <col customWidth="1" min="10" max="10" width="21.13"/>
    <col customWidth="1" min="11" max="11" width="41.88"/>
  </cols>
  <sheetData>
    <row r="1" ht="30.0" customHeight="1">
      <c r="A1" s="1" t="s">
        <v>0</v>
      </c>
      <c r="B1" s="1" t="s">
        <v>1</v>
      </c>
      <c r="C1" s="2" t="s">
        <v>2</v>
      </c>
      <c r="D1" s="2" t="s">
        <v>3</v>
      </c>
      <c r="E1" s="3" t="s">
        <v>4</v>
      </c>
      <c r="F1" s="3" t="s">
        <v>5</v>
      </c>
      <c r="G1" s="4" t="s">
        <v>6</v>
      </c>
      <c r="H1" s="4" t="s">
        <v>7</v>
      </c>
      <c r="I1" s="5" t="s">
        <v>8</v>
      </c>
      <c r="J1" s="5" t="s">
        <v>9</v>
      </c>
      <c r="K1" s="5" t="s">
        <v>10</v>
      </c>
      <c r="L1" s="6" t="s">
        <v>11</v>
      </c>
      <c r="M1" s="6" t="s">
        <v>12</v>
      </c>
      <c r="N1" s="6" t="s">
        <v>13</v>
      </c>
      <c r="O1" s="6" t="s">
        <v>14</v>
      </c>
      <c r="P1" s="6" t="s">
        <v>15</v>
      </c>
      <c r="Q1" s="6" t="s">
        <v>16</v>
      </c>
      <c r="R1" s="6" t="s">
        <v>17</v>
      </c>
      <c r="S1" s="6" t="s">
        <v>18</v>
      </c>
      <c r="T1" s="6" t="s">
        <v>19</v>
      </c>
    </row>
    <row r="2">
      <c r="A2" s="7">
        <v>1.0</v>
      </c>
      <c r="B2" s="7">
        <v>1.0</v>
      </c>
      <c r="C2" s="7" t="s">
        <v>20</v>
      </c>
      <c r="D2" s="10" t="s">
        <v>21</v>
      </c>
      <c r="E2" s="20" t="s">
        <v>32</v>
      </c>
      <c r="F2" s="20" t="s">
        <v>58</v>
      </c>
      <c r="G2" s="27" t="s">
        <v>81</v>
      </c>
      <c r="H2" s="28" t="s">
        <v>93</v>
      </c>
      <c r="I2" s="30" t="s">
        <v>103</v>
      </c>
      <c r="J2" s="26" t="s">
        <v>108</v>
      </c>
      <c r="K2" s="32" t="s">
        <v>112</v>
      </c>
      <c r="L2" s="24"/>
      <c r="M2" s="24"/>
      <c r="N2" s="24"/>
      <c r="O2" s="24"/>
      <c r="P2" s="24"/>
      <c r="Q2" s="24"/>
      <c r="R2" s="24"/>
      <c r="S2" s="24"/>
      <c r="T2" s="24"/>
    </row>
    <row r="3">
      <c r="A3" s="7">
        <v>2.0</v>
      </c>
      <c r="B3" s="7">
        <v>2.0</v>
      </c>
      <c r="C3" s="7" t="s">
        <v>20</v>
      </c>
      <c r="D3" s="10" t="s">
        <v>114</v>
      </c>
      <c r="E3" s="20" t="s">
        <v>87</v>
      </c>
      <c r="F3" s="20" t="s">
        <v>120</v>
      </c>
      <c r="G3" s="36" t="s">
        <v>119</v>
      </c>
      <c r="H3" s="36" t="s">
        <v>123</v>
      </c>
      <c r="I3" s="30" t="s">
        <v>103</v>
      </c>
      <c r="J3" s="26" t="s">
        <v>108</v>
      </c>
      <c r="K3" s="37" t="s">
        <v>127</v>
      </c>
      <c r="L3" s="38"/>
      <c r="M3" s="24"/>
      <c r="N3" s="24"/>
      <c r="O3" s="24"/>
      <c r="P3" s="24"/>
      <c r="Q3" s="24"/>
      <c r="R3" s="24"/>
      <c r="S3" s="24"/>
      <c r="T3" s="24"/>
    </row>
    <row r="4">
      <c r="A4" s="7">
        <v>7.0</v>
      </c>
      <c r="B4" s="7">
        <v>3.0</v>
      </c>
      <c r="C4" s="7" t="s">
        <v>20</v>
      </c>
      <c r="D4" s="40" t="s">
        <v>130</v>
      </c>
      <c r="E4" s="20" t="s">
        <v>134</v>
      </c>
      <c r="F4" s="20" t="s">
        <v>136</v>
      </c>
      <c r="G4" s="36" t="s">
        <v>138</v>
      </c>
      <c r="H4" s="36" t="s">
        <v>139</v>
      </c>
      <c r="I4" s="30" t="s">
        <v>103</v>
      </c>
      <c r="J4" s="26" t="s">
        <v>108</v>
      </c>
      <c r="K4" s="32" t="s">
        <v>140</v>
      </c>
      <c r="L4" s="24"/>
      <c r="M4" s="24"/>
      <c r="N4" s="24"/>
      <c r="O4" s="24"/>
      <c r="P4" s="24"/>
      <c r="Q4" s="24"/>
      <c r="R4" s="24"/>
      <c r="S4" s="24"/>
      <c r="T4" s="24"/>
    </row>
    <row r="5">
      <c r="A5" s="42"/>
      <c r="B5" s="7">
        <v>4.0</v>
      </c>
      <c r="C5" s="7"/>
      <c r="D5" s="43" t="s">
        <v>144</v>
      </c>
      <c r="E5" s="20" t="s">
        <v>146</v>
      </c>
      <c r="F5" s="20" t="s">
        <v>147</v>
      </c>
      <c r="G5" s="44" t="s">
        <v>149</v>
      </c>
      <c r="H5" s="44" t="s">
        <v>149</v>
      </c>
      <c r="I5" s="30" t="s">
        <v>151</v>
      </c>
      <c r="J5" s="26" t="s">
        <v>152</v>
      </c>
      <c r="K5" s="32" t="s">
        <v>153</v>
      </c>
      <c r="L5" s="24"/>
      <c r="M5" s="24"/>
      <c r="N5" s="24"/>
      <c r="O5" s="24"/>
      <c r="P5" s="24"/>
      <c r="Q5" s="24"/>
      <c r="R5" s="24"/>
      <c r="S5" s="24"/>
      <c r="T5" s="24"/>
    </row>
    <row r="6">
      <c r="A6" s="42" t="s">
        <v>155</v>
      </c>
      <c r="B6" s="7">
        <v>5.0</v>
      </c>
      <c r="C6" s="7" t="s">
        <v>155</v>
      </c>
      <c r="D6" s="47" t="s">
        <v>156</v>
      </c>
      <c r="E6" s="48" t="s">
        <v>149</v>
      </c>
      <c r="F6" s="48" t="s">
        <v>149</v>
      </c>
      <c r="G6" s="44" t="s">
        <v>149</v>
      </c>
      <c r="H6" s="44" t="s">
        <v>149</v>
      </c>
      <c r="I6" s="30"/>
      <c r="J6" s="26" t="s">
        <v>152</v>
      </c>
      <c r="K6" s="32"/>
      <c r="L6" s="24"/>
      <c r="M6" s="24"/>
      <c r="N6" s="24"/>
      <c r="O6" s="24"/>
      <c r="P6" s="24"/>
      <c r="Q6" s="24"/>
      <c r="R6" s="24"/>
      <c r="S6" s="24"/>
      <c r="T6" s="24"/>
    </row>
    <row r="7">
      <c r="A7" s="7">
        <v>8.0</v>
      </c>
      <c r="B7" s="7">
        <v>6.0</v>
      </c>
      <c r="C7" s="7" t="s">
        <v>20</v>
      </c>
      <c r="D7" s="55" t="s">
        <v>161</v>
      </c>
      <c r="E7" s="20" t="s">
        <v>32</v>
      </c>
      <c r="F7" s="20" t="s">
        <v>58</v>
      </c>
      <c r="G7" s="36" t="s">
        <v>138</v>
      </c>
      <c r="H7" s="36" t="s">
        <v>169</v>
      </c>
      <c r="I7" s="30" t="s">
        <v>103</v>
      </c>
      <c r="J7" s="26" t="s">
        <v>108</v>
      </c>
      <c r="K7" s="32" t="s">
        <v>175</v>
      </c>
      <c r="L7" s="56"/>
      <c r="M7" s="24"/>
      <c r="N7" s="24"/>
      <c r="O7" s="24"/>
      <c r="P7" s="24"/>
      <c r="Q7" s="24"/>
      <c r="R7" s="24"/>
      <c r="S7" s="24"/>
      <c r="T7" s="24"/>
    </row>
    <row r="8">
      <c r="A8" s="7">
        <v>12.0</v>
      </c>
      <c r="B8" s="7">
        <v>7.0</v>
      </c>
      <c r="C8" s="7" t="s">
        <v>20</v>
      </c>
      <c r="D8" s="26" t="s">
        <v>182</v>
      </c>
      <c r="E8" s="52" t="s">
        <v>160</v>
      </c>
      <c r="F8" s="20" t="s">
        <v>186</v>
      </c>
      <c r="G8" s="50" t="s">
        <v>160</v>
      </c>
      <c r="H8" s="36" t="s">
        <v>187</v>
      </c>
      <c r="I8" s="30" t="s">
        <v>151</v>
      </c>
      <c r="J8" s="26" t="s">
        <v>152</v>
      </c>
      <c r="K8" s="32" t="s">
        <v>188</v>
      </c>
      <c r="L8" s="24"/>
      <c r="M8" s="24"/>
      <c r="N8" s="24"/>
      <c r="O8" s="24"/>
      <c r="P8" s="24"/>
      <c r="Q8" s="24"/>
      <c r="R8" s="24"/>
      <c r="S8" s="24"/>
      <c r="T8" s="24"/>
    </row>
    <row r="9">
      <c r="A9" s="7">
        <v>11.0</v>
      </c>
      <c r="B9" s="7">
        <v>8.0</v>
      </c>
      <c r="C9" s="7" t="s">
        <v>20</v>
      </c>
      <c r="D9" s="10" t="s">
        <v>190</v>
      </c>
      <c r="E9" s="20" t="s">
        <v>126</v>
      </c>
      <c r="F9" s="20" t="s">
        <v>136</v>
      </c>
      <c r="G9" s="36" t="s">
        <v>203</v>
      </c>
      <c r="H9" s="36" t="s">
        <v>169</v>
      </c>
      <c r="I9" s="30" t="s">
        <v>151</v>
      </c>
      <c r="J9" s="26" t="s">
        <v>152</v>
      </c>
      <c r="K9" s="32" t="s">
        <v>188</v>
      </c>
      <c r="L9" s="24"/>
      <c r="M9" s="24"/>
      <c r="N9" s="24"/>
      <c r="O9" s="24"/>
      <c r="P9" s="24"/>
      <c r="Q9" s="24"/>
      <c r="R9" s="24"/>
      <c r="S9" s="24"/>
      <c r="T9" s="24"/>
    </row>
    <row r="10">
      <c r="A10" s="7">
        <v>10.0</v>
      </c>
      <c r="B10" s="7">
        <v>9.0</v>
      </c>
      <c r="C10" s="7" t="s">
        <v>20</v>
      </c>
      <c r="D10" s="10" t="s">
        <v>206</v>
      </c>
      <c r="E10" s="20" t="s">
        <v>167</v>
      </c>
      <c r="F10" s="20" t="s">
        <v>201</v>
      </c>
      <c r="G10" s="36" t="s">
        <v>81</v>
      </c>
      <c r="H10" s="36" t="s">
        <v>212</v>
      </c>
      <c r="I10" s="30" t="s">
        <v>103</v>
      </c>
      <c r="J10" s="26" t="s">
        <v>108</v>
      </c>
      <c r="K10" s="32" t="s">
        <v>214</v>
      </c>
      <c r="L10" s="24"/>
      <c r="M10" s="24"/>
      <c r="N10" s="24"/>
      <c r="O10" s="24"/>
      <c r="P10" s="24"/>
      <c r="Q10" s="24"/>
      <c r="R10" s="24"/>
      <c r="S10" s="24"/>
      <c r="T10" s="24"/>
    </row>
    <row r="11">
      <c r="A11" s="7" t="s">
        <v>215</v>
      </c>
      <c r="B11" s="7">
        <v>10.0</v>
      </c>
      <c r="C11" s="7" t="s">
        <v>20</v>
      </c>
      <c r="D11" s="10" t="s">
        <v>216</v>
      </c>
      <c r="E11" s="20" t="s">
        <v>48</v>
      </c>
      <c r="F11" s="20" t="s">
        <v>219</v>
      </c>
      <c r="G11" s="24"/>
      <c r="H11" s="50" t="s">
        <v>220</v>
      </c>
      <c r="I11" s="30" t="s">
        <v>151</v>
      </c>
      <c r="J11" s="26" t="s">
        <v>152</v>
      </c>
      <c r="K11" s="24"/>
      <c r="L11" s="24"/>
      <c r="M11" s="24"/>
      <c r="N11" s="24"/>
      <c r="O11" s="24"/>
      <c r="P11" s="24"/>
      <c r="Q11" s="24"/>
      <c r="R11" s="24"/>
      <c r="S11" s="24"/>
      <c r="T11" s="24"/>
    </row>
    <row r="12">
      <c r="A12" s="7">
        <v>16.0</v>
      </c>
      <c r="B12" s="7">
        <v>11.0</v>
      </c>
      <c r="C12" s="7" t="s">
        <v>20</v>
      </c>
      <c r="D12" s="10" t="s">
        <v>221</v>
      </c>
      <c r="E12" s="20" t="s">
        <v>117</v>
      </c>
      <c r="F12" s="20" t="s">
        <v>227</v>
      </c>
      <c r="G12" s="36" t="s">
        <v>231</v>
      </c>
      <c r="H12" s="36" t="s">
        <v>123</v>
      </c>
      <c r="I12" s="30" t="s">
        <v>103</v>
      </c>
      <c r="J12" s="26" t="s">
        <v>108</v>
      </c>
      <c r="K12" s="24"/>
      <c r="L12" s="24"/>
      <c r="M12" s="24"/>
      <c r="N12" s="24"/>
      <c r="O12" s="24"/>
      <c r="P12" s="24"/>
      <c r="Q12" s="24"/>
      <c r="R12" s="24"/>
      <c r="S12" s="24"/>
      <c r="T12" s="24"/>
    </row>
    <row r="13">
      <c r="A13" s="7">
        <v>17.0</v>
      </c>
      <c r="B13" s="7">
        <v>12.0</v>
      </c>
      <c r="C13" s="7" t="s">
        <v>20</v>
      </c>
      <c r="D13" s="26" t="s">
        <v>235</v>
      </c>
      <c r="E13" s="20" t="s">
        <v>32</v>
      </c>
      <c r="F13" s="20" t="s">
        <v>58</v>
      </c>
      <c r="G13" s="50"/>
      <c r="H13" s="36" t="s">
        <v>93</v>
      </c>
      <c r="I13" s="30" t="s">
        <v>103</v>
      </c>
      <c r="J13" s="26" t="s">
        <v>239</v>
      </c>
      <c r="K13" s="24"/>
      <c r="L13" s="24"/>
      <c r="M13" s="24"/>
      <c r="N13" s="24"/>
      <c r="O13" s="24"/>
      <c r="P13" s="24"/>
      <c r="Q13" s="24"/>
      <c r="R13" s="24"/>
      <c r="S13" s="24"/>
      <c r="T13" s="24"/>
    </row>
    <row r="14">
      <c r="A14" s="7">
        <v>22.0</v>
      </c>
      <c r="B14" s="7">
        <v>13.0</v>
      </c>
      <c r="C14" s="7" t="s">
        <v>20</v>
      </c>
      <c r="D14" s="10" t="s">
        <v>241</v>
      </c>
      <c r="E14" s="20" t="s">
        <v>116</v>
      </c>
      <c r="F14" s="20" t="s">
        <v>248</v>
      </c>
      <c r="G14" s="20" t="s">
        <v>119</v>
      </c>
      <c r="H14" s="50" t="s">
        <v>149</v>
      </c>
      <c r="I14" s="30" t="s">
        <v>151</v>
      </c>
      <c r="J14" s="26" t="s">
        <v>152</v>
      </c>
      <c r="K14" s="37" t="s">
        <v>249</v>
      </c>
      <c r="L14" s="24"/>
      <c r="M14" s="24"/>
      <c r="N14" s="24"/>
      <c r="O14" s="24"/>
      <c r="P14" s="24"/>
      <c r="Q14" s="24"/>
      <c r="R14" s="24"/>
      <c r="S14" s="24"/>
      <c r="T14" s="24"/>
    </row>
    <row r="15">
      <c r="A15" s="7">
        <v>9.0</v>
      </c>
      <c r="B15" s="7">
        <v>14.0</v>
      </c>
      <c r="C15" s="7" t="s">
        <v>20</v>
      </c>
      <c r="D15" s="68" t="s">
        <v>251</v>
      </c>
      <c r="E15" s="20" t="s">
        <v>87</v>
      </c>
      <c r="F15" s="20" t="s">
        <v>120</v>
      </c>
      <c r="G15" s="36" t="s">
        <v>119</v>
      </c>
      <c r="H15" s="36" t="s">
        <v>123</v>
      </c>
      <c r="I15" s="30" t="s">
        <v>103</v>
      </c>
      <c r="J15" s="26" t="s">
        <v>108</v>
      </c>
      <c r="K15" s="32"/>
      <c r="L15" s="24"/>
      <c r="M15" s="24"/>
      <c r="N15" s="24"/>
      <c r="O15" s="24"/>
      <c r="P15" s="24"/>
      <c r="Q15" s="24"/>
      <c r="R15" s="24"/>
      <c r="S15" s="24"/>
      <c r="T15" s="24"/>
    </row>
    <row r="16">
      <c r="A16" s="7">
        <v>18.0</v>
      </c>
      <c r="B16" s="7">
        <v>15.0</v>
      </c>
      <c r="C16" s="7" t="s">
        <v>20</v>
      </c>
      <c r="D16" s="10" t="s">
        <v>257</v>
      </c>
      <c r="E16" s="20" t="s">
        <v>126</v>
      </c>
      <c r="F16" s="20" t="s">
        <v>136</v>
      </c>
      <c r="G16" s="36" t="s">
        <v>203</v>
      </c>
      <c r="H16" s="50" t="s">
        <v>220</v>
      </c>
      <c r="I16" s="30" t="s">
        <v>103</v>
      </c>
      <c r="J16" s="26" t="s">
        <v>239</v>
      </c>
      <c r="K16" s="24"/>
      <c r="L16" s="24"/>
      <c r="M16" s="24"/>
      <c r="N16" s="24"/>
      <c r="O16" s="24"/>
      <c r="P16" s="24"/>
      <c r="Q16" s="24"/>
      <c r="R16" s="24"/>
      <c r="S16" s="24"/>
      <c r="T16" s="24"/>
    </row>
    <row r="17">
      <c r="A17" s="7">
        <v>14.0</v>
      </c>
      <c r="B17" s="7">
        <v>16.0</v>
      </c>
      <c r="C17" s="7" t="s">
        <v>20</v>
      </c>
      <c r="D17" s="10" t="s">
        <v>266</v>
      </c>
      <c r="E17" s="20" t="s">
        <v>167</v>
      </c>
      <c r="F17" s="20" t="s">
        <v>201</v>
      </c>
      <c r="G17" s="36" t="s">
        <v>81</v>
      </c>
      <c r="H17" s="36" t="s">
        <v>212</v>
      </c>
      <c r="I17" s="30" t="s">
        <v>151</v>
      </c>
      <c r="J17" s="26" t="s">
        <v>108</v>
      </c>
      <c r="K17" s="24"/>
      <c r="L17" s="24"/>
      <c r="M17" s="24"/>
      <c r="N17" s="24"/>
      <c r="O17" s="24"/>
      <c r="P17" s="24"/>
      <c r="Q17" s="24"/>
      <c r="R17" s="24"/>
      <c r="S17" s="24"/>
      <c r="T17" s="24"/>
    </row>
    <row r="18">
      <c r="A18" s="7">
        <v>19.0</v>
      </c>
      <c r="B18" s="7">
        <v>17.0</v>
      </c>
      <c r="C18" s="7" t="s">
        <v>20</v>
      </c>
      <c r="D18" s="10" t="s">
        <v>272</v>
      </c>
      <c r="E18" s="52"/>
      <c r="F18" s="20" t="s">
        <v>201</v>
      </c>
      <c r="G18" s="36" t="s">
        <v>203</v>
      </c>
      <c r="H18" s="50" t="s">
        <v>149</v>
      </c>
      <c r="I18" s="30" t="s">
        <v>151</v>
      </c>
      <c r="J18" s="26" t="s">
        <v>152</v>
      </c>
      <c r="K18" s="24"/>
      <c r="L18" s="24"/>
      <c r="M18" s="24"/>
      <c r="N18" s="24"/>
      <c r="O18" s="24"/>
      <c r="P18" s="24"/>
      <c r="Q18" s="24"/>
      <c r="R18" s="24"/>
      <c r="S18" s="24"/>
      <c r="T18" s="24"/>
    </row>
    <row r="19">
      <c r="A19" s="7">
        <v>15.0</v>
      </c>
      <c r="B19" s="7">
        <v>18.0</v>
      </c>
      <c r="C19" s="7" t="s">
        <v>20</v>
      </c>
      <c r="D19" s="10" t="s">
        <v>275</v>
      </c>
      <c r="E19" s="20" t="s">
        <v>167</v>
      </c>
      <c r="F19" s="20" t="s">
        <v>201</v>
      </c>
      <c r="G19" s="50"/>
      <c r="H19" s="36" t="s">
        <v>212</v>
      </c>
      <c r="I19" s="30" t="s">
        <v>103</v>
      </c>
      <c r="J19" s="26" t="s">
        <v>239</v>
      </c>
      <c r="K19" s="24"/>
      <c r="L19" s="24"/>
      <c r="M19" s="24"/>
      <c r="N19" s="24"/>
      <c r="O19" s="24"/>
      <c r="P19" s="24"/>
      <c r="Q19" s="24"/>
      <c r="R19" s="24"/>
      <c r="S19" s="24"/>
      <c r="T19" s="24"/>
    </row>
    <row r="20">
      <c r="A20" s="7">
        <v>13.0</v>
      </c>
      <c r="B20" s="7">
        <v>19.0</v>
      </c>
      <c r="C20" s="7" t="s">
        <v>20</v>
      </c>
      <c r="D20" s="10" t="s">
        <v>279</v>
      </c>
      <c r="E20" s="20" t="s">
        <v>131</v>
      </c>
      <c r="F20" s="20" t="s">
        <v>284</v>
      </c>
      <c r="G20" s="36" t="s">
        <v>138</v>
      </c>
      <c r="H20" s="36" t="s">
        <v>212</v>
      </c>
      <c r="I20" s="30" t="s">
        <v>151</v>
      </c>
      <c r="J20" s="26" t="s">
        <v>152</v>
      </c>
      <c r="K20" s="24"/>
      <c r="L20" s="24"/>
      <c r="M20" s="24"/>
      <c r="N20" s="24"/>
      <c r="O20" s="24"/>
      <c r="P20" s="24"/>
      <c r="Q20" s="24"/>
      <c r="R20" s="24"/>
      <c r="S20" s="24"/>
      <c r="T20" s="24"/>
    </row>
    <row r="21">
      <c r="A21" s="7">
        <v>20.0</v>
      </c>
      <c r="B21" s="7">
        <v>20.0</v>
      </c>
      <c r="C21" s="7" t="s">
        <v>20</v>
      </c>
      <c r="D21" s="26" t="s">
        <v>287</v>
      </c>
      <c r="E21" s="20" t="s">
        <v>32</v>
      </c>
      <c r="F21" s="20" t="s">
        <v>58</v>
      </c>
      <c r="G21" s="36" t="s">
        <v>81</v>
      </c>
      <c r="H21" s="36" t="s">
        <v>169</v>
      </c>
      <c r="I21" s="30" t="s">
        <v>151</v>
      </c>
      <c r="J21" s="26" t="s">
        <v>152</v>
      </c>
      <c r="K21" s="24"/>
      <c r="L21" s="24"/>
      <c r="M21" s="24"/>
      <c r="N21" s="24"/>
      <c r="O21" s="24"/>
      <c r="P21" s="24"/>
      <c r="Q21" s="24"/>
      <c r="R21" s="24"/>
      <c r="S21" s="24"/>
      <c r="T21" s="24"/>
    </row>
    <row r="22">
      <c r="A22" s="7">
        <v>21.0</v>
      </c>
      <c r="B22" s="7">
        <v>21.0</v>
      </c>
      <c r="C22" s="7" t="s">
        <v>20</v>
      </c>
      <c r="D22" s="75" t="s">
        <v>292</v>
      </c>
      <c r="E22" s="20" t="s">
        <v>124</v>
      </c>
      <c r="F22" s="20" t="s">
        <v>248</v>
      </c>
      <c r="G22" s="50"/>
      <c r="H22" s="50" t="s">
        <v>297</v>
      </c>
      <c r="I22" s="30" t="s">
        <v>103</v>
      </c>
      <c r="J22" s="26" t="s">
        <v>239</v>
      </c>
      <c r="K22" s="24"/>
      <c r="L22" s="24"/>
      <c r="M22" s="24"/>
      <c r="N22" s="24"/>
      <c r="O22" s="24"/>
      <c r="P22" s="24"/>
      <c r="Q22" s="24"/>
      <c r="R22" s="24"/>
      <c r="S22" s="24"/>
      <c r="T22" s="24"/>
    </row>
    <row r="23">
      <c r="A23" s="7">
        <v>23.0</v>
      </c>
      <c r="B23" s="7">
        <v>22.0</v>
      </c>
      <c r="C23" s="7" t="s">
        <v>20</v>
      </c>
      <c r="D23" s="10" t="s">
        <v>300</v>
      </c>
      <c r="E23" s="20" t="s">
        <v>116</v>
      </c>
      <c r="F23" s="20" t="s">
        <v>248</v>
      </c>
      <c r="G23" s="36" t="s">
        <v>119</v>
      </c>
      <c r="H23" s="50" t="s">
        <v>303</v>
      </c>
      <c r="I23" s="30" t="s">
        <v>103</v>
      </c>
      <c r="J23" s="26" t="s">
        <v>108</v>
      </c>
      <c r="K23" s="24"/>
      <c r="L23" s="24"/>
      <c r="M23" s="24"/>
      <c r="N23" s="24"/>
      <c r="O23" s="24"/>
      <c r="P23" s="24"/>
      <c r="Q23" s="24"/>
      <c r="R23" s="24"/>
      <c r="S23" s="24"/>
      <c r="T23" s="24"/>
    </row>
    <row r="24">
      <c r="A24" s="7">
        <v>24.0</v>
      </c>
      <c r="B24" s="7">
        <v>23.0</v>
      </c>
      <c r="C24" s="7" t="s">
        <v>20</v>
      </c>
      <c r="D24" s="68" t="s">
        <v>305</v>
      </c>
      <c r="E24" s="20" t="s">
        <v>119</v>
      </c>
      <c r="F24" s="20" t="s">
        <v>284</v>
      </c>
      <c r="G24" s="20" t="s">
        <v>119</v>
      </c>
      <c r="H24" s="36" t="s">
        <v>169</v>
      </c>
      <c r="I24" s="30" t="s">
        <v>151</v>
      </c>
      <c r="J24" s="26" t="s">
        <v>152</v>
      </c>
      <c r="K24" s="32" t="s">
        <v>310</v>
      </c>
      <c r="L24" s="24"/>
      <c r="M24" s="24"/>
      <c r="N24" s="24"/>
      <c r="O24" s="24"/>
      <c r="P24" s="24"/>
      <c r="Q24" s="24"/>
      <c r="R24" s="24"/>
      <c r="S24" s="24"/>
      <c r="T24" s="24"/>
    </row>
    <row r="25">
      <c r="A25" s="7">
        <v>25.0</v>
      </c>
      <c r="B25" s="7">
        <v>24.0</v>
      </c>
      <c r="C25" s="7" t="s">
        <v>20</v>
      </c>
      <c r="D25" s="10" t="s">
        <v>313</v>
      </c>
      <c r="E25" s="52"/>
      <c r="F25" s="52"/>
      <c r="G25" s="36" t="s">
        <v>119</v>
      </c>
      <c r="H25" s="36" t="s">
        <v>169</v>
      </c>
      <c r="I25" s="30" t="s">
        <v>151</v>
      </c>
      <c r="J25" s="26" t="s">
        <v>152</v>
      </c>
      <c r="K25" s="24"/>
      <c r="L25" s="24"/>
      <c r="M25" s="24"/>
      <c r="N25" s="24"/>
      <c r="O25" s="24"/>
      <c r="P25" s="24"/>
      <c r="Q25" s="24"/>
      <c r="R25" s="24"/>
      <c r="S25" s="24"/>
      <c r="T25" s="24"/>
    </row>
    <row r="26">
      <c r="A26" s="7">
        <v>26.0</v>
      </c>
      <c r="B26" s="7">
        <v>25.0</v>
      </c>
      <c r="C26" s="7" t="s">
        <v>20</v>
      </c>
      <c r="D26" s="10" t="s">
        <v>316</v>
      </c>
      <c r="E26" s="20" t="s">
        <v>32</v>
      </c>
      <c r="F26" s="20" t="s">
        <v>320</v>
      </c>
      <c r="G26" s="50" t="s">
        <v>39</v>
      </c>
      <c r="H26" s="50" t="s">
        <v>321</v>
      </c>
      <c r="I26" s="30" t="s">
        <v>151</v>
      </c>
      <c r="J26" s="26" t="s">
        <v>152</v>
      </c>
      <c r="K26" s="24"/>
      <c r="L26" s="24"/>
      <c r="M26" s="24"/>
      <c r="N26" s="24"/>
      <c r="O26" s="24"/>
      <c r="P26" s="24"/>
      <c r="Q26" s="24"/>
      <c r="R26" s="24"/>
      <c r="S26" s="24"/>
      <c r="T26" s="24"/>
    </row>
    <row r="27">
      <c r="A27" s="7">
        <v>27.0</v>
      </c>
      <c r="B27" s="7">
        <v>26.0</v>
      </c>
      <c r="C27" s="7" t="s">
        <v>20</v>
      </c>
      <c r="D27" s="10" t="s">
        <v>325</v>
      </c>
      <c r="E27" s="20" t="s">
        <v>131</v>
      </c>
      <c r="F27" s="20" t="s">
        <v>284</v>
      </c>
      <c r="G27" s="36" t="s">
        <v>138</v>
      </c>
      <c r="H27" s="36" t="s">
        <v>212</v>
      </c>
      <c r="I27" s="30" t="s">
        <v>151</v>
      </c>
      <c r="J27" s="26" t="s">
        <v>152</v>
      </c>
      <c r="K27" s="24"/>
      <c r="L27" s="24"/>
      <c r="M27" s="24"/>
      <c r="N27" s="24"/>
      <c r="O27" s="24"/>
      <c r="P27" s="24"/>
      <c r="Q27" s="24"/>
      <c r="R27" s="24"/>
      <c r="S27" s="24"/>
      <c r="T27" s="24"/>
    </row>
    <row r="28">
      <c r="A28" s="7">
        <v>6.0</v>
      </c>
      <c r="B28" s="7" t="s">
        <v>333</v>
      </c>
      <c r="C28" s="7" t="s">
        <v>20</v>
      </c>
      <c r="D28" s="10" t="s">
        <v>334</v>
      </c>
      <c r="E28" s="20" t="s">
        <v>122</v>
      </c>
      <c r="F28" s="20" t="s">
        <v>338</v>
      </c>
      <c r="G28" s="50"/>
      <c r="H28" s="50" t="s">
        <v>220</v>
      </c>
      <c r="I28" s="30" t="s">
        <v>151</v>
      </c>
      <c r="J28" s="26" t="s">
        <v>152</v>
      </c>
      <c r="K28" s="24"/>
      <c r="L28" s="24"/>
      <c r="M28" s="24"/>
      <c r="N28" s="24"/>
      <c r="O28" s="24"/>
      <c r="P28" s="24"/>
      <c r="Q28" s="24"/>
      <c r="R28" s="24"/>
      <c r="S28" s="24"/>
      <c r="T28" s="24"/>
    </row>
    <row r="29" hidden="1">
      <c r="A29" s="7">
        <v>4.0</v>
      </c>
      <c r="B29" s="7" t="s">
        <v>342</v>
      </c>
      <c r="C29" s="7" t="s">
        <v>20</v>
      </c>
      <c r="D29" s="10" t="s">
        <v>170</v>
      </c>
      <c r="E29" s="20" t="s">
        <v>116</v>
      </c>
      <c r="F29" s="20" t="s">
        <v>248</v>
      </c>
      <c r="G29" s="20" t="s">
        <v>119</v>
      </c>
      <c r="H29" s="50" t="s">
        <v>297</v>
      </c>
      <c r="I29" s="30" t="s">
        <v>103</v>
      </c>
      <c r="J29" s="26" t="s">
        <v>152</v>
      </c>
      <c r="K29" s="24"/>
      <c r="L29" s="24"/>
      <c r="M29" s="24"/>
      <c r="N29" s="24"/>
      <c r="O29" s="24"/>
      <c r="P29" s="24"/>
      <c r="Q29" s="24"/>
      <c r="R29" s="24"/>
      <c r="S29" s="24"/>
      <c r="T29" s="24"/>
    </row>
    <row r="30" hidden="1">
      <c r="A30" s="7">
        <v>3.0</v>
      </c>
      <c r="B30" s="7" t="s">
        <v>347</v>
      </c>
      <c r="C30" s="7" t="s">
        <v>20</v>
      </c>
      <c r="D30" s="79" t="s">
        <v>222</v>
      </c>
      <c r="E30" s="20" t="s">
        <v>116</v>
      </c>
      <c r="F30" s="20" t="s">
        <v>248</v>
      </c>
      <c r="G30" s="36" t="s">
        <v>119</v>
      </c>
      <c r="H30" s="50" t="s">
        <v>297</v>
      </c>
      <c r="I30" s="30" t="s">
        <v>151</v>
      </c>
      <c r="J30" s="26" t="s">
        <v>152</v>
      </c>
      <c r="K30" s="24"/>
      <c r="L30" s="24"/>
      <c r="M30" s="24"/>
      <c r="N30" s="24"/>
      <c r="O30" s="24"/>
      <c r="P30" s="24"/>
      <c r="Q30" s="24"/>
      <c r="R30" s="24"/>
      <c r="S30" s="24"/>
      <c r="T30" s="24"/>
    </row>
    <row r="31" hidden="1">
      <c r="A31" s="7" t="s">
        <v>351</v>
      </c>
      <c r="B31" s="7" t="s">
        <v>188</v>
      </c>
      <c r="C31" s="7" t="s">
        <v>20</v>
      </c>
      <c r="D31" s="40" t="s">
        <v>236</v>
      </c>
      <c r="E31" s="20" t="s">
        <v>116</v>
      </c>
      <c r="F31" s="20" t="s">
        <v>356</v>
      </c>
      <c r="G31" s="36" t="s">
        <v>138</v>
      </c>
      <c r="H31" s="50" t="s">
        <v>149</v>
      </c>
      <c r="I31" s="30" t="s">
        <v>151</v>
      </c>
      <c r="J31" s="26" t="s">
        <v>152</v>
      </c>
      <c r="K31" s="24"/>
      <c r="L31" s="24"/>
      <c r="M31" s="24"/>
      <c r="N31" s="24"/>
      <c r="O31" s="24"/>
      <c r="P31" s="24"/>
      <c r="Q31" s="24"/>
      <c r="R31" s="24"/>
      <c r="S31" s="24"/>
      <c r="T31" s="24"/>
    </row>
    <row r="32" hidden="1">
      <c r="A32" s="80" t="s">
        <v>358</v>
      </c>
      <c r="B32" s="80" t="s">
        <v>188</v>
      </c>
      <c r="C32" s="80" t="s">
        <v>20</v>
      </c>
      <c r="D32" s="81" t="s">
        <v>360</v>
      </c>
      <c r="E32" s="82" t="s">
        <v>167</v>
      </c>
      <c r="F32" s="82" t="s">
        <v>201</v>
      </c>
      <c r="G32" s="83" t="s">
        <v>368</v>
      </c>
      <c r="H32" s="83" t="s">
        <v>212</v>
      </c>
      <c r="I32" s="30" t="s">
        <v>103</v>
      </c>
      <c r="J32" s="26" t="s">
        <v>108</v>
      </c>
      <c r="K32" s="24"/>
      <c r="L32" s="24"/>
      <c r="M32" s="24"/>
      <c r="N32" s="24"/>
      <c r="O32" s="24"/>
      <c r="P32" s="24"/>
      <c r="Q32" s="24"/>
      <c r="R32" s="24"/>
      <c r="S32" s="24"/>
      <c r="T32" s="24"/>
    </row>
    <row r="33">
      <c r="A33" s="84" t="s">
        <v>188</v>
      </c>
      <c r="B33" s="85" t="s">
        <v>371</v>
      </c>
      <c r="C33" s="85" t="s">
        <v>371</v>
      </c>
      <c r="D33" s="32" t="s">
        <v>373</v>
      </c>
      <c r="E33" s="86" t="s">
        <v>375</v>
      </c>
      <c r="F33" s="86" t="s">
        <v>375</v>
      </c>
      <c r="G33" s="86" t="s">
        <v>375</v>
      </c>
      <c r="H33" s="87" t="s">
        <v>212</v>
      </c>
      <c r="I33" s="88"/>
      <c r="J33" s="26" t="s">
        <v>108</v>
      </c>
      <c r="K33" s="24"/>
      <c r="L33" s="24"/>
      <c r="M33" s="24"/>
      <c r="N33" s="24"/>
      <c r="O33" s="24"/>
      <c r="P33" s="24"/>
      <c r="Q33" s="24"/>
      <c r="R33" s="24"/>
      <c r="S33" s="24"/>
      <c r="T33" s="24"/>
    </row>
    <row r="34">
      <c r="A34" s="84" t="s">
        <v>188</v>
      </c>
      <c r="B34" s="85" t="s">
        <v>371</v>
      </c>
      <c r="C34" s="85" t="s">
        <v>371</v>
      </c>
      <c r="D34" s="32" t="s">
        <v>379</v>
      </c>
      <c r="E34" s="86" t="s">
        <v>375</v>
      </c>
      <c r="F34" s="86" t="s">
        <v>375</v>
      </c>
      <c r="G34" s="86" t="s">
        <v>375</v>
      </c>
      <c r="H34" s="87" t="s">
        <v>212</v>
      </c>
      <c r="I34" s="88"/>
      <c r="J34" s="26" t="s">
        <v>108</v>
      </c>
      <c r="K34" s="24"/>
      <c r="L34" s="24"/>
      <c r="M34" s="24"/>
      <c r="N34" s="24"/>
      <c r="O34" s="24"/>
      <c r="P34" s="24"/>
      <c r="Q34" s="24"/>
      <c r="R34" s="24"/>
      <c r="S34" s="24"/>
      <c r="T34" s="24"/>
    </row>
    <row r="35" hidden="1">
      <c r="A35" s="7" t="s">
        <v>381</v>
      </c>
      <c r="B35" s="7" t="s">
        <v>188</v>
      </c>
      <c r="C35" s="7" t="s">
        <v>20</v>
      </c>
      <c r="D35" s="10" t="s">
        <v>384</v>
      </c>
      <c r="E35" s="20" t="s">
        <v>167</v>
      </c>
      <c r="F35" s="20" t="s">
        <v>201</v>
      </c>
      <c r="G35" s="50"/>
      <c r="H35" s="36" t="s">
        <v>212</v>
      </c>
      <c r="I35" s="30" t="s">
        <v>151</v>
      </c>
      <c r="J35" s="26" t="s">
        <v>152</v>
      </c>
      <c r="K35" s="24"/>
      <c r="L35" s="24"/>
      <c r="M35" s="24"/>
      <c r="N35" s="24"/>
      <c r="O35" s="24"/>
      <c r="P35" s="24"/>
      <c r="Q35" s="24"/>
      <c r="R35" s="24"/>
      <c r="S35" s="24"/>
      <c r="T35" s="24"/>
    </row>
    <row r="36">
      <c r="A36" s="73" t="s">
        <v>188</v>
      </c>
      <c r="B36" s="85" t="s">
        <v>371</v>
      </c>
      <c r="C36" s="32" t="s">
        <v>371</v>
      </c>
      <c r="D36" s="32" t="s">
        <v>385</v>
      </c>
      <c r="E36" s="86" t="s">
        <v>375</v>
      </c>
      <c r="F36" s="86" t="s">
        <v>375</v>
      </c>
      <c r="G36" s="86" t="s">
        <v>375</v>
      </c>
      <c r="H36" s="87" t="s">
        <v>187</v>
      </c>
      <c r="I36" s="88"/>
      <c r="J36" s="26" t="s">
        <v>108</v>
      </c>
      <c r="K36" s="24"/>
      <c r="L36" s="24"/>
      <c r="M36" s="24"/>
      <c r="N36" s="24"/>
      <c r="O36" s="24"/>
      <c r="P36" s="24"/>
      <c r="Q36" s="24"/>
      <c r="R36" s="24"/>
      <c r="S36" s="24"/>
      <c r="T36" s="24"/>
    </row>
    <row r="37" hidden="1">
      <c r="A37" s="7" t="s">
        <v>386</v>
      </c>
      <c r="B37" s="7" t="s">
        <v>387</v>
      </c>
      <c r="C37" s="7" t="s">
        <v>20</v>
      </c>
      <c r="D37" s="10" t="s">
        <v>388</v>
      </c>
      <c r="E37" s="20" t="s">
        <v>131</v>
      </c>
      <c r="F37" s="20" t="s">
        <v>284</v>
      </c>
      <c r="G37" s="36" t="s">
        <v>81</v>
      </c>
      <c r="H37" s="36" t="s">
        <v>212</v>
      </c>
      <c r="I37" s="30" t="s">
        <v>151</v>
      </c>
      <c r="J37" s="26" t="s">
        <v>152</v>
      </c>
      <c r="K37" s="24"/>
      <c r="L37" s="24"/>
      <c r="M37" s="24"/>
      <c r="N37" s="24"/>
      <c r="O37" s="24"/>
      <c r="P37" s="24"/>
      <c r="Q37" s="24"/>
      <c r="R37" s="24"/>
      <c r="S37" s="24"/>
      <c r="T37" s="24"/>
    </row>
    <row r="38">
      <c r="A38" s="7">
        <v>5.0</v>
      </c>
      <c r="B38" s="7" t="s">
        <v>149</v>
      </c>
      <c r="C38" s="7" t="s">
        <v>20</v>
      </c>
      <c r="D38" s="26" t="s">
        <v>390</v>
      </c>
      <c r="E38" s="20" t="s">
        <v>87</v>
      </c>
      <c r="F38" s="20" t="s">
        <v>120</v>
      </c>
      <c r="G38" s="36" t="s">
        <v>119</v>
      </c>
      <c r="H38" s="36" t="s">
        <v>123</v>
      </c>
      <c r="I38" s="30" t="s">
        <v>151</v>
      </c>
      <c r="J38" s="26" t="s">
        <v>152</v>
      </c>
      <c r="K38" s="26" t="s">
        <v>392</v>
      </c>
      <c r="L38" s="24"/>
      <c r="M38" s="24"/>
      <c r="N38" s="24"/>
      <c r="O38" s="24"/>
      <c r="P38" s="24"/>
      <c r="Q38" s="24"/>
      <c r="R38" s="24"/>
      <c r="S38" s="24"/>
      <c r="T38" s="24"/>
    </row>
    <row r="39">
      <c r="A39" s="73" t="s">
        <v>375</v>
      </c>
      <c r="B39" s="85" t="s">
        <v>371</v>
      </c>
      <c r="C39" s="32" t="s">
        <v>375</v>
      </c>
      <c r="D39" s="32" t="s">
        <v>393</v>
      </c>
      <c r="E39" s="32" t="s">
        <v>375</v>
      </c>
      <c r="F39" s="32" t="s">
        <v>375</v>
      </c>
      <c r="G39" s="32" t="s">
        <v>375</v>
      </c>
      <c r="H39" s="87" t="s">
        <v>169</v>
      </c>
      <c r="I39" s="30" t="s">
        <v>151</v>
      </c>
      <c r="J39" s="26" t="s">
        <v>108</v>
      </c>
      <c r="K39" s="24"/>
      <c r="L39" s="24"/>
      <c r="M39" s="24"/>
      <c r="N39" s="24"/>
      <c r="O39" s="24"/>
      <c r="P39" s="24"/>
      <c r="Q39" s="24"/>
      <c r="R39" s="24"/>
      <c r="S39" s="24"/>
      <c r="T39" s="24"/>
    </row>
    <row r="40">
      <c r="A40" s="73" t="s">
        <v>375</v>
      </c>
      <c r="B40" s="85" t="s">
        <v>371</v>
      </c>
      <c r="C40" s="24"/>
      <c r="D40" s="32" t="s">
        <v>397</v>
      </c>
      <c r="E40" s="24"/>
      <c r="F40" s="24"/>
      <c r="G40" s="24"/>
      <c r="H40" s="87" t="s">
        <v>169</v>
      </c>
      <c r="I40" s="30" t="s">
        <v>151</v>
      </c>
      <c r="J40" s="26" t="s">
        <v>108</v>
      </c>
      <c r="K40" s="24"/>
      <c r="L40" s="24"/>
      <c r="M40" s="24"/>
      <c r="N40" s="24"/>
      <c r="O40" s="24"/>
      <c r="P40" s="24"/>
      <c r="Q40" s="24"/>
      <c r="R40" s="24"/>
      <c r="S40" s="24"/>
      <c r="T40" s="24"/>
    </row>
    <row r="41">
      <c r="A41" s="73" t="s">
        <v>375</v>
      </c>
      <c r="B41" s="85" t="s">
        <v>371</v>
      </c>
      <c r="C41" s="24"/>
      <c r="D41" s="32" t="s">
        <v>398</v>
      </c>
      <c r="E41" s="24"/>
      <c r="F41" s="24"/>
      <c r="G41" s="24"/>
      <c r="H41" s="87" t="s">
        <v>169</v>
      </c>
      <c r="I41" s="30" t="s">
        <v>151</v>
      </c>
      <c r="J41" s="26" t="s">
        <v>152</v>
      </c>
      <c r="K41" s="24"/>
      <c r="L41" s="24"/>
      <c r="M41" s="24"/>
      <c r="N41" s="24"/>
      <c r="O41" s="24"/>
      <c r="P41" s="24"/>
      <c r="Q41" s="24"/>
      <c r="R41" s="24"/>
      <c r="S41" s="24"/>
      <c r="T41" s="24"/>
    </row>
    <row r="42">
      <c r="A42" s="45"/>
      <c r="B42" s="45"/>
      <c r="I42" s="89"/>
      <c r="J42" s="89"/>
    </row>
    <row r="43">
      <c r="A43" s="45"/>
      <c r="B43" s="45"/>
      <c r="I43" s="89"/>
      <c r="J43" s="89"/>
    </row>
    <row r="44">
      <c r="A44" s="45"/>
      <c r="B44" s="45"/>
      <c r="I44" s="89"/>
      <c r="J44" s="89"/>
    </row>
    <row r="45">
      <c r="A45" s="45"/>
      <c r="B45" s="45"/>
      <c r="I45" s="89"/>
      <c r="J45" s="89"/>
    </row>
    <row r="46">
      <c r="A46" s="45"/>
      <c r="B46" s="45"/>
      <c r="I46" s="89"/>
      <c r="J46" s="89"/>
    </row>
    <row r="47">
      <c r="A47" s="45"/>
      <c r="B47" s="45"/>
      <c r="I47" s="89"/>
      <c r="J47" s="89"/>
    </row>
    <row r="48">
      <c r="A48" s="45"/>
      <c r="B48" s="45"/>
      <c r="I48" s="89"/>
      <c r="J48" s="89"/>
    </row>
    <row r="49">
      <c r="A49" s="45"/>
      <c r="B49" s="45"/>
      <c r="I49" s="89"/>
      <c r="J49" s="89"/>
    </row>
    <row r="50">
      <c r="A50" s="45"/>
      <c r="B50" s="45"/>
      <c r="I50" s="89"/>
      <c r="J50" s="89"/>
    </row>
    <row r="51">
      <c r="A51" s="45"/>
      <c r="B51" s="45"/>
      <c r="I51" s="89"/>
      <c r="J51" s="89"/>
    </row>
    <row r="52">
      <c r="A52" s="45"/>
      <c r="B52" s="45"/>
      <c r="I52" s="89"/>
      <c r="J52" s="89"/>
    </row>
    <row r="53">
      <c r="A53" s="45"/>
      <c r="B53" s="45"/>
      <c r="I53" s="89"/>
      <c r="J53" s="89"/>
    </row>
    <row r="54">
      <c r="A54" s="45"/>
      <c r="B54" s="45"/>
      <c r="I54" s="89"/>
      <c r="J54" s="89"/>
    </row>
    <row r="55">
      <c r="A55" s="45"/>
      <c r="B55" s="45"/>
      <c r="I55" s="89"/>
      <c r="J55" s="89"/>
    </row>
    <row r="56">
      <c r="A56" s="45"/>
      <c r="B56" s="45"/>
      <c r="I56" s="89"/>
      <c r="J56" s="89"/>
    </row>
    <row r="57">
      <c r="A57" s="45"/>
      <c r="B57" s="45"/>
      <c r="I57" s="89"/>
      <c r="J57" s="89"/>
    </row>
    <row r="58">
      <c r="A58" s="45"/>
      <c r="B58" s="45"/>
      <c r="I58" s="89"/>
      <c r="J58" s="89"/>
    </row>
    <row r="59">
      <c r="A59" s="45"/>
      <c r="B59" s="45"/>
      <c r="I59" s="89"/>
      <c r="J59" s="89"/>
    </row>
    <row r="60">
      <c r="A60" s="45"/>
      <c r="B60" s="45"/>
      <c r="I60" s="89"/>
      <c r="J60" s="89"/>
    </row>
    <row r="61">
      <c r="A61" s="45"/>
      <c r="B61" s="45"/>
      <c r="I61" s="89"/>
      <c r="J61" s="89"/>
    </row>
    <row r="62">
      <c r="A62" s="45"/>
      <c r="B62" s="45"/>
      <c r="I62" s="89"/>
      <c r="J62" s="89"/>
    </row>
    <row r="63">
      <c r="A63" s="45"/>
      <c r="B63" s="45"/>
      <c r="I63" s="89"/>
      <c r="J63" s="89"/>
    </row>
    <row r="64">
      <c r="A64" s="45"/>
      <c r="B64" s="45"/>
      <c r="I64" s="89"/>
      <c r="J64" s="89"/>
    </row>
    <row r="65">
      <c r="A65" s="45"/>
      <c r="B65" s="45"/>
      <c r="I65" s="89"/>
      <c r="J65" s="89"/>
    </row>
    <row r="66">
      <c r="A66" s="45"/>
      <c r="B66" s="45"/>
      <c r="I66" s="89"/>
      <c r="J66" s="89"/>
    </row>
    <row r="67">
      <c r="A67" s="45"/>
      <c r="B67" s="45"/>
      <c r="I67" s="89"/>
      <c r="J67" s="89"/>
    </row>
    <row r="68">
      <c r="A68" s="45"/>
      <c r="B68" s="45"/>
      <c r="I68" s="89"/>
      <c r="J68" s="89"/>
    </row>
    <row r="69">
      <c r="A69" s="45"/>
      <c r="B69" s="45"/>
      <c r="I69" s="89"/>
      <c r="J69" s="89"/>
    </row>
    <row r="70">
      <c r="A70" s="45"/>
      <c r="B70" s="45"/>
      <c r="I70" s="89"/>
      <c r="J70" s="89"/>
    </row>
    <row r="71">
      <c r="A71" s="45"/>
      <c r="B71" s="45"/>
      <c r="I71" s="89"/>
      <c r="J71" s="89"/>
    </row>
    <row r="72">
      <c r="A72" s="45"/>
      <c r="B72" s="45"/>
      <c r="I72" s="89"/>
      <c r="J72" s="89"/>
    </row>
    <row r="73">
      <c r="A73" s="45"/>
      <c r="B73" s="45"/>
      <c r="I73" s="89"/>
      <c r="J73" s="89"/>
    </row>
    <row r="74">
      <c r="A74" s="45"/>
      <c r="B74" s="45"/>
      <c r="I74" s="89"/>
      <c r="J74" s="89"/>
    </row>
    <row r="75">
      <c r="A75" s="45"/>
      <c r="B75" s="45"/>
      <c r="I75" s="89"/>
      <c r="J75" s="89"/>
    </row>
    <row r="76">
      <c r="A76" s="45"/>
      <c r="B76" s="45"/>
      <c r="I76" s="89"/>
      <c r="J76" s="89"/>
    </row>
    <row r="77">
      <c r="A77" s="45"/>
      <c r="B77" s="45"/>
      <c r="I77" s="89"/>
      <c r="J77" s="89"/>
    </row>
    <row r="78">
      <c r="A78" s="45"/>
      <c r="B78" s="45"/>
      <c r="I78" s="89"/>
      <c r="J78" s="89"/>
    </row>
    <row r="79">
      <c r="A79" s="45"/>
      <c r="B79" s="45"/>
      <c r="I79" s="89"/>
      <c r="J79" s="89"/>
    </row>
    <row r="80">
      <c r="A80" s="45"/>
      <c r="B80" s="45"/>
      <c r="I80" s="89"/>
      <c r="J80" s="89"/>
    </row>
    <row r="81">
      <c r="A81" s="45"/>
      <c r="B81" s="45"/>
      <c r="I81" s="89"/>
      <c r="J81" s="89"/>
    </row>
    <row r="82">
      <c r="A82" s="45"/>
      <c r="B82" s="45"/>
      <c r="I82" s="89"/>
      <c r="J82" s="89"/>
    </row>
    <row r="83">
      <c r="A83" s="45"/>
      <c r="B83" s="45"/>
      <c r="I83" s="89"/>
      <c r="J83" s="89"/>
    </row>
    <row r="84">
      <c r="A84" s="45"/>
      <c r="B84" s="45"/>
      <c r="I84" s="89"/>
      <c r="J84" s="89"/>
    </row>
    <row r="85">
      <c r="A85" s="45"/>
      <c r="B85" s="45"/>
      <c r="I85" s="89"/>
      <c r="J85" s="89"/>
    </row>
    <row r="86">
      <c r="A86" s="45"/>
      <c r="B86" s="45"/>
      <c r="I86" s="89"/>
      <c r="J86" s="89"/>
    </row>
    <row r="87">
      <c r="A87" s="45"/>
      <c r="B87" s="45"/>
      <c r="I87" s="89"/>
      <c r="J87" s="89"/>
    </row>
    <row r="88">
      <c r="A88" s="45"/>
      <c r="B88" s="45"/>
      <c r="I88" s="89"/>
      <c r="J88" s="89"/>
    </row>
    <row r="89">
      <c r="A89" s="45"/>
      <c r="B89" s="45"/>
      <c r="I89" s="89"/>
      <c r="J89" s="89"/>
    </row>
    <row r="90">
      <c r="A90" s="45"/>
      <c r="B90" s="45"/>
      <c r="I90" s="89"/>
      <c r="J90" s="89"/>
    </row>
    <row r="91">
      <c r="A91" s="45"/>
      <c r="B91" s="45"/>
      <c r="I91" s="89"/>
      <c r="J91" s="89"/>
    </row>
    <row r="92">
      <c r="A92" s="45"/>
      <c r="B92" s="45"/>
      <c r="I92" s="89"/>
      <c r="J92" s="89"/>
    </row>
    <row r="93">
      <c r="A93" s="45"/>
      <c r="B93" s="45"/>
      <c r="I93" s="89"/>
      <c r="J93" s="89"/>
    </row>
    <row r="94">
      <c r="A94" s="45"/>
      <c r="B94" s="45"/>
      <c r="I94" s="89"/>
      <c r="J94" s="89"/>
    </row>
    <row r="95">
      <c r="A95" s="45"/>
      <c r="B95" s="45"/>
      <c r="I95" s="89"/>
      <c r="J95" s="89"/>
    </row>
    <row r="96">
      <c r="A96" s="45"/>
      <c r="B96" s="45"/>
      <c r="I96" s="89"/>
      <c r="J96" s="89"/>
    </row>
    <row r="97">
      <c r="A97" s="45"/>
      <c r="B97" s="45"/>
      <c r="I97" s="89"/>
      <c r="J97" s="89"/>
    </row>
    <row r="98">
      <c r="A98" s="45"/>
      <c r="B98" s="45"/>
      <c r="I98" s="89"/>
      <c r="J98" s="89"/>
    </row>
    <row r="99">
      <c r="A99" s="45"/>
      <c r="B99" s="45"/>
      <c r="I99" s="89"/>
      <c r="J99" s="89"/>
    </row>
    <row r="100">
      <c r="A100" s="45"/>
      <c r="B100" s="45"/>
      <c r="I100" s="89"/>
      <c r="J100" s="89"/>
    </row>
    <row r="101">
      <c r="A101" s="45"/>
      <c r="B101" s="45"/>
      <c r="I101" s="89"/>
      <c r="J101" s="89"/>
    </row>
    <row r="102">
      <c r="A102" s="45"/>
      <c r="B102" s="45"/>
      <c r="I102" s="89"/>
      <c r="J102" s="89"/>
    </row>
    <row r="103">
      <c r="A103" s="45"/>
      <c r="B103" s="45"/>
      <c r="I103" s="89"/>
      <c r="J103" s="89"/>
    </row>
    <row r="104">
      <c r="A104" s="45"/>
      <c r="B104" s="45"/>
      <c r="I104" s="89"/>
      <c r="J104" s="89"/>
    </row>
    <row r="105">
      <c r="A105" s="45"/>
      <c r="B105" s="45"/>
      <c r="I105" s="89"/>
      <c r="J105" s="89"/>
    </row>
    <row r="106">
      <c r="A106" s="45"/>
      <c r="B106" s="45"/>
      <c r="I106" s="89"/>
      <c r="J106" s="89"/>
    </row>
    <row r="107">
      <c r="A107" s="45"/>
      <c r="B107" s="45"/>
      <c r="I107" s="89"/>
      <c r="J107" s="89"/>
    </row>
    <row r="108">
      <c r="A108" s="45"/>
      <c r="B108" s="45"/>
      <c r="I108" s="89"/>
      <c r="J108" s="89"/>
    </row>
    <row r="109">
      <c r="A109" s="45"/>
      <c r="B109" s="45"/>
      <c r="I109" s="89"/>
      <c r="J109" s="89"/>
    </row>
    <row r="110">
      <c r="A110" s="45"/>
      <c r="B110" s="45"/>
      <c r="I110" s="89"/>
      <c r="J110" s="89"/>
    </row>
    <row r="111">
      <c r="A111" s="45"/>
      <c r="B111" s="45"/>
      <c r="I111" s="89"/>
      <c r="J111" s="89"/>
    </row>
    <row r="112">
      <c r="A112" s="45"/>
      <c r="B112" s="45"/>
      <c r="I112" s="89"/>
      <c r="J112" s="89"/>
    </row>
    <row r="113">
      <c r="A113" s="45"/>
      <c r="B113" s="45"/>
      <c r="I113" s="89"/>
      <c r="J113" s="89"/>
    </row>
    <row r="114">
      <c r="A114" s="45"/>
      <c r="B114" s="45"/>
      <c r="I114" s="89"/>
      <c r="J114" s="89"/>
    </row>
    <row r="115">
      <c r="A115" s="45"/>
      <c r="B115" s="45"/>
      <c r="I115" s="89"/>
      <c r="J115" s="89"/>
    </row>
    <row r="116">
      <c r="A116" s="45"/>
      <c r="B116" s="45"/>
      <c r="I116" s="89"/>
      <c r="J116" s="89"/>
    </row>
    <row r="117">
      <c r="A117" s="45"/>
      <c r="B117" s="45"/>
      <c r="I117" s="89"/>
      <c r="J117" s="89"/>
    </row>
    <row r="118">
      <c r="A118" s="45"/>
      <c r="B118" s="45"/>
      <c r="I118" s="89"/>
      <c r="J118" s="89"/>
    </row>
    <row r="119">
      <c r="A119" s="45"/>
      <c r="B119" s="45"/>
      <c r="I119" s="89"/>
      <c r="J119" s="89"/>
    </row>
    <row r="120">
      <c r="A120" s="45"/>
      <c r="B120" s="45"/>
      <c r="I120" s="89"/>
      <c r="J120" s="89"/>
    </row>
    <row r="121">
      <c r="A121" s="45"/>
      <c r="B121" s="45"/>
      <c r="I121" s="89"/>
      <c r="J121" s="89"/>
    </row>
    <row r="122">
      <c r="A122" s="45"/>
      <c r="B122" s="45"/>
      <c r="I122" s="89"/>
      <c r="J122" s="89"/>
    </row>
    <row r="123">
      <c r="A123" s="45"/>
      <c r="B123" s="45"/>
      <c r="I123" s="89"/>
      <c r="J123" s="89"/>
    </row>
    <row r="124">
      <c r="A124" s="45"/>
      <c r="B124" s="45"/>
      <c r="I124" s="89"/>
      <c r="J124" s="89"/>
    </row>
    <row r="125">
      <c r="A125" s="45"/>
      <c r="B125" s="45"/>
      <c r="I125" s="89"/>
      <c r="J125" s="89"/>
    </row>
    <row r="126">
      <c r="A126" s="45"/>
      <c r="B126" s="45"/>
      <c r="I126" s="89"/>
      <c r="J126" s="89"/>
    </row>
    <row r="127">
      <c r="A127" s="45"/>
      <c r="B127" s="45"/>
      <c r="I127" s="89"/>
      <c r="J127" s="89"/>
    </row>
    <row r="128">
      <c r="A128" s="45"/>
      <c r="B128" s="45"/>
      <c r="I128" s="89"/>
      <c r="J128" s="89"/>
    </row>
    <row r="129">
      <c r="A129" s="45"/>
      <c r="B129" s="45"/>
      <c r="I129" s="89"/>
      <c r="J129" s="89"/>
    </row>
    <row r="130">
      <c r="A130" s="45"/>
      <c r="B130" s="45"/>
      <c r="I130" s="89"/>
      <c r="J130" s="89"/>
    </row>
    <row r="131">
      <c r="A131" s="45"/>
      <c r="B131" s="45"/>
      <c r="I131" s="89"/>
      <c r="J131" s="89"/>
    </row>
    <row r="132">
      <c r="A132" s="45"/>
      <c r="B132" s="45"/>
      <c r="I132" s="89"/>
      <c r="J132" s="89"/>
    </row>
    <row r="133">
      <c r="A133" s="45"/>
      <c r="B133" s="45"/>
      <c r="I133" s="89"/>
      <c r="J133" s="89"/>
    </row>
    <row r="134">
      <c r="A134" s="45"/>
      <c r="B134" s="45"/>
      <c r="I134" s="89"/>
      <c r="J134" s="89"/>
    </row>
    <row r="135">
      <c r="A135" s="45"/>
      <c r="B135" s="45"/>
      <c r="I135" s="89"/>
      <c r="J135" s="89"/>
    </row>
    <row r="136">
      <c r="A136" s="45"/>
      <c r="B136" s="45"/>
      <c r="I136" s="89"/>
      <c r="J136" s="89"/>
    </row>
    <row r="137">
      <c r="A137" s="45"/>
      <c r="B137" s="45"/>
      <c r="I137" s="89"/>
      <c r="J137" s="89"/>
    </row>
    <row r="138">
      <c r="A138" s="45"/>
      <c r="B138" s="45"/>
      <c r="I138" s="89"/>
      <c r="J138" s="89"/>
    </row>
    <row r="139">
      <c r="A139" s="45"/>
      <c r="B139" s="45"/>
      <c r="I139" s="89"/>
      <c r="J139" s="89"/>
    </row>
    <row r="140">
      <c r="A140" s="45"/>
      <c r="B140" s="45"/>
      <c r="I140" s="89"/>
      <c r="J140" s="89"/>
    </row>
    <row r="141">
      <c r="A141" s="45"/>
      <c r="B141" s="45"/>
      <c r="I141" s="89"/>
      <c r="J141" s="89"/>
    </row>
    <row r="142">
      <c r="A142" s="45"/>
      <c r="B142" s="45"/>
      <c r="I142" s="89"/>
      <c r="J142" s="89"/>
    </row>
    <row r="143">
      <c r="A143" s="45"/>
      <c r="B143" s="45"/>
      <c r="I143" s="89"/>
      <c r="J143" s="89"/>
    </row>
    <row r="144">
      <c r="A144" s="45"/>
      <c r="B144" s="45"/>
      <c r="I144" s="89"/>
      <c r="J144" s="89"/>
    </row>
    <row r="145">
      <c r="A145" s="45"/>
      <c r="B145" s="45"/>
      <c r="I145" s="89"/>
      <c r="J145" s="89"/>
    </row>
    <row r="146">
      <c r="A146" s="45"/>
      <c r="B146" s="45"/>
      <c r="I146" s="89"/>
      <c r="J146" s="89"/>
    </row>
    <row r="147">
      <c r="A147" s="45"/>
      <c r="B147" s="45"/>
      <c r="I147" s="89"/>
      <c r="J147" s="89"/>
    </row>
    <row r="148">
      <c r="A148" s="45"/>
      <c r="B148" s="45"/>
      <c r="I148" s="89"/>
      <c r="J148" s="89"/>
    </row>
    <row r="149">
      <c r="A149" s="45"/>
      <c r="B149" s="45"/>
      <c r="I149" s="89"/>
      <c r="J149" s="89"/>
    </row>
    <row r="150">
      <c r="A150" s="45"/>
      <c r="B150" s="45"/>
      <c r="I150" s="89"/>
      <c r="J150" s="89"/>
    </row>
    <row r="151">
      <c r="A151" s="45"/>
      <c r="B151" s="45"/>
      <c r="I151" s="89"/>
      <c r="J151" s="89"/>
    </row>
    <row r="152">
      <c r="A152" s="45"/>
      <c r="B152" s="45"/>
      <c r="I152" s="89"/>
      <c r="J152" s="89"/>
    </row>
    <row r="153">
      <c r="A153" s="45"/>
      <c r="B153" s="45"/>
      <c r="I153" s="89"/>
      <c r="J153" s="89"/>
    </row>
    <row r="154">
      <c r="A154" s="45"/>
      <c r="B154" s="45"/>
      <c r="I154" s="89"/>
      <c r="J154" s="89"/>
    </row>
    <row r="155">
      <c r="A155" s="45"/>
      <c r="B155" s="45"/>
      <c r="I155" s="89"/>
      <c r="J155" s="89"/>
    </row>
    <row r="156">
      <c r="A156" s="45"/>
      <c r="B156" s="45"/>
      <c r="I156" s="89"/>
      <c r="J156" s="89"/>
    </row>
    <row r="157">
      <c r="A157" s="45"/>
      <c r="B157" s="45"/>
      <c r="I157" s="89"/>
      <c r="J157" s="89"/>
    </row>
    <row r="158">
      <c r="A158" s="45"/>
      <c r="B158" s="45"/>
      <c r="I158" s="89"/>
      <c r="J158" s="89"/>
    </row>
    <row r="159">
      <c r="A159" s="45"/>
      <c r="B159" s="45"/>
      <c r="I159" s="89"/>
      <c r="J159" s="89"/>
    </row>
    <row r="160">
      <c r="A160" s="45"/>
      <c r="B160" s="45"/>
      <c r="I160" s="89"/>
      <c r="J160" s="89"/>
    </row>
    <row r="161">
      <c r="A161" s="45"/>
      <c r="B161" s="45"/>
      <c r="I161" s="89"/>
      <c r="J161" s="89"/>
    </row>
    <row r="162">
      <c r="A162" s="45"/>
      <c r="B162" s="45"/>
      <c r="I162" s="89"/>
      <c r="J162" s="89"/>
    </row>
    <row r="163">
      <c r="A163" s="45"/>
      <c r="B163" s="45"/>
      <c r="I163" s="89"/>
      <c r="J163" s="89"/>
    </row>
    <row r="164">
      <c r="A164" s="45"/>
      <c r="B164" s="45"/>
      <c r="I164" s="89"/>
      <c r="J164" s="89"/>
    </row>
    <row r="165">
      <c r="A165" s="45"/>
      <c r="B165" s="45"/>
      <c r="I165" s="89"/>
      <c r="J165" s="89"/>
    </row>
    <row r="166">
      <c r="A166" s="45"/>
      <c r="B166" s="45"/>
      <c r="I166" s="89"/>
      <c r="J166" s="89"/>
    </row>
    <row r="167">
      <c r="A167" s="45"/>
      <c r="B167" s="45"/>
      <c r="I167" s="89"/>
      <c r="J167" s="89"/>
    </row>
    <row r="168">
      <c r="A168" s="45"/>
      <c r="B168" s="45"/>
      <c r="I168" s="89"/>
      <c r="J168" s="89"/>
    </row>
    <row r="169">
      <c r="A169" s="45"/>
      <c r="B169" s="45"/>
      <c r="I169" s="89"/>
      <c r="J169" s="89"/>
    </row>
    <row r="170">
      <c r="A170" s="45"/>
      <c r="B170" s="45"/>
      <c r="I170" s="89"/>
      <c r="J170" s="89"/>
    </row>
    <row r="171">
      <c r="A171" s="45"/>
      <c r="B171" s="45"/>
      <c r="I171" s="89"/>
      <c r="J171" s="89"/>
    </row>
    <row r="172">
      <c r="A172" s="45"/>
      <c r="B172" s="45"/>
      <c r="I172" s="89"/>
      <c r="J172" s="89"/>
    </row>
    <row r="173">
      <c r="A173" s="45"/>
      <c r="B173" s="45"/>
      <c r="I173" s="89"/>
      <c r="J173" s="89"/>
    </row>
    <row r="174">
      <c r="A174" s="45"/>
      <c r="B174" s="45"/>
      <c r="I174" s="89"/>
      <c r="J174" s="89"/>
    </row>
    <row r="175">
      <c r="A175" s="45"/>
      <c r="B175" s="45"/>
      <c r="I175" s="89"/>
      <c r="J175" s="89"/>
    </row>
    <row r="176">
      <c r="A176" s="45"/>
      <c r="B176" s="45"/>
      <c r="I176" s="89"/>
      <c r="J176" s="89"/>
    </row>
    <row r="177">
      <c r="A177" s="45"/>
      <c r="B177" s="45"/>
      <c r="I177" s="89"/>
      <c r="J177" s="89"/>
    </row>
    <row r="178">
      <c r="A178" s="45"/>
      <c r="B178" s="45"/>
      <c r="I178" s="89"/>
      <c r="J178" s="89"/>
    </row>
    <row r="179">
      <c r="A179" s="45"/>
      <c r="B179" s="45"/>
      <c r="I179" s="89"/>
      <c r="J179" s="89"/>
    </row>
    <row r="180">
      <c r="A180" s="45"/>
      <c r="B180" s="45"/>
      <c r="I180" s="89"/>
      <c r="J180" s="89"/>
    </row>
    <row r="181">
      <c r="A181" s="45"/>
      <c r="B181" s="45"/>
      <c r="I181" s="89"/>
      <c r="J181" s="89"/>
    </row>
    <row r="182">
      <c r="A182" s="45"/>
      <c r="B182" s="45"/>
      <c r="I182" s="89"/>
      <c r="J182" s="89"/>
    </row>
    <row r="183">
      <c r="A183" s="45"/>
      <c r="B183" s="45"/>
      <c r="I183" s="89"/>
      <c r="J183" s="89"/>
    </row>
    <row r="184">
      <c r="A184" s="45"/>
      <c r="B184" s="45"/>
      <c r="I184" s="89"/>
      <c r="J184" s="89"/>
    </row>
    <row r="185">
      <c r="A185" s="45"/>
      <c r="B185" s="45"/>
      <c r="I185" s="89"/>
      <c r="J185" s="89"/>
    </row>
    <row r="186">
      <c r="A186" s="45"/>
      <c r="B186" s="45"/>
      <c r="I186" s="89"/>
      <c r="J186" s="89"/>
    </row>
    <row r="187">
      <c r="A187" s="45"/>
      <c r="B187" s="45"/>
      <c r="I187" s="89"/>
      <c r="J187" s="89"/>
    </row>
    <row r="188">
      <c r="A188" s="45"/>
      <c r="B188" s="45"/>
      <c r="I188" s="89"/>
      <c r="J188" s="89"/>
    </row>
    <row r="189">
      <c r="A189" s="45"/>
      <c r="B189" s="45"/>
      <c r="I189" s="89"/>
      <c r="J189" s="89"/>
    </row>
    <row r="190">
      <c r="A190" s="45"/>
      <c r="B190" s="45"/>
      <c r="I190" s="89"/>
      <c r="J190" s="89"/>
    </row>
    <row r="191">
      <c r="A191" s="45"/>
      <c r="B191" s="45"/>
      <c r="I191" s="89"/>
      <c r="J191" s="89"/>
    </row>
    <row r="192">
      <c r="A192" s="45"/>
      <c r="B192" s="45"/>
      <c r="I192" s="89"/>
      <c r="J192" s="89"/>
    </row>
    <row r="193">
      <c r="A193" s="45"/>
      <c r="B193" s="45"/>
      <c r="I193" s="89"/>
      <c r="J193" s="89"/>
    </row>
    <row r="194">
      <c r="A194" s="45"/>
      <c r="B194" s="45"/>
      <c r="I194" s="89"/>
      <c r="J194" s="89"/>
    </row>
    <row r="195">
      <c r="A195" s="45"/>
      <c r="B195" s="45"/>
      <c r="I195" s="89"/>
      <c r="J195" s="89"/>
    </row>
    <row r="196">
      <c r="A196" s="45"/>
      <c r="B196" s="45"/>
      <c r="I196" s="89"/>
      <c r="J196" s="89"/>
    </row>
    <row r="197">
      <c r="A197" s="45"/>
      <c r="B197" s="45"/>
      <c r="I197" s="89"/>
      <c r="J197" s="89"/>
    </row>
    <row r="198">
      <c r="A198" s="45"/>
      <c r="B198" s="45"/>
      <c r="I198" s="89"/>
      <c r="J198" s="89"/>
    </row>
    <row r="199">
      <c r="A199" s="45"/>
      <c r="B199" s="45"/>
      <c r="I199" s="89"/>
      <c r="J199" s="89"/>
    </row>
    <row r="200">
      <c r="A200" s="45"/>
      <c r="B200" s="45"/>
      <c r="I200" s="89"/>
      <c r="J200" s="89"/>
    </row>
    <row r="201">
      <c r="A201" s="45"/>
      <c r="B201" s="45"/>
      <c r="I201" s="89"/>
      <c r="J201" s="89"/>
    </row>
    <row r="202">
      <c r="A202" s="45"/>
      <c r="B202" s="45"/>
      <c r="I202" s="89"/>
      <c r="J202" s="89"/>
    </row>
    <row r="203">
      <c r="A203" s="45"/>
      <c r="B203" s="45"/>
      <c r="I203" s="89"/>
      <c r="J203" s="89"/>
    </row>
    <row r="204">
      <c r="A204" s="45"/>
      <c r="B204" s="45"/>
      <c r="I204" s="89"/>
      <c r="J204" s="89"/>
    </row>
    <row r="205">
      <c r="A205" s="45"/>
      <c r="B205" s="45"/>
      <c r="I205" s="89"/>
      <c r="J205" s="89"/>
    </row>
    <row r="206">
      <c r="A206" s="45"/>
      <c r="B206" s="45"/>
      <c r="I206" s="89"/>
      <c r="J206" s="89"/>
    </row>
    <row r="207">
      <c r="A207" s="45"/>
      <c r="B207" s="45"/>
      <c r="I207" s="89"/>
      <c r="J207" s="89"/>
    </row>
    <row r="208">
      <c r="A208" s="45"/>
      <c r="B208" s="45"/>
      <c r="I208" s="89"/>
      <c r="J208" s="89"/>
    </row>
    <row r="209">
      <c r="A209" s="45"/>
      <c r="B209" s="45"/>
      <c r="I209" s="89"/>
      <c r="J209" s="89"/>
    </row>
    <row r="210">
      <c r="A210" s="45"/>
      <c r="B210" s="45"/>
      <c r="I210" s="89"/>
      <c r="J210" s="89"/>
    </row>
    <row r="211">
      <c r="A211" s="45"/>
      <c r="B211" s="45"/>
      <c r="I211" s="89"/>
      <c r="J211" s="89"/>
    </row>
    <row r="212">
      <c r="A212" s="45"/>
      <c r="B212" s="45"/>
      <c r="I212" s="89"/>
      <c r="J212" s="89"/>
    </row>
    <row r="213">
      <c r="A213" s="45"/>
      <c r="B213" s="45"/>
      <c r="I213" s="89"/>
      <c r="J213" s="89"/>
    </row>
    <row r="214">
      <c r="A214" s="45"/>
      <c r="B214" s="45"/>
      <c r="I214" s="89"/>
      <c r="J214" s="89"/>
    </row>
    <row r="215">
      <c r="A215" s="45"/>
      <c r="B215" s="45"/>
      <c r="I215" s="89"/>
      <c r="J215" s="89"/>
    </row>
    <row r="216">
      <c r="A216" s="45"/>
      <c r="B216" s="45"/>
      <c r="I216" s="89"/>
      <c r="J216" s="89"/>
    </row>
    <row r="217">
      <c r="A217" s="45"/>
      <c r="B217" s="45"/>
      <c r="I217" s="89"/>
      <c r="J217" s="89"/>
    </row>
    <row r="218">
      <c r="A218" s="45"/>
      <c r="B218" s="45"/>
      <c r="I218" s="89"/>
      <c r="J218" s="89"/>
    </row>
    <row r="219">
      <c r="A219" s="45"/>
      <c r="B219" s="45"/>
      <c r="I219" s="89"/>
      <c r="J219" s="89"/>
    </row>
    <row r="220">
      <c r="A220" s="45"/>
      <c r="B220" s="45"/>
      <c r="I220" s="89"/>
      <c r="J220" s="89"/>
    </row>
    <row r="221">
      <c r="A221" s="45"/>
      <c r="B221" s="45"/>
      <c r="I221" s="89"/>
      <c r="J221" s="89"/>
    </row>
    <row r="222">
      <c r="A222" s="45"/>
      <c r="B222" s="45"/>
      <c r="I222" s="89"/>
      <c r="J222" s="89"/>
    </row>
    <row r="223">
      <c r="A223" s="45"/>
      <c r="B223" s="45"/>
      <c r="I223" s="89"/>
      <c r="J223" s="89"/>
    </row>
    <row r="224">
      <c r="A224" s="45"/>
      <c r="B224" s="45"/>
      <c r="I224" s="89"/>
      <c r="J224" s="89"/>
    </row>
    <row r="225">
      <c r="A225" s="45"/>
      <c r="B225" s="45"/>
      <c r="I225" s="89"/>
      <c r="J225" s="89"/>
    </row>
    <row r="226">
      <c r="A226" s="45"/>
      <c r="B226" s="45"/>
      <c r="I226" s="89"/>
      <c r="J226" s="89"/>
    </row>
    <row r="227">
      <c r="A227" s="45"/>
      <c r="B227" s="45"/>
      <c r="I227" s="89"/>
      <c r="J227" s="89"/>
    </row>
    <row r="228">
      <c r="A228" s="45"/>
      <c r="B228" s="45"/>
      <c r="I228" s="89"/>
      <c r="J228" s="89"/>
    </row>
    <row r="229">
      <c r="A229" s="45"/>
      <c r="B229" s="45"/>
      <c r="I229" s="89"/>
      <c r="J229" s="89"/>
    </row>
    <row r="230">
      <c r="A230" s="45"/>
      <c r="B230" s="45"/>
      <c r="I230" s="89"/>
      <c r="J230" s="89"/>
    </row>
    <row r="231">
      <c r="A231" s="45"/>
      <c r="B231" s="45"/>
      <c r="I231" s="89"/>
      <c r="J231" s="89"/>
    </row>
    <row r="232">
      <c r="A232" s="45"/>
      <c r="B232" s="45"/>
      <c r="I232" s="89"/>
      <c r="J232" s="89"/>
    </row>
    <row r="233">
      <c r="A233" s="45"/>
      <c r="B233" s="45"/>
      <c r="I233" s="89"/>
      <c r="J233" s="89"/>
    </row>
    <row r="234">
      <c r="A234" s="45"/>
      <c r="B234" s="45"/>
      <c r="I234" s="89"/>
      <c r="J234" s="89"/>
    </row>
    <row r="235">
      <c r="A235" s="45"/>
      <c r="B235" s="45"/>
      <c r="I235" s="89"/>
      <c r="J235" s="89"/>
    </row>
    <row r="236">
      <c r="A236" s="45"/>
      <c r="B236" s="45"/>
      <c r="I236" s="89"/>
      <c r="J236" s="89"/>
    </row>
    <row r="237">
      <c r="A237" s="45"/>
      <c r="B237" s="45"/>
      <c r="I237" s="89"/>
      <c r="J237" s="89"/>
    </row>
    <row r="238">
      <c r="A238" s="45"/>
      <c r="B238" s="45"/>
      <c r="I238" s="89"/>
      <c r="J238" s="89"/>
    </row>
    <row r="239">
      <c r="A239" s="45"/>
      <c r="B239" s="45"/>
      <c r="I239" s="89"/>
      <c r="J239" s="89"/>
    </row>
    <row r="240">
      <c r="A240" s="45"/>
      <c r="B240" s="45"/>
      <c r="I240" s="89"/>
      <c r="J240" s="89"/>
    </row>
    <row r="241">
      <c r="A241" s="45"/>
      <c r="B241" s="45"/>
      <c r="I241" s="89"/>
      <c r="J241" s="89"/>
    </row>
    <row r="242">
      <c r="A242" s="45"/>
      <c r="B242" s="45"/>
      <c r="I242" s="89"/>
      <c r="J242" s="89"/>
    </row>
    <row r="243">
      <c r="A243" s="45"/>
      <c r="B243" s="45"/>
      <c r="I243" s="89"/>
      <c r="J243" s="89"/>
    </row>
    <row r="244">
      <c r="A244" s="45"/>
      <c r="B244" s="45"/>
      <c r="I244" s="89"/>
      <c r="J244" s="89"/>
    </row>
    <row r="245">
      <c r="A245" s="45"/>
      <c r="B245" s="45"/>
      <c r="I245" s="89"/>
      <c r="J245" s="89"/>
    </row>
    <row r="246">
      <c r="A246" s="45"/>
      <c r="B246" s="45"/>
      <c r="I246" s="89"/>
      <c r="J246" s="89"/>
    </row>
    <row r="247">
      <c r="A247" s="45"/>
      <c r="B247" s="45"/>
      <c r="I247" s="89"/>
      <c r="J247" s="89"/>
    </row>
    <row r="248">
      <c r="A248" s="45"/>
      <c r="B248" s="45"/>
      <c r="I248" s="89"/>
      <c r="J248" s="89"/>
    </row>
    <row r="249">
      <c r="A249" s="45"/>
      <c r="B249" s="45"/>
      <c r="I249" s="89"/>
      <c r="J249" s="89"/>
    </row>
    <row r="250">
      <c r="A250" s="45"/>
      <c r="B250" s="45"/>
      <c r="I250" s="89"/>
      <c r="J250" s="89"/>
    </row>
    <row r="251">
      <c r="A251" s="45"/>
      <c r="B251" s="45"/>
      <c r="I251" s="89"/>
      <c r="J251" s="89"/>
    </row>
    <row r="252">
      <c r="A252" s="45"/>
      <c r="B252" s="45"/>
      <c r="I252" s="89"/>
      <c r="J252" s="89"/>
    </row>
    <row r="253">
      <c r="A253" s="45"/>
      <c r="B253" s="45"/>
      <c r="I253" s="89"/>
      <c r="J253" s="89"/>
    </row>
    <row r="254">
      <c r="A254" s="45"/>
      <c r="B254" s="45"/>
      <c r="I254" s="89"/>
      <c r="J254" s="89"/>
    </row>
    <row r="255">
      <c r="A255" s="45"/>
      <c r="B255" s="45"/>
      <c r="I255" s="89"/>
      <c r="J255" s="89"/>
    </row>
    <row r="256">
      <c r="A256" s="45"/>
      <c r="B256" s="45"/>
      <c r="I256" s="89"/>
      <c r="J256" s="89"/>
    </row>
    <row r="257">
      <c r="A257" s="45"/>
      <c r="B257" s="45"/>
      <c r="I257" s="89"/>
      <c r="J257" s="89"/>
    </row>
    <row r="258">
      <c r="A258" s="45"/>
      <c r="B258" s="45"/>
      <c r="I258" s="89"/>
      <c r="J258" s="89"/>
    </row>
    <row r="259">
      <c r="A259" s="45"/>
      <c r="B259" s="45"/>
      <c r="I259" s="89"/>
      <c r="J259" s="89"/>
    </row>
    <row r="260">
      <c r="A260" s="45"/>
      <c r="B260" s="45"/>
      <c r="I260" s="89"/>
      <c r="J260" s="89"/>
    </row>
    <row r="261">
      <c r="A261" s="45"/>
      <c r="B261" s="45"/>
      <c r="I261" s="89"/>
      <c r="J261" s="89"/>
    </row>
    <row r="262">
      <c r="A262" s="45"/>
      <c r="B262" s="45"/>
      <c r="I262" s="89"/>
      <c r="J262" s="89"/>
    </row>
    <row r="263">
      <c r="A263" s="45"/>
      <c r="B263" s="45"/>
      <c r="I263" s="89"/>
      <c r="J263" s="89"/>
    </row>
    <row r="264">
      <c r="A264" s="45"/>
      <c r="B264" s="45"/>
      <c r="I264" s="89"/>
      <c r="J264" s="89"/>
    </row>
    <row r="265">
      <c r="A265" s="45"/>
      <c r="B265" s="45"/>
      <c r="I265" s="89"/>
      <c r="J265" s="89"/>
    </row>
    <row r="266">
      <c r="A266" s="45"/>
      <c r="B266" s="45"/>
      <c r="I266" s="89"/>
      <c r="J266" s="89"/>
    </row>
    <row r="267">
      <c r="A267" s="45"/>
      <c r="B267" s="45"/>
      <c r="I267" s="89"/>
      <c r="J267" s="89"/>
    </row>
    <row r="268">
      <c r="A268" s="45"/>
      <c r="B268" s="45"/>
      <c r="I268" s="89"/>
      <c r="J268" s="89"/>
    </row>
    <row r="269">
      <c r="A269" s="45"/>
      <c r="B269" s="45"/>
      <c r="I269" s="89"/>
      <c r="J269" s="89"/>
    </row>
    <row r="270">
      <c r="A270" s="45"/>
      <c r="B270" s="45"/>
      <c r="I270" s="89"/>
      <c r="J270" s="89"/>
    </row>
    <row r="271">
      <c r="A271" s="45"/>
      <c r="B271" s="45"/>
      <c r="I271" s="89"/>
      <c r="J271" s="89"/>
    </row>
    <row r="272">
      <c r="A272" s="45"/>
      <c r="B272" s="45"/>
      <c r="I272" s="89"/>
      <c r="J272" s="89"/>
    </row>
    <row r="273">
      <c r="A273" s="45"/>
      <c r="B273" s="45"/>
      <c r="I273" s="89"/>
      <c r="J273" s="89"/>
    </row>
    <row r="274">
      <c r="A274" s="45"/>
      <c r="B274" s="45"/>
      <c r="I274" s="89"/>
      <c r="J274" s="89"/>
    </row>
    <row r="275">
      <c r="A275" s="45"/>
      <c r="B275" s="45"/>
      <c r="I275" s="89"/>
      <c r="J275" s="89"/>
    </row>
    <row r="276">
      <c r="A276" s="45"/>
      <c r="B276" s="45"/>
      <c r="I276" s="89"/>
      <c r="J276" s="89"/>
    </row>
    <row r="277">
      <c r="A277" s="45"/>
      <c r="B277" s="45"/>
      <c r="I277" s="89"/>
      <c r="J277" s="89"/>
    </row>
    <row r="278">
      <c r="A278" s="45"/>
      <c r="B278" s="45"/>
      <c r="I278" s="89"/>
      <c r="J278" s="89"/>
    </row>
    <row r="279">
      <c r="A279" s="45"/>
      <c r="B279" s="45"/>
      <c r="I279" s="89"/>
      <c r="J279" s="89"/>
    </row>
    <row r="280">
      <c r="A280" s="45"/>
      <c r="B280" s="45"/>
      <c r="I280" s="89"/>
      <c r="J280" s="89"/>
    </row>
    <row r="281">
      <c r="A281" s="45"/>
      <c r="B281" s="45"/>
      <c r="I281" s="89"/>
      <c r="J281" s="89"/>
    </row>
    <row r="282">
      <c r="A282" s="45"/>
      <c r="B282" s="45"/>
      <c r="I282" s="89"/>
      <c r="J282" s="89"/>
    </row>
    <row r="283">
      <c r="A283" s="45"/>
      <c r="B283" s="45"/>
      <c r="I283" s="89"/>
      <c r="J283" s="89"/>
    </row>
    <row r="284">
      <c r="A284" s="45"/>
      <c r="B284" s="45"/>
      <c r="I284" s="89"/>
      <c r="J284" s="89"/>
    </row>
    <row r="285">
      <c r="A285" s="45"/>
      <c r="B285" s="45"/>
      <c r="I285" s="89"/>
      <c r="J285" s="89"/>
    </row>
    <row r="286">
      <c r="A286" s="45"/>
      <c r="B286" s="45"/>
      <c r="I286" s="89"/>
      <c r="J286" s="89"/>
    </row>
    <row r="287">
      <c r="A287" s="45"/>
      <c r="B287" s="45"/>
      <c r="I287" s="89"/>
      <c r="J287" s="89"/>
    </row>
    <row r="288">
      <c r="A288" s="45"/>
      <c r="B288" s="45"/>
      <c r="I288" s="89"/>
      <c r="J288" s="89"/>
    </row>
    <row r="289">
      <c r="A289" s="45"/>
      <c r="B289" s="45"/>
      <c r="I289" s="89"/>
      <c r="J289" s="89"/>
    </row>
    <row r="290">
      <c r="A290" s="45"/>
      <c r="B290" s="45"/>
      <c r="I290" s="89"/>
      <c r="J290" s="89"/>
    </row>
    <row r="291">
      <c r="A291" s="45"/>
      <c r="B291" s="45"/>
      <c r="I291" s="89"/>
      <c r="J291" s="89"/>
    </row>
    <row r="292">
      <c r="A292" s="45"/>
      <c r="B292" s="45"/>
      <c r="I292" s="89"/>
      <c r="J292" s="89"/>
    </row>
    <row r="293">
      <c r="A293" s="45"/>
      <c r="B293" s="45"/>
      <c r="I293" s="89"/>
      <c r="J293" s="89"/>
    </row>
    <row r="294">
      <c r="A294" s="45"/>
      <c r="B294" s="45"/>
      <c r="I294" s="89"/>
      <c r="J294" s="89"/>
    </row>
    <row r="295">
      <c r="A295" s="45"/>
      <c r="B295" s="45"/>
      <c r="I295" s="89"/>
      <c r="J295" s="89"/>
    </row>
    <row r="296">
      <c r="A296" s="45"/>
      <c r="B296" s="45"/>
      <c r="I296" s="89"/>
      <c r="J296" s="89"/>
    </row>
    <row r="297">
      <c r="A297" s="45"/>
      <c r="B297" s="45"/>
      <c r="I297" s="89"/>
      <c r="J297" s="89"/>
    </row>
    <row r="298">
      <c r="A298" s="45"/>
      <c r="B298" s="45"/>
      <c r="I298" s="89"/>
      <c r="J298" s="89"/>
    </row>
    <row r="299">
      <c r="A299" s="45"/>
      <c r="B299" s="45"/>
      <c r="I299" s="89"/>
      <c r="J299" s="89"/>
    </row>
    <row r="300">
      <c r="A300" s="45"/>
      <c r="B300" s="45"/>
      <c r="I300" s="89"/>
      <c r="J300" s="89"/>
    </row>
    <row r="301">
      <c r="A301" s="45"/>
      <c r="B301" s="45"/>
      <c r="I301" s="89"/>
      <c r="J301" s="89"/>
    </row>
    <row r="302">
      <c r="A302" s="45"/>
      <c r="B302" s="45"/>
      <c r="I302" s="89"/>
      <c r="J302" s="89"/>
    </row>
    <row r="303">
      <c r="A303" s="45"/>
      <c r="B303" s="45"/>
      <c r="I303" s="89"/>
      <c r="J303" s="89"/>
    </row>
    <row r="304">
      <c r="A304" s="45"/>
      <c r="B304" s="45"/>
      <c r="I304" s="89"/>
      <c r="J304" s="89"/>
    </row>
    <row r="305">
      <c r="A305" s="45"/>
      <c r="B305" s="45"/>
      <c r="I305" s="89"/>
      <c r="J305" s="89"/>
    </row>
    <row r="306">
      <c r="A306" s="45"/>
      <c r="B306" s="45"/>
      <c r="I306" s="89"/>
      <c r="J306" s="89"/>
    </row>
    <row r="307">
      <c r="A307" s="45"/>
      <c r="B307" s="45"/>
      <c r="I307" s="89"/>
      <c r="J307" s="89"/>
    </row>
    <row r="308">
      <c r="A308" s="45"/>
      <c r="B308" s="45"/>
      <c r="I308" s="89"/>
      <c r="J308" s="89"/>
    </row>
    <row r="309">
      <c r="A309" s="45"/>
      <c r="B309" s="45"/>
      <c r="I309" s="89"/>
      <c r="J309" s="89"/>
    </row>
    <row r="310">
      <c r="A310" s="45"/>
      <c r="B310" s="45"/>
      <c r="I310" s="89"/>
      <c r="J310" s="89"/>
    </row>
    <row r="311">
      <c r="A311" s="45"/>
      <c r="B311" s="45"/>
      <c r="I311" s="89"/>
      <c r="J311" s="89"/>
    </row>
    <row r="312">
      <c r="A312" s="45"/>
      <c r="B312" s="45"/>
      <c r="I312" s="89"/>
      <c r="J312" s="89"/>
    </row>
    <row r="313">
      <c r="A313" s="45"/>
      <c r="B313" s="45"/>
      <c r="I313" s="89"/>
      <c r="J313" s="89"/>
    </row>
    <row r="314">
      <c r="A314" s="45"/>
      <c r="B314" s="45"/>
      <c r="I314" s="89"/>
      <c r="J314" s="89"/>
    </row>
    <row r="315">
      <c r="A315" s="45"/>
      <c r="B315" s="45"/>
      <c r="I315" s="89"/>
      <c r="J315" s="89"/>
    </row>
    <row r="316">
      <c r="A316" s="45"/>
      <c r="B316" s="45"/>
      <c r="I316" s="89"/>
      <c r="J316" s="89"/>
    </row>
    <row r="317">
      <c r="A317" s="45"/>
      <c r="B317" s="45"/>
      <c r="I317" s="89"/>
      <c r="J317" s="89"/>
    </row>
    <row r="318">
      <c r="A318" s="45"/>
      <c r="B318" s="45"/>
      <c r="I318" s="89"/>
      <c r="J318" s="89"/>
    </row>
    <row r="319">
      <c r="A319" s="45"/>
      <c r="B319" s="45"/>
      <c r="I319" s="89"/>
      <c r="J319" s="89"/>
    </row>
    <row r="320">
      <c r="A320" s="45"/>
      <c r="B320" s="45"/>
      <c r="I320" s="89"/>
      <c r="J320" s="89"/>
    </row>
    <row r="321">
      <c r="A321" s="45"/>
      <c r="B321" s="45"/>
      <c r="I321" s="89"/>
      <c r="J321" s="89"/>
    </row>
    <row r="322">
      <c r="A322" s="45"/>
      <c r="B322" s="45"/>
      <c r="I322" s="89"/>
      <c r="J322" s="89"/>
    </row>
    <row r="323">
      <c r="A323" s="45"/>
      <c r="B323" s="45"/>
      <c r="I323" s="89"/>
      <c r="J323" s="89"/>
    </row>
    <row r="324">
      <c r="A324" s="45"/>
      <c r="B324" s="45"/>
      <c r="I324" s="89"/>
      <c r="J324" s="89"/>
    </row>
    <row r="325">
      <c r="A325" s="45"/>
      <c r="B325" s="45"/>
      <c r="I325" s="89"/>
      <c r="J325" s="89"/>
    </row>
    <row r="326">
      <c r="A326" s="45"/>
      <c r="B326" s="45"/>
      <c r="I326" s="89"/>
      <c r="J326" s="89"/>
    </row>
    <row r="327">
      <c r="A327" s="45"/>
      <c r="B327" s="45"/>
      <c r="I327" s="89"/>
      <c r="J327" s="89"/>
    </row>
    <row r="328">
      <c r="A328" s="45"/>
      <c r="B328" s="45"/>
      <c r="I328" s="89"/>
      <c r="J328" s="89"/>
    </row>
    <row r="329">
      <c r="A329" s="45"/>
      <c r="B329" s="45"/>
      <c r="I329" s="89"/>
      <c r="J329" s="89"/>
    </row>
    <row r="330">
      <c r="A330" s="45"/>
      <c r="B330" s="45"/>
      <c r="I330" s="89"/>
      <c r="J330" s="89"/>
    </row>
    <row r="331">
      <c r="A331" s="45"/>
      <c r="B331" s="45"/>
      <c r="I331" s="89"/>
      <c r="J331" s="89"/>
    </row>
    <row r="332">
      <c r="A332" s="45"/>
      <c r="B332" s="45"/>
      <c r="I332" s="89"/>
      <c r="J332" s="89"/>
    </row>
    <row r="333">
      <c r="A333" s="45"/>
      <c r="B333" s="45"/>
      <c r="I333" s="89"/>
      <c r="J333" s="89"/>
    </row>
    <row r="334">
      <c r="A334" s="45"/>
      <c r="B334" s="45"/>
      <c r="I334" s="89"/>
      <c r="J334" s="89"/>
    </row>
    <row r="335">
      <c r="A335" s="45"/>
      <c r="B335" s="45"/>
      <c r="I335" s="89"/>
      <c r="J335" s="89"/>
    </row>
    <row r="336">
      <c r="A336" s="45"/>
      <c r="B336" s="45"/>
      <c r="I336" s="89"/>
      <c r="J336" s="89"/>
    </row>
    <row r="337">
      <c r="A337" s="45"/>
      <c r="B337" s="45"/>
      <c r="I337" s="89"/>
      <c r="J337" s="89"/>
    </row>
    <row r="338">
      <c r="A338" s="45"/>
      <c r="B338" s="45"/>
      <c r="I338" s="89"/>
      <c r="J338" s="89"/>
    </row>
    <row r="339">
      <c r="A339" s="45"/>
      <c r="B339" s="45"/>
      <c r="I339" s="89"/>
      <c r="J339" s="89"/>
    </row>
    <row r="340">
      <c r="A340" s="45"/>
      <c r="B340" s="45"/>
      <c r="I340" s="89"/>
      <c r="J340" s="89"/>
    </row>
    <row r="341">
      <c r="A341" s="45"/>
      <c r="B341" s="45"/>
      <c r="I341" s="89"/>
      <c r="J341" s="89"/>
    </row>
    <row r="342">
      <c r="A342" s="45"/>
      <c r="B342" s="45"/>
      <c r="I342" s="89"/>
      <c r="J342" s="89"/>
    </row>
    <row r="343">
      <c r="A343" s="45"/>
      <c r="B343" s="45"/>
      <c r="I343" s="89"/>
      <c r="J343" s="89"/>
    </row>
    <row r="344">
      <c r="A344" s="45"/>
      <c r="B344" s="45"/>
      <c r="I344" s="89"/>
      <c r="J344" s="89"/>
    </row>
    <row r="345">
      <c r="A345" s="45"/>
      <c r="B345" s="45"/>
      <c r="I345" s="89"/>
      <c r="J345" s="89"/>
    </row>
    <row r="346">
      <c r="A346" s="45"/>
      <c r="B346" s="45"/>
      <c r="I346" s="89"/>
      <c r="J346" s="89"/>
    </row>
    <row r="347">
      <c r="A347" s="45"/>
      <c r="B347" s="45"/>
      <c r="I347" s="89"/>
      <c r="J347" s="89"/>
    </row>
    <row r="348">
      <c r="A348" s="45"/>
      <c r="B348" s="45"/>
      <c r="I348" s="89"/>
      <c r="J348" s="89"/>
    </row>
    <row r="349">
      <c r="A349" s="45"/>
      <c r="B349" s="45"/>
      <c r="I349" s="89"/>
      <c r="J349" s="89"/>
    </row>
    <row r="350">
      <c r="A350" s="45"/>
      <c r="B350" s="45"/>
      <c r="I350" s="89"/>
      <c r="J350" s="89"/>
    </row>
    <row r="351">
      <c r="A351" s="45"/>
      <c r="B351" s="45"/>
      <c r="I351" s="89"/>
      <c r="J351" s="89"/>
    </row>
    <row r="352">
      <c r="A352" s="45"/>
      <c r="B352" s="45"/>
      <c r="I352" s="89"/>
      <c r="J352" s="89"/>
    </row>
    <row r="353">
      <c r="A353" s="45"/>
      <c r="B353" s="45"/>
      <c r="I353" s="89"/>
      <c r="J353" s="89"/>
    </row>
    <row r="354">
      <c r="A354" s="45"/>
      <c r="B354" s="45"/>
      <c r="I354" s="89"/>
      <c r="J354" s="89"/>
    </row>
    <row r="355">
      <c r="A355" s="45"/>
      <c r="B355" s="45"/>
      <c r="I355" s="89"/>
      <c r="J355" s="89"/>
    </row>
    <row r="356">
      <c r="A356" s="45"/>
      <c r="B356" s="45"/>
      <c r="I356" s="89"/>
      <c r="J356" s="89"/>
    </row>
    <row r="357">
      <c r="A357" s="45"/>
      <c r="B357" s="45"/>
      <c r="I357" s="89"/>
      <c r="J357" s="89"/>
    </row>
    <row r="358">
      <c r="A358" s="45"/>
      <c r="B358" s="45"/>
      <c r="I358" s="89"/>
      <c r="J358" s="89"/>
    </row>
    <row r="359">
      <c r="A359" s="45"/>
      <c r="B359" s="45"/>
      <c r="I359" s="89"/>
      <c r="J359" s="89"/>
    </row>
    <row r="360">
      <c r="A360" s="45"/>
      <c r="B360" s="45"/>
      <c r="I360" s="89"/>
      <c r="J360" s="89"/>
    </row>
    <row r="361">
      <c r="A361" s="45"/>
      <c r="B361" s="45"/>
      <c r="I361" s="89"/>
      <c r="J361" s="89"/>
    </row>
    <row r="362">
      <c r="A362" s="45"/>
      <c r="B362" s="45"/>
      <c r="I362" s="89"/>
      <c r="J362" s="89"/>
    </row>
    <row r="363">
      <c r="A363" s="45"/>
      <c r="B363" s="45"/>
      <c r="I363" s="89"/>
      <c r="J363" s="89"/>
    </row>
    <row r="364">
      <c r="A364" s="45"/>
      <c r="B364" s="45"/>
      <c r="I364" s="89"/>
      <c r="J364" s="89"/>
    </row>
    <row r="365">
      <c r="A365" s="45"/>
      <c r="B365" s="45"/>
      <c r="I365" s="89"/>
      <c r="J365" s="89"/>
    </row>
    <row r="366">
      <c r="A366" s="45"/>
      <c r="B366" s="45"/>
      <c r="I366" s="89"/>
      <c r="J366" s="89"/>
    </row>
    <row r="367">
      <c r="A367" s="45"/>
      <c r="B367" s="45"/>
      <c r="I367" s="89"/>
      <c r="J367" s="89"/>
    </row>
    <row r="368">
      <c r="A368" s="45"/>
      <c r="B368" s="45"/>
      <c r="I368" s="89"/>
      <c r="J368" s="89"/>
    </row>
    <row r="369">
      <c r="A369" s="45"/>
      <c r="B369" s="45"/>
      <c r="I369" s="89"/>
      <c r="J369" s="89"/>
    </row>
    <row r="370">
      <c r="A370" s="45"/>
      <c r="B370" s="45"/>
      <c r="I370" s="89"/>
      <c r="J370" s="89"/>
    </row>
    <row r="371">
      <c r="A371" s="45"/>
      <c r="B371" s="45"/>
      <c r="I371" s="89"/>
      <c r="J371" s="89"/>
    </row>
    <row r="372">
      <c r="A372" s="45"/>
      <c r="B372" s="45"/>
      <c r="I372" s="89"/>
      <c r="J372" s="89"/>
    </row>
    <row r="373">
      <c r="A373" s="45"/>
      <c r="B373" s="45"/>
      <c r="I373" s="89"/>
      <c r="J373" s="89"/>
    </row>
    <row r="374">
      <c r="A374" s="45"/>
      <c r="B374" s="45"/>
      <c r="I374" s="89"/>
      <c r="J374" s="89"/>
    </row>
    <row r="375">
      <c r="A375" s="45"/>
      <c r="B375" s="45"/>
      <c r="I375" s="89"/>
      <c r="J375" s="89"/>
    </row>
    <row r="376">
      <c r="A376" s="45"/>
      <c r="B376" s="45"/>
      <c r="I376" s="89"/>
      <c r="J376" s="89"/>
    </row>
    <row r="377">
      <c r="A377" s="45"/>
      <c r="B377" s="45"/>
      <c r="I377" s="89"/>
      <c r="J377" s="89"/>
    </row>
    <row r="378">
      <c r="A378" s="45"/>
      <c r="B378" s="45"/>
      <c r="I378" s="89"/>
      <c r="J378" s="89"/>
    </row>
    <row r="379">
      <c r="A379" s="45"/>
      <c r="B379" s="45"/>
      <c r="I379" s="89"/>
      <c r="J379" s="89"/>
    </row>
    <row r="380">
      <c r="A380" s="45"/>
      <c r="B380" s="45"/>
      <c r="I380" s="89"/>
      <c r="J380" s="89"/>
    </row>
    <row r="381">
      <c r="A381" s="45"/>
      <c r="B381" s="45"/>
      <c r="I381" s="89"/>
      <c r="J381" s="89"/>
    </row>
    <row r="382">
      <c r="A382" s="45"/>
      <c r="B382" s="45"/>
      <c r="I382" s="89"/>
      <c r="J382" s="89"/>
    </row>
    <row r="383">
      <c r="A383" s="45"/>
      <c r="B383" s="45"/>
      <c r="I383" s="89"/>
      <c r="J383" s="89"/>
    </row>
    <row r="384">
      <c r="A384" s="45"/>
      <c r="B384" s="45"/>
      <c r="I384" s="89"/>
      <c r="J384" s="89"/>
    </row>
    <row r="385">
      <c r="A385" s="45"/>
      <c r="B385" s="45"/>
      <c r="I385" s="89"/>
      <c r="J385" s="89"/>
    </row>
    <row r="386">
      <c r="A386" s="45"/>
      <c r="B386" s="45"/>
      <c r="I386" s="89"/>
      <c r="J386" s="89"/>
    </row>
    <row r="387">
      <c r="A387" s="45"/>
      <c r="B387" s="45"/>
      <c r="I387" s="89"/>
      <c r="J387" s="89"/>
    </row>
    <row r="388">
      <c r="A388" s="45"/>
      <c r="B388" s="45"/>
      <c r="I388" s="89"/>
      <c r="J388" s="89"/>
    </row>
    <row r="389">
      <c r="A389" s="45"/>
      <c r="B389" s="45"/>
      <c r="I389" s="89"/>
      <c r="J389" s="89"/>
    </row>
    <row r="390">
      <c r="A390" s="45"/>
      <c r="B390" s="45"/>
      <c r="I390" s="89"/>
      <c r="J390" s="89"/>
    </row>
    <row r="391">
      <c r="A391" s="45"/>
      <c r="B391" s="45"/>
      <c r="I391" s="89"/>
      <c r="J391" s="89"/>
    </row>
    <row r="392">
      <c r="A392" s="45"/>
      <c r="B392" s="45"/>
      <c r="I392" s="89"/>
      <c r="J392" s="89"/>
    </row>
    <row r="393">
      <c r="A393" s="45"/>
      <c r="B393" s="45"/>
      <c r="I393" s="89"/>
      <c r="J393" s="89"/>
    </row>
    <row r="394">
      <c r="A394" s="45"/>
      <c r="B394" s="45"/>
      <c r="I394" s="89"/>
      <c r="J394" s="89"/>
    </row>
    <row r="395">
      <c r="A395" s="45"/>
      <c r="B395" s="45"/>
      <c r="I395" s="89"/>
      <c r="J395" s="89"/>
    </row>
    <row r="396">
      <c r="A396" s="45"/>
      <c r="B396" s="45"/>
      <c r="I396" s="89"/>
      <c r="J396" s="89"/>
    </row>
    <row r="397">
      <c r="A397" s="45"/>
      <c r="B397" s="45"/>
      <c r="I397" s="89"/>
      <c r="J397" s="89"/>
    </row>
    <row r="398">
      <c r="A398" s="45"/>
      <c r="B398" s="45"/>
      <c r="I398" s="89"/>
      <c r="J398" s="89"/>
    </row>
    <row r="399">
      <c r="A399" s="45"/>
      <c r="B399" s="45"/>
      <c r="I399" s="89"/>
      <c r="J399" s="89"/>
    </row>
    <row r="400">
      <c r="A400" s="45"/>
      <c r="B400" s="45"/>
      <c r="I400" s="89"/>
      <c r="J400" s="89"/>
    </row>
    <row r="401">
      <c r="A401" s="45"/>
      <c r="B401" s="45"/>
      <c r="I401" s="89"/>
      <c r="J401" s="89"/>
    </row>
    <row r="402">
      <c r="A402" s="45"/>
      <c r="B402" s="45"/>
      <c r="I402" s="89"/>
      <c r="J402" s="89"/>
    </row>
    <row r="403">
      <c r="A403" s="45"/>
      <c r="B403" s="45"/>
      <c r="I403" s="89"/>
      <c r="J403" s="89"/>
    </row>
    <row r="404">
      <c r="A404" s="45"/>
      <c r="B404" s="45"/>
      <c r="I404" s="89"/>
      <c r="J404" s="89"/>
    </row>
    <row r="405">
      <c r="A405" s="45"/>
      <c r="B405" s="45"/>
      <c r="I405" s="89"/>
      <c r="J405" s="89"/>
    </row>
    <row r="406">
      <c r="A406" s="45"/>
      <c r="B406" s="45"/>
      <c r="I406" s="89"/>
      <c r="J406" s="89"/>
    </row>
    <row r="407">
      <c r="A407" s="45"/>
      <c r="B407" s="45"/>
      <c r="I407" s="89"/>
      <c r="J407" s="89"/>
    </row>
    <row r="408">
      <c r="A408" s="45"/>
      <c r="B408" s="45"/>
      <c r="I408" s="89"/>
      <c r="J408" s="89"/>
    </row>
    <row r="409">
      <c r="A409" s="45"/>
      <c r="B409" s="45"/>
      <c r="I409" s="89"/>
      <c r="J409" s="89"/>
    </row>
    <row r="410">
      <c r="A410" s="45"/>
      <c r="B410" s="45"/>
      <c r="I410" s="89"/>
      <c r="J410" s="89"/>
    </row>
    <row r="411">
      <c r="A411" s="45"/>
      <c r="B411" s="45"/>
      <c r="I411" s="89"/>
      <c r="J411" s="89"/>
    </row>
    <row r="412">
      <c r="A412" s="45"/>
      <c r="B412" s="45"/>
      <c r="I412" s="89"/>
      <c r="J412" s="89"/>
    </row>
    <row r="413">
      <c r="A413" s="45"/>
      <c r="B413" s="45"/>
      <c r="I413" s="89"/>
      <c r="J413" s="89"/>
    </row>
    <row r="414">
      <c r="A414" s="45"/>
      <c r="B414" s="45"/>
      <c r="I414" s="89"/>
      <c r="J414" s="89"/>
    </row>
    <row r="415">
      <c r="A415" s="45"/>
      <c r="B415" s="45"/>
      <c r="I415" s="89"/>
      <c r="J415" s="89"/>
    </row>
    <row r="416">
      <c r="A416" s="45"/>
      <c r="B416" s="45"/>
      <c r="I416" s="89"/>
      <c r="J416" s="89"/>
    </row>
    <row r="417">
      <c r="A417" s="45"/>
      <c r="B417" s="45"/>
      <c r="I417" s="89"/>
      <c r="J417" s="89"/>
    </row>
    <row r="418">
      <c r="A418" s="45"/>
      <c r="B418" s="45"/>
      <c r="I418" s="89"/>
      <c r="J418" s="89"/>
    </row>
    <row r="419">
      <c r="A419" s="45"/>
      <c r="B419" s="45"/>
      <c r="I419" s="89"/>
      <c r="J419" s="89"/>
    </row>
    <row r="420">
      <c r="A420" s="45"/>
      <c r="B420" s="45"/>
      <c r="I420" s="89"/>
      <c r="J420" s="89"/>
    </row>
    <row r="421">
      <c r="A421" s="45"/>
      <c r="B421" s="45"/>
      <c r="I421" s="89"/>
      <c r="J421" s="89"/>
    </row>
    <row r="422">
      <c r="A422" s="45"/>
      <c r="B422" s="45"/>
      <c r="I422" s="89"/>
      <c r="J422" s="89"/>
    </row>
    <row r="423">
      <c r="A423" s="45"/>
      <c r="B423" s="45"/>
      <c r="I423" s="89"/>
      <c r="J423" s="89"/>
    </row>
    <row r="424">
      <c r="A424" s="45"/>
      <c r="B424" s="45"/>
      <c r="I424" s="89"/>
      <c r="J424" s="89"/>
    </row>
    <row r="425">
      <c r="A425" s="45"/>
      <c r="B425" s="45"/>
      <c r="I425" s="89"/>
      <c r="J425" s="89"/>
    </row>
    <row r="426">
      <c r="A426" s="45"/>
      <c r="B426" s="45"/>
      <c r="I426" s="89"/>
      <c r="J426" s="89"/>
    </row>
    <row r="427">
      <c r="A427" s="45"/>
      <c r="B427" s="45"/>
      <c r="I427" s="89"/>
      <c r="J427" s="89"/>
    </row>
    <row r="428">
      <c r="A428" s="45"/>
      <c r="B428" s="45"/>
      <c r="I428" s="89"/>
      <c r="J428" s="89"/>
    </row>
    <row r="429">
      <c r="A429" s="45"/>
      <c r="B429" s="45"/>
      <c r="I429" s="89"/>
      <c r="J429" s="89"/>
    </row>
    <row r="430">
      <c r="A430" s="45"/>
      <c r="B430" s="45"/>
      <c r="I430" s="89"/>
      <c r="J430" s="89"/>
    </row>
    <row r="431">
      <c r="A431" s="45"/>
      <c r="B431" s="45"/>
      <c r="I431" s="89"/>
      <c r="J431" s="89"/>
    </row>
    <row r="432">
      <c r="A432" s="45"/>
      <c r="B432" s="45"/>
      <c r="I432" s="89"/>
      <c r="J432" s="89"/>
    </row>
    <row r="433">
      <c r="A433" s="45"/>
      <c r="B433" s="45"/>
      <c r="I433" s="89"/>
      <c r="J433" s="89"/>
    </row>
    <row r="434">
      <c r="A434" s="45"/>
      <c r="B434" s="45"/>
      <c r="I434" s="89"/>
      <c r="J434" s="89"/>
    </row>
    <row r="435">
      <c r="A435" s="45"/>
      <c r="B435" s="45"/>
      <c r="I435" s="89"/>
      <c r="J435" s="89"/>
    </row>
    <row r="436">
      <c r="A436" s="45"/>
      <c r="B436" s="45"/>
      <c r="I436" s="89"/>
      <c r="J436" s="89"/>
    </row>
    <row r="437">
      <c r="A437" s="45"/>
      <c r="B437" s="45"/>
      <c r="I437" s="89"/>
      <c r="J437" s="89"/>
    </row>
    <row r="438">
      <c r="A438" s="45"/>
      <c r="B438" s="45"/>
      <c r="I438" s="89"/>
      <c r="J438" s="89"/>
    </row>
    <row r="439">
      <c r="A439" s="45"/>
      <c r="B439" s="45"/>
      <c r="I439" s="89"/>
      <c r="J439" s="89"/>
    </row>
    <row r="440">
      <c r="A440" s="45"/>
      <c r="B440" s="45"/>
      <c r="I440" s="89"/>
      <c r="J440" s="89"/>
    </row>
    <row r="441">
      <c r="A441" s="45"/>
      <c r="B441" s="45"/>
      <c r="I441" s="89"/>
      <c r="J441" s="89"/>
    </row>
    <row r="442">
      <c r="A442" s="45"/>
      <c r="B442" s="45"/>
      <c r="I442" s="89"/>
      <c r="J442" s="89"/>
    </row>
    <row r="443">
      <c r="A443" s="45"/>
      <c r="B443" s="45"/>
      <c r="I443" s="89"/>
      <c r="J443" s="89"/>
    </row>
    <row r="444">
      <c r="A444" s="45"/>
      <c r="B444" s="45"/>
      <c r="I444" s="89"/>
      <c r="J444" s="89"/>
    </row>
    <row r="445">
      <c r="A445" s="45"/>
      <c r="B445" s="45"/>
      <c r="I445" s="89"/>
      <c r="J445" s="89"/>
    </row>
    <row r="446">
      <c r="A446" s="45"/>
      <c r="B446" s="45"/>
      <c r="I446" s="89"/>
      <c r="J446" s="89"/>
    </row>
    <row r="447">
      <c r="A447" s="45"/>
      <c r="B447" s="45"/>
      <c r="I447" s="89"/>
      <c r="J447" s="89"/>
    </row>
    <row r="448">
      <c r="A448" s="45"/>
      <c r="B448" s="45"/>
      <c r="I448" s="89"/>
      <c r="J448" s="89"/>
    </row>
    <row r="449">
      <c r="A449" s="45"/>
      <c r="B449" s="45"/>
      <c r="I449" s="89"/>
      <c r="J449" s="89"/>
    </row>
    <row r="450">
      <c r="A450" s="45"/>
      <c r="B450" s="45"/>
      <c r="I450" s="89"/>
      <c r="J450" s="89"/>
    </row>
    <row r="451">
      <c r="A451" s="45"/>
      <c r="B451" s="45"/>
      <c r="I451" s="89"/>
      <c r="J451" s="89"/>
    </row>
    <row r="452">
      <c r="A452" s="45"/>
      <c r="B452" s="45"/>
      <c r="I452" s="89"/>
      <c r="J452" s="89"/>
    </row>
    <row r="453">
      <c r="A453" s="45"/>
      <c r="B453" s="45"/>
      <c r="I453" s="89"/>
      <c r="J453" s="89"/>
    </row>
    <row r="454">
      <c r="A454" s="45"/>
      <c r="B454" s="45"/>
      <c r="I454" s="89"/>
      <c r="J454" s="89"/>
    </row>
    <row r="455">
      <c r="A455" s="45"/>
      <c r="B455" s="45"/>
      <c r="I455" s="89"/>
      <c r="J455" s="89"/>
    </row>
    <row r="456">
      <c r="A456" s="45"/>
      <c r="B456" s="45"/>
      <c r="I456" s="89"/>
      <c r="J456" s="89"/>
    </row>
    <row r="457">
      <c r="A457" s="45"/>
      <c r="B457" s="45"/>
      <c r="I457" s="89"/>
      <c r="J457" s="89"/>
    </row>
    <row r="458">
      <c r="A458" s="45"/>
      <c r="B458" s="45"/>
      <c r="I458" s="89"/>
      <c r="J458" s="89"/>
    </row>
    <row r="459">
      <c r="A459" s="45"/>
      <c r="B459" s="45"/>
      <c r="I459" s="89"/>
      <c r="J459" s="89"/>
    </row>
    <row r="460">
      <c r="A460" s="45"/>
      <c r="B460" s="45"/>
      <c r="I460" s="89"/>
      <c r="J460" s="89"/>
    </row>
    <row r="461">
      <c r="A461" s="45"/>
      <c r="B461" s="45"/>
      <c r="I461" s="89"/>
      <c r="J461" s="89"/>
    </row>
    <row r="462">
      <c r="A462" s="45"/>
      <c r="B462" s="45"/>
      <c r="I462" s="89"/>
      <c r="J462" s="89"/>
    </row>
    <row r="463">
      <c r="A463" s="45"/>
      <c r="B463" s="45"/>
      <c r="I463" s="89"/>
      <c r="J463" s="89"/>
    </row>
    <row r="464">
      <c r="A464" s="45"/>
      <c r="B464" s="45"/>
      <c r="I464" s="89"/>
      <c r="J464" s="89"/>
    </row>
    <row r="465">
      <c r="A465" s="45"/>
      <c r="B465" s="45"/>
      <c r="I465" s="89"/>
      <c r="J465" s="89"/>
    </row>
    <row r="466">
      <c r="A466" s="45"/>
      <c r="B466" s="45"/>
      <c r="I466" s="89"/>
      <c r="J466" s="89"/>
    </row>
    <row r="467">
      <c r="A467" s="45"/>
      <c r="B467" s="45"/>
      <c r="I467" s="89"/>
      <c r="J467" s="89"/>
    </row>
    <row r="468">
      <c r="A468" s="45"/>
      <c r="B468" s="45"/>
      <c r="I468" s="89"/>
      <c r="J468" s="89"/>
    </row>
    <row r="469">
      <c r="A469" s="45"/>
      <c r="B469" s="45"/>
      <c r="I469" s="89"/>
      <c r="J469" s="89"/>
    </row>
    <row r="470">
      <c r="A470" s="45"/>
      <c r="B470" s="45"/>
      <c r="I470" s="89"/>
      <c r="J470" s="89"/>
    </row>
    <row r="471">
      <c r="A471" s="45"/>
      <c r="B471" s="45"/>
      <c r="I471" s="89"/>
      <c r="J471" s="89"/>
    </row>
    <row r="472">
      <c r="A472" s="45"/>
      <c r="B472" s="45"/>
      <c r="I472" s="89"/>
      <c r="J472" s="89"/>
    </row>
    <row r="473">
      <c r="A473" s="45"/>
      <c r="B473" s="45"/>
      <c r="I473" s="89"/>
      <c r="J473" s="89"/>
    </row>
    <row r="474">
      <c r="A474" s="45"/>
      <c r="B474" s="45"/>
      <c r="I474" s="89"/>
      <c r="J474" s="89"/>
    </row>
    <row r="475">
      <c r="A475" s="45"/>
      <c r="B475" s="45"/>
      <c r="I475" s="89"/>
      <c r="J475" s="89"/>
    </row>
    <row r="476">
      <c r="A476" s="45"/>
      <c r="B476" s="45"/>
      <c r="I476" s="89"/>
      <c r="J476" s="89"/>
    </row>
    <row r="477">
      <c r="A477" s="45"/>
      <c r="B477" s="45"/>
      <c r="I477" s="89"/>
      <c r="J477" s="89"/>
    </row>
    <row r="478">
      <c r="A478" s="45"/>
      <c r="B478" s="45"/>
      <c r="I478" s="89"/>
      <c r="J478" s="89"/>
    </row>
    <row r="479">
      <c r="A479" s="45"/>
      <c r="B479" s="45"/>
      <c r="I479" s="89"/>
      <c r="J479" s="89"/>
    </row>
    <row r="480">
      <c r="A480" s="45"/>
      <c r="B480" s="45"/>
      <c r="I480" s="89"/>
      <c r="J480" s="89"/>
    </row>
    <row r="481">
      <c r="A481" s="45"/>
      <c r="B481" s="45"/>
      <c r="I481" s="89"/>
      <c r="J481" s="89"/>
    </row>
    <row r="482">
      <c r="A482" s="45"/>
      <c r="B482" s="45"/>
      <c r="I482" s="89"/>
      <c r="J482" s="89"/>
    </row>
    <row r="483">
      <c r="A483" s="45"/>
      <c r="B483" s="45"/>
      <c r="I483" s="89"/>
      <c r="J483" s="89"/>
    </row>
    <row r="484">
      <c r="A484" s="45"/>
      <c r="B484" s="45"/>
      <c r="I484" s="89"/>
      <c r="J484" s="89"/>
    </row>
    <row r="485">
      <c r="A485" s="45"/>
      <c r="B485" s="45"/>
      <c r="I485" s="89"/>
      <c r="J485" s="89"/>
    </row>
    <row r="486">
      <c r="A486" s="45"/>
      <c r="B486" s="45"/>
      <c r="I486" s="89"/>
      <c r="J486" s="89"/>
    </row>
    <row r="487">
      <c r="A487" s="45"/>
      <c r="B487" s="45"/>
      <c r="I487" s="89"/>
      <c r="J487" s="89"/>
    </row>
    <row r="488">
      <c r="A488" s="45"/>
      <c r="B488" s="45"/>
      <c r="I488" s="89"/>
      <c r="J488" s="89"/>
    </row>
    <row r="489">
      <c r="A489" s="45"/>
      <c r="B489" s="45"/>
      <c r="I489" s="89"/>
      <c r="J489" s="89"/>
    </row>
    <row r="490">
      <c r="A490" s="45"/>
      <c r="B490" s="45"/>
      <c r="I490" s="89"/>
      <c r="J490" s="89"/>
    </row>
    <row r="491">
      <c r="A491" s="45"/>
      <c r="B491" s="45"/>
      <c r="I491" s="89"/>
      <c r="J491" s="89"/>
    </row>
    <row r="492">
      <c r="A492" s="45"/>
      <c r="B492" s="45"/>
      <c r="I492" s="89"/>
      <c r="J492" s="89"/>
    </row>
    <row r="493">
      <c r="A493" s="45"/>
      <c r="B493" s="45"/>
      <c r="I493" s="89"/>
      <c r="J493" s="89"/>
    </row>
    <row r="494">
      <c r="A494" s="45"/>
      <c r="B494" s="45"/>
      <c r="I494" s="89"/>
      <c r="J494" s="89"/>
    </row>
    <row r="495">
      <c r="A495" s="45"/>
      <c r="B495" s="45"/>
      <c r="I495" s="89"/>
      <c r="J495" s="89"/>
    </row>
    <row r="496">
      <c r="A496" s="45"/>
      <c r="B496" s="45"/>
      <c r="I496" s="89"/>
      <c r="J496" s="89"/>
    </row>
    <row r="497">
      <c r="A497" s="45"/>
      <c r="B497" s="45"/>
      <c r="I497" s="89"/>
      <c r="J497" s="89"/>
    </row>
    <row r="498">
      <c r="A498" s="45"/>
      <c r="B498" s="45"/>
      <c r="I498" s="89"/>
      <c r="J498" s="89"/>
    </row>
    <row r="499">
      <c r="A499" s="45"/>
      <c r="B499" s="45"/>
      <c r="I499" s="89"/>
      <c r="J499" s="89"/>
    </row>
    <row r="500">
      <c r="A500" s="45"/>
      <c r="B500" s="45"/>
      <c r="I500" s="89"/>
      <c r="J500" s="89"/>
    </row>
    <row r="501">
      <c r="A501" s="45"/>
      <c r="B501" s="45"/>
      <c r="I501" s="89"/>
      <c r="J501" s="89"/>
    </row>
    <row r="502">
      <c r="A502" s="45"/>
      <c r="B502" s="45"/>
      <c r="I502" s="89"/>
      <c r="J502" s="89"/>
    </row>
    <row r="503">
      <c r="A503" s="45"/>
      <c r="B503" s="45"/>
      <c r="I503" s="89"/>
      <c r="J503" s="89"/>
    </row>
    <row r="504">
      <c r="A504" s="45"/>
      <c r="B504" s="45"/>
      <c r="I504" s="89"/>
      <c r="J504" s="89"/>
    </row>
    <row r="505">
      <c r="A505" s="45"/>
      <c r="B505" s="45"/>
      <c r="I505" s="89"/>
      <c r="J505" s="89"/>
    </row>
    <row r="506">
      <c r="A506" s="45"/>
      <c r="B506" s="45"/>
      <c r="I506" s="89"/>
      <c r="J506" s="89"/>
    </row>
    <row r="507">
      <c r="A507" s="45"/>
      <c r="B507" s="45"/>
      <c r="I507" s="89"/>
      <c r="J507" s="89"/>
    </row>
    <row r="508">
      <c r="A508" s="45"/>
      <c r="B508" s="45"/>
      <c r="I508" s="89"/>
      <c r="J508" s="89"/>
    </row>
    <row r="509">
      <c r="A509" s="45"/>
      <c r="B509" s="45"/>
      <c r="I509" s="89"/>
      <c r="J509" s="89"/>
    </row>
    <row r="510">
      <c r="A510" s="45"/>
      <c r="B510" s="45"/>
      <c r="I510" s="89"/>
      <c r="J510" s="89"/>
    </row>
    <row r="511">
      <c r="A511" s="45"/>
      <c r="B511" s="45"/>
      <c r="I511" s="89"/>
      <c r="J511" s="89"/>
    </row>
    <row r="512">
      <c r="A512" s="45"/>
      <c r="B512" s="45"/>
      <c r="I512" s="89"/>
      <c r="J512" s="89"/>
    </row>
    <row r="513">
      <c r="A513" s="45"/>
      <c r="B513" s="45"/>
      <c r="I513" s="89"/>
      <c r="J513" s="89"/>
    </row>
    <row r="514">
      <c r="A514" s="45"/>
      <c r="B514" s="45"/>
      <c r="I514" s="89"/>
      <c r="J514" s="89"/>
    </row>
    <row r="515">
      <c r="A515" s="45"/>
      <c r="B515" s="45"/>
      <c r="I515" s="89"/>
      <c r="J515" s="89"/>
    </row>
    <row r="516">
      <c r="A516" s="45"/>
      <c r="B516" s="45"/>
      <c r="I516" s="89"/>
      <c r="J516" s="89"/>
    </row>
    <row r="517">
      <c r="A517" s="45"/>
      <c r="B517" s="45"/>
      <c r="I517" s="89"/>
      <c r="J517" s="89"/>
    </row>
    <row r="518">
      <c r="A518" s="45"/>
      <c r="B518" s="45"/>
      <c r="I518" s="89"/>
      <c r="J518" s="89"/>
    </row>
    <row r="519">
      <c r="A519" s="45"/>
      <c r="B519" s="45"/>
      <c r="I519" s="89"/>
      <c r="J519" s="89"/>
    </row>
    <row r="520">
      <c r="A520" s="45"/>
      <c r="B520" s="45"/>
      <c r="I520" s="89"/>
      <c r="J520" s="89"/>
    </row>
    <row r="521">
      <c r="A521" s="45"/>
      <c r="B521" s="45"/>
      <c r="I521" s="89"/>
      <c r="J521" s="89"/>
    </row>
    <row r="522">
      <c r="A522" s="45"/>
      <c r="B522" s="45"/>
      <c r="I522" s="89"/>
      <c r="J522" s="89"/>
    </row>
    <row r="523">
      <c r="A523" s="45"/>
      <c r="B523" s="45"/>
      <c r="I523" s="89"/>
      <c r="J523" s="89"/>
    </row>
    <row r="524">
      <c r="A524" s="45"/>
      <c r="B524" s="45"/>
      <c r="I524" s="89"/>
      <c r="J524" s="89"/>
    </row>
    <row r="525">
      <c r="A525" s="45"/>
      <c r="B525" s="45"/>
      <c r="I525" s="89"/>
      <c r="J525" s="89"/>
    </row>
    <row r="526">
      <c r="A526" s="45"/>
      <c r="B526" s="45"/>
      <c r="I526" s="89"/>
      <c r="J526" s="89"/>
    </row>
    <row r="527">
      <c r="A527" s="45"/>
      <c r="B527" s="45"/>
      <c r="I527" s="89"/>
      <c r="J527" s="89"/>
    </row>
    <row r="528">
      <c r="A528" s="45"/>
      <c r="B528" s="45"/>
      <c r="I528" s="89"/>
      <c r="J528" s="89"/>
    </row>
    <row r="529">
      <c r="A529" s="45"/>
      <c r="B529" s="45"/>
      <c r="I529" s="89"/>
      <c r="J529" s="89"/>
    </row>
    <row r="530">
      <c r="A530" s="45"/>
      <c r="B530" s="45"/>
      <c r="I530" s="89"/>
      <c r="J530" s="89"/>
    </row>
    <row r="531">
      <c r="A531" s="45"/>
      <c r="B531" s="45"/>
      <c r="I531" s="89"/>
      <c r="J531" s="89"/>
    </row>
    <row r="532">
      <c r="A532" s="45"/>
      <c r="B532" s="45"/>
      <c r="I532" s="89"/>
      <c r="J532" s="89"/>
    </row>
    <row r="533">
      <c r="A533" s="45"/>
      <c r="B533" s="45"/>
      <c r="I533" s="89"/>
      <c r="J533" s="89"/>
    </row>
    <row r="534">
      <c r="A534" s="45"/>
      <c r="B534" s="45"/>
      <c r="I534" s="89"/>
      <c r="J534" s="89"/>
    </row>
    <row r="535">
      <c r="A535" s="45"/>
      <c r="B535" s="45"/>
      <c r="I535" s="89"/>
      <c r="J535" s="89"/>
    </row>
    <row r="536">
      <c r="A536" s="45"/>
      <c r="B536" s="45"/>
      <c r="I536" s="89"/>
      <c r="J536" s="89"/>
    </row>
    <row r="537">
      <c r="A537" s="45"/>
      <c r="B537" s="45"/>
      <c r="I537" s="89"/>
      <c r="J537" s="89"/>
    </row>
    <row r="538">
      <c r="A538" s="45"/>
      <c r="B538" s="45"/>
      <c r="I538" s="89"/>
      <c r="J538" s="89"/>
    </row>
    <row r="539">
      <c r="A539" s="45"/>
      <c r="B539" s="45"/>
      <c r="I539" s="89"/>
      <c r="J539" s="89"/>
    </row>
    <row r="540">
      <c r="A540" s="45"/>
      <c r="B540" s="45"/>
      <c r="I540" s="89"/>
      <c r="J540" s="89"/>
    </row>
    <row r="541">
      <c r="A541" s="45"/>
      <c r="B541" s="45"/>
      <c r="I541" s="89"/>
      <c r="J541" s="89"/>
    </row>
    <row r="542">
      <c r="A542" s="45"/>
      <c r="B542" s="45"/>
      <c r="I542" s="89"/>
      <c r="J542" s="89"/>
    </row>
    <row r="543">
      <c r="A543" s="45"/>
      <c r="B543" s="45"/>
      <c r="I543" s="89"/>
      <c r="J543" s="89"/>
    </row>
    <row r="544">
      <c r="A544" s="45"/>
      <c r="B544" s="45"/>
      <c r="I544" s="89"/>
      <c r="J544" s="89"/>
    </row>
    <row r="545">
      <c r="A545" s="45"/>
      <c r="B545" s="45"/>
      <c r="I545" s="89"/>
      <c r="J545" s="89"/>
    </row>
    <row r="546">
      <c r="A546" s="45"/>
      <c r="B546" s="45"/>
      <c r="I546" s="89"/>
      <c r="J546" s="89"/>
    </row>
    <row r="547">
      <c r="A547" s="45"/>
      <c r="B547" s="45"/>
      <c r="I547" s="89"/>
      <c r="J547" s="89"/>
    </row>
    <row r="548">
      <c r="A548" s="45"/>
      <c r="B548" s="45"/>
      <c r="I548" s="89"/>
      <c r="J548" s="89"/>
    </row>
    <row r="549">
      <c r="A549" s="45"/>
      <c r="B549" s="45"/>
      <c r="I549" s="89"/>
      <c r="J549" s="89"/>
    </row>
    <row r="550">
      <c r="A550" s="45"/>
      <c r="B550" s="45"/>
      <c r="I550" s="89"/>
      <c r="J550" s="89"/>
    </row>
    <row r="551">
      <c r="A551" s="45"/>
      <c r="B551" s="45"/>
      <c r="I551" s="89"/>
      <c r="J551" s="89"/>
    </row>
    <row r="552">
      <c r="A552" s="45"/>
      <c r="B552" s="45"/>
      <c r="I552" s="89"/>
      <c r="J552" s="89"/>
    </row>
    <row r="553">
      <c r="A553" s="45"/>
      <c r="B553" s="45"/>
      <c r="I553" s="89"/>
      <c r="J553" s="89"/>
    </row>
    <row r="554">
      <c r="A554" s="45"/>
      <c r="B554" s="45"/>
      <c r="I554" s="89"/>
      <c r="J554" s="89"/>
    </row>
    <row r="555">
      <c r="A555" s="45"/>
      <c r="B555" s="45"/>
      <c r="I555" s="89"/>
      <c r="J555" s="89"/>
    </row>
    <row r="556">
      <c r="A556" s="45"/>
      <c r="B556" s="45"/>
      <c r="I556" s="89"/>
      <c r="J556" s="89"/>
    </row>
    <row r="557">
      <c r="A557" s="45"/>
      <c r="B557" s="45"/>
      <c r="I557" s="89"/>
      <c r="J557" s="89"/>
    </row>
    <row r="558">
      <c r="A558" s="45"/>
      <c r="B558" s="45"/>
      <c r="I558" s="89"/>
      <c r="J558" s="89"/>
    </row>
    <row r="559">
      <c r="A559" s="45"/>
      <c r="B559" s="45"/>
      <c r="I559" s="89"/>
      <c r="J559" s="89"/>
    </row>
    <row r="560">
      <c r="A560" s="45"/>
      <c r="B560" s="45"/>
      <c r="I560" s="89"/>
      <c r="J560" s="89"/>
    </row>
    <row r="561">
      <c r="A561" s="45"/>
      <c r="B561" s="45"/>
      <c r="I561" s="89"/>
      <c r="J561" s="89"/>
    </row>
    <row r="562">
      <c r="A562" s="45"/>
      <c r="B562" s="45"/>
      <c r="I562" s="89"/>
      <c r="J562" s="89"/>
    </row>
    <row r="563">
      <c r="A563" s="45"/>
      <c r="B563" s="45"/>
      <c r="I563" s="89"/>
      <c r="J563" s="89"/>
    </row>
    <row r="564">
      <c r="A564" s="45"/>
      <c r="B564" s="45"/>
      <c r="I564" s="89"/>
      <c r="J564" s="89"/>
    </row>
    <row r="565">
      <c r="A565" s="45"/>
      <c r="B565" s="45"/>
      <c r="I565" s="89"/>
      <c r="J565" s="89"/>
    </row>
    <row r="566">
      <c r="A566" s="45"/>
      <c r="B566" s="45"/>
      <c r="I566" s="89"/>
      <c r="J566" s="89"/>
    </row>
    <row r="567">
      <c r="A567" s="45"/>
      <c r="B567" s="45"/>
      <c r="I567" s="89"/>
      <c r="J567" s="89"/>
    </row>
    <row r="568">
      <c r="A568" s="45"/>
      <c r="B568" s="45"/>
      <c r="I568" s="89"/>
      <c r="J568" s="89"/>
    </row>
    <row r="569">
      <c r="A569" s="45"/>
      <c r="B569" s="45"/>
      <c r="I569" s="89"/>
      <c r="J569" s="89"/>
    </row>
    <row r="570">
      <c r="A570" s="45"/>
      <c r="B570" s="45"/>
      <c r="I570" s="89"/>
      <c r="J570" s="89"/>
    </row>
    <row r="571">
      <c r="A571" s="45"/>
      <c r="B571" s="45"/>
      <c r="I571" s="89"/>
      <c r="J571" s="89"/>
    </row>
    <row r="572">
      <c r="A572" s="45"/>
      <c r="B572" s="45"/>
      <c r="I572" s="89"/>
      <c r="J572" s="89"/>
    </row>
    <row r="573">
      <c r="A573" s="45"/>
      <c r="B573" s="45"/>
      <c r="I573" s="89"/>
      <c r="J573" s="89"/>
    </row>
    <row r="574">
      <c r="A574" s="45"/>
      <c r="B574" s="45"/>
      <c r="I574" s="89"/>
      <c r="J574" s="89"/>
    </row>
    <row r="575">
      <c r="A575" s="45"/>
      <c r="B575" s="45"/>
      <c r="I575" s="89"/>
      <c r="J575" s="89"/>
    </row>
    <row r="576">
      <c r="A576" s="45"/>
      <c r="B576" s="45"/>
      <c r="I576" s="89"/>
      <c r="J576" s="89"/>
    </row>
    <row r="577">
      <c r="A577" s="45"/>
      <c r="B577" s="45"/>
      <c r="I577" s="89"/>
      <c r="J577" s="89"/>
    </row>
    <row r="578">
      <c r="A578" s="45"/>
      <c r="B578" s="45"/>
      <c r="I578" s="89"/>
      <c r="J578" s="89"/>
    </row>
    <row r="579">
      <c r="A579" s="45"/>
      <c r="B579" s="45"/>
      <c r="I579" s="89"/>
      <c r="J579" s="89"/>
    </row>
    <row r="580">
      <c r="A580" s="45"/>
      <c r="B580" s="45"/>
      <c r="I580" s="89"/>
      <c r="J580" s="89"/>
    </row>
    <row r="581">
      <c r="A581" s="45"/>
      <c r="B581" s="45"/>
      <c r="I581" s="89"/>
      <c r="J581" s="89"/>
    </row>
    <row r="582">
      <c r="A582" s="45"/>
      <c r="B582" s="45"/>
      <c r="I582" s="89"/>
      <c r="J582" s="89"/>
    </row>
    <row r="583">
      <c r="A583" s="45"/>
      <c r="B583" s="45"/>
      <c r="I583" s="89"/>
      <c r="J583" s="89"/>
    </row>
    <row r="584">
      <c r="A584" s="45"/>
      <c r="B584" s="45"/>
      <c r="I584" s="89"/>
      <c r="J584" s="89"/>
    </row>
    <row r="585">
      <c r="A585" s="45"/>
      <c r="B585" s="45"/>
      <c r="I585" s="89"/>
      <c r="J585" s="89"/>
    </row>
    <row r="586">
      <c r="A586" s="45"/>
      <c r="B586" s="45"/>
      <c r="I586" s="89"/>
      <c r="J586" s="89"/>
    </row>
    <row r="587">
      <c r="A587" s="45"/>
      <c r="B587" s="45"/>
      <c r="I587" s="89"/>
      <c r="J587" s="89"/>
    </row>
    <row r="588">
      <c r="A588" s="45"/>
      <c r="B588" s="45"/>
      <c r="I588" s="89"/>
      <c r="J588" s="89"/>
    </row>
    <row r="589">
      <c r="A589" s="45"/>
      <c r="B589" s="45"/>
      <c r="I589" s="89"/>
      <c r="J589" s="89"/>
    </row>
    <row r="590">
      <c r="A590" s="45"/>
      <c r="B590" s="45"/>
      <c r="I590" s="89"/>
      <c r="J590" s="89"/>
    </row>
    <row r="591">
      <c r="A591" s="45"/>
      <c r="B591" s="45"/>
      <c r="I591" s="89"/>
      <c r="J591" s="89"/>
    </row>
    <row r="592">
      <c r="A592" s="45"/>
      <c r="B592" s="45"/>
      <c r="I592" s="89"/>
      <c r="J592" s="89"/>
    </row>
    <row r="593">
      <c r="A593" s="45"/>
      <c r="B593" s="45"/>
      <c r="I593" s="89"/>
      <c r="J593" s="89"/>
    </row>
    <row r="594">
      <c r="A594" s="45"/>
      <c r="B594" s="45"/>
      <c r="I594" s="89"/>
      <c r="J594" s="89"/>
    </row>
    <row r="595">
      <c r="A595" s="45"/>
      <c r="B595" s="45"/>
      <c r="I595" s="89"/>
      <c r="J595" s="89"/>
    </row>
    <row r="596">
      <c r="A596" s="45"/>
      <c r="B596" s="45"/>
      <c r="I596" s="89"/>
      <c r="J596" s="89"/>
    </row>
    <row r="597">
      <c r="A597" s="45"/>
      <c r="B597" s="45"/>
      <c r="I597" s="89"/>
      <c r="J597" s="89"/>
    </row>
    <row r="598">
      <c r="A598" s="45"/>
      <c r="B598" s="45"/>
      <c r="I598" s="89"/>
      <c r="J598" s="89"/>
    </row>
    <row r="599">
      <c r="A599" s="45"/>
      <c r="B599" s="45"/>
      <c r="I599" s="89"/>
      <c r="J599" s="89"/>
    </row>
    <row r="600">
      <c r="A600" s="45"/>
      <c r="B600" s="45"/>
      <c r="I600" s="89"/>
      <c r="J600" s="89"/>
    </row>
    <row r="601">
      <c r="A601" s="45"/>
      <c r="B601" s="45"/>
      <c r="I601" s="89"/>
      <c r="J601" s="89"/>
    </row>
    <row r="602">
      <c r="A602" s="45"/>
      <c r="B602" s="45"/>
      <c r="I602" s="89"/>
      <c r="J602" s="89"/>
    </row>
    <row r="603">
      <c r="A603" s="45"/>
      <c r="B603" s="45"/>
      <c r="I603" s="89"/>
      <c r="J603" s="89"/>
    </row>
    <row r="604">
      <c r="A604" s="45"/>
      <c r="B604" s="45"/>
      <c r="I604" s="89"/>
      <c r="J604" s="89"/>
    </row>
    <row r="605">
      <c r="A605" s="45"/>
      <c r="B605" s="45"/>
      <c r="I605" s="89"/>
      <c r="J605" s="89"/>
    </row>
    <row r="606">
      <c r="A606" s="45"/>
      <c r="B606" s="45"/>
      <c r="I606" s="89"/>
      <c r="J606" s="89"/>
    </row>
    <row r="607">
      <c r="A607" s="45"/>
      <c r="B607" s="45"/>
      <c r="I607" s="89"/>
      <c r="J607" s="89"/>
    </row>
    <row r="608">
      <c r="A608" s="45"/>
      <c r="B608" s="45"/>
      <c r="I608" s="89"/>
      <c r="J608" s="89"/>
    </row>
    <row r="609">
      <c r="A609" s="45"/>
      <c r="B609" s="45"/>
      <c r="I609" s="89"/>
      <c r="J609" s="89"/>
    </row>
    <row r="610">
      <c r="A610" s="45"/>
      <c r="B610" s="45"/>
      <c r="I610" s="89"/>
      <c r="J610" s="89"/>
    </row>
    <row r="611">
      <c r="A611" s="45"/>
      <c r="B611" s="45"/>
      <c r="I611" s="89"/>
      <c r="J611" s="89"/>
    </row>
    <row r="612">
      <c r="A612" s="45"/>
      <c r="B612" s="45"/>
      <c r="I612" s="89"/>
      <c r="J612" s="89"/>
    </row>
    <row r="613">
      <c r="A613" s="45"/>
      <c r="B613" s="45"/>
      <c r="I613" s="89"/>
      <c r="J613" s="89"/>
    </row>
    <row r="614">
      <c r="A614" s="45"/>
      <c r="B614" s="45"/>
      <c r="I614" s="89"/>
      <c r="J614" s="89"/>
    </row>
    <row r="615">
      <c r="A615" s="45"/>
      <c r="B615" s="45"/>
      <c r="I615" s="89"/>
      <c r="J615" s="89"/>
    </row>
    <row r="616">
      <c r="A616" s="45"/>
      <c r="B616" s="45"/>
      <c r="I616" s="89"/>
      <c r="J616" s="89"/>
    </row>
    <row r="617">
      <c r="A617" s="45"/>
      <c r="B617" s="45"/>
      <c r="I617" s="89"/>
      <c r="J617" s="89"/>
    </row>
    <row r="618">
      <c r="A618" s="45"/>
      <c r="B618" s="45"/>
      <c r="I618" s="89"/>
      <c r="J618" s="89"/>
    </row>
    <row r="619">
      <c r="A619" s="45"/>
      <c r="B619" s="45"/>
      <c r="I619" s="89"/>
      <c r="J619" s="89"/>
    </row>
    <row r="620">
      <c r="A620" s="45"/>
      <c r="B620" s="45"/>
      <c r="I620" s="89"/>
      <c r="J620" s="89"/>
    </row>
    <row r="621">
      <c r="A621" s="45"/>
      <c r="B621" s="45"/>
      <c r="I621" s="89"/>
      <c r="J621" s="89"/>
    </row>
    <row r="622">
      <c r="A622" s="45"/>
      <c r="B622" s="45"/>
      <c r="I622" s="89"/>
      <c r="J622" s="89"/>
    </row>
    <row r="623">
      <c r="A623" s="45"/>
      <c r="B623" s="45"/>
      <c r="I623" s="89"/>
      <c r="J623" s="89"/>
    </row>
    <row r="624">
      <c r="A624" s="45"/>
      <c r="B624" s="45"/>
      <c r="I624" s="89"/>
      <c r="J624" s="89"/>
    </row>
    <row r="625">
      <c r="A625" s="45"/>
      <c r="B625" s="45"/>
      <c r="I625" s="89"/>
      <c r="J625" s="89"/>
    </row>
    <row r="626">
      <c r="A626" s="45"/>
      <c r="B626" s="45"/>
      <c r="I626" s="89"/>
      <c r="J626" s="89"/>
    </row>
    <row r="627">
      <c r="A627" s="45"/>
      <c r="B627" s="45"/>
      <c r="I627" s="89"/>
      <c r="J627" s="89"/>
    </row>
    <row r="628">
      <c r="A628" s="45"/>
      <c r="B628" s="45"/>
      <c r="I628" s="89"/>
      <c r="J628" s="89"/>
    </row>
    <row r="629">
      <c r="A629" s="45"/>
      <c r="B629" s="45"/>
      <c r="I629" s="89"/>
      <c r="J629" s="89"/>
    </row>
    <row r="630">
      <c r="A630" s="45"/>
      <c r="B630" s="45"/>
      <c r="I630" s="89"/>
      <c r="J630" s="89"/>
    </row>
    <row r="631">
      <c r="A631" s="45"/>
      <c r="B631" s="45"/>
      <c r="I631" s="89"/>
      <c r="J631" s="89"/>
    </row>
    <row r="632">
      <c r="A632" s="45"/>
      <c r="B632" s="45"/>
      <c r="I632" s="89"/>
      <c r="J632" s="89"/>
    </row>
    <row r="633">
      <c r="A633" s="45"/>
      <c r="B633" s="45"/>
      <c r="I633" s="89"/>
      <c r="J633" s="89"/>
    </row>
    <row r="634">
      <c r="A634" s="45"/>
      <c r="B634" s="45"/>
      <c r="I634" s="89"/>
      <c r="J634" s="89"/>
    </row>
    <row r="635">
      <c r="A635" s="45"/>
      <c r="B635" s="45"/>
      <c r="I635" s="89"/>
      <c r="J635" s="89"/>
    </row>
    <row r="636">
      <c r="A636" s="45"/>
      <c r="B636" s="45"/>
      <c r="I636" s="89"/>
      <c r="J636" s="89"/>
    </row>
    <row r="637">
      <c r="A637" s="45"/>
      <c r="B637" s="45"/>
      <c r="I637" s="89"/>
      <c r="J637" s="89"/>
    </row>
    <row r="638">
      <c r="A638" s="45"/>
      <c r="B638" s="45"/>
      <c r="I638" s="89"/>
      <c r="J638" s="89"/>
    </row>
    <row r="639">
      <c r="A639" s="45"/>
      <c r="B639" s="45"/>
      <c r="I639" s="89"/>
      <c r="J639" s="89"/>
    </row>
    <row r="640">
      <c r="A640" s="45"/>
      <c r="B640" s="45"/>
      <c r="I640" s="89"/>
      <c r="J640" s="89"/>
    </row>
    <row r="641">
      <c r="A641" s="45"/>
      <c r="B641" s="45"/>
      <c r="I641" s="89"/>
      <c r="J641" s="89"/>
    </row>
    <row r="642">
      <c r="A642" s="45"/>
      <c r="B642" s="45"/>
      <c r="I642" s="89"/>
      <c r="J642" s="89"/>
    </row>
    <row r="643">
      <c r="A643" s="45"/>
      <c r="B643" s="45"/>
      <c r="I643" s="89"/>
      <c r="J643" s="89"/>
    </row>
    <row r="644">
      <c r="A644" s="45"/>
      <c r="B644" s="45"/>
      <c r="I644" s="89"/>
      <c r="J644" s="89"/>
    </row>
    <row r="645">
      <c r="A645" s="45"/>
      <c r="B645" s="45"/>
      <c r="I645" s="89"/>
      <c r="J645" s="89"/>
    </row>
    <row r="646">
      <c r="A646" s="45"/>
      <c r="B646" s="45"/>
      <c r="I646" s="89"/>
      <c r="J646" s="89"/>
    </row>
    <row r="647">
      <c r="A647" s="45"/>
      <c r="B647" s="45"/>
      <c r="I647" s="89"/>
      <c r="J647" s="89"/>
    </row>
    <row r="648">
      <c r="A648" s="45"/>
      <c r="B648" s="45"/>
      <c r="I648" s="89"/>
      <c r="J648" s="89"/>
    </row>
    <row r="649">
      <c r="A649" s="45"/>
      <c r="B649" s="45"/>
      <c r="I649" s="89"/>
      <c r="J649" s="89"/>
    </row>
    <row r="650">
      <c r="A650" s="45"/>
      <c r="B650" s="45"/>
      <c r="I650" s="89"/>
      <c r="J650" s="89"/>
    </row>
    <row r="651">
      <c r="A651" s="45"/>
      <c r="B651" s="45"/>
      <c r="I651" s="89"/>
      <c r="J651" s="89"/>
    </row>
    <row r="652">
      <c r="A652" s="45"/>
      <c r="B652" s="45"/>
      <c r="I652" s="89"/>
      <c r="J652" s="89"/>
    </row>
    <row r="653">
      <c r="A653" s="45"/>
      <c r="B653" s="45"/>
      <c r="I653" s="89"/>
      <c r="J653" s="89"/>
    </row>
    <row r="654">
      <c r="A654" s="45"/>
      <c r="B654" s="45"/>
      <c r="I654" s="89"/>
      <c r="J654" s="89"/>
    </row>
    <row r="655">
      <c r="A655" s="45"/>
      <c r="B655" s="45"/>
      <c r="I655" s="89"/>
      <c r="J655" s="89"/>
    </row>
    <row r="656">
      <c r="A656" s="45"/>
      <c r="B656" s="45"/>
      <c r="I656" s="89"/>
      <c r="J656" s="89"/>
    </row>
    <row r="657">
      <c r="A657" s="45"/>
      <c r="B657" s="45"/>
      <c r="I657" s="89"/>
      <c r="J657" s="89"/>
    </row>
    <row r="658">
      <c r="A658" s="45"/>
      <c r="B658" s="45"/>
      <c r="I658" s="89"/>
      <c r="J658" s="89"/>
    </row>
    <row r="659">
      <c r="A659" s="45"/>
      <c r="B659" s="45"/>
      <c r="I659" s="89"/>
      <c r="J659" s="89"/>
    </row>
    <row r="660">
      <c r="A660" s="45"/>
      <c r="B660" s="45"/>
      <c r="I660" s="89"/>
      <c r="J660" s="89"/>
    </row>
    <row r="661">
      <c r="A661" s="45"/>
      <c r="B661" s="45"/>
      <c r="I661" s="89"/>
      <c r="J661" s="89"/>
    </row>
    <row r="662">
      <c r="A662" s="45"/>
      <c r="B662" s="45"/>
      <c r="I662" s="89"/>
      <c r="J662" s="89"/>
    </row>
    <row r="663">
      <c r="A663" s="45"/>
      <c r="B663" s="45"/>
      <c r="I663" s="89"/>
      <c r="J663" s="89"/>
    </row>
    <row r="664">
      <c r="A664" s="45"/>
      <c r="B664" s="45"/>
      <c r="I664" s="89"/>
      <c r="J664" s="89"/>
    </row>
    <row r="665">
      <c r="A665" s="45"/>
      <c r="B665" s="45"/>
      <c r="I665" s="89"/>
      <c r="J665" s="89"/>
    </row>
    <row r="666">
      <c r="A666" s="45"/>
      <c r="B666" s="45"/>
      <c r="I666" s="89"/>
      <c r="J666" s="89"/>
    </row>
    <row r="667">
      <c r="A667" s="45"/>
      <c r="B667" s="45"/>
      <c r="I667" s="89"/>
      <c r="J667" s="89"/>
    </row>
    <row r="668">
      <c r="A668" s="45"/>
      <c r="B668" s="45"/>
      <c r="I668" s="89"/>
      <c r="J668" s="89"/>
    </row>
    <row r="669">
      <c r="A669" s="45"/>
      <c r="B669" s="45"/>
      <c r="I669" s="89"/>
      <c r="J669" s="89"/>
    </row>
    <row r="670">
      <c r="A670" s="45"/>
      <c r="B670" s="45"/>
      <c r="I670" s="89"/>
      <c r="J670" s="89"/>
    </row>
    <row r="671">
      <c r="A671" s="45"/>
      <c r="B671" s="45"/>
      <c r="I671" s="89"/>
      <c r="J671" s="89"/>
    </row>
    <row r="672">
      <c r="A672" s="45"/>
      <c r="B672" s="45"/>
      <c r="I672" s="89"/>
      <c r="J672" s="89"/>
    </row>
    <row r="673">
      <c r="A673" s="45"/>
      <c r="B673" s="45"/>
      <c r="I673" s="89"/>
      <c r="J673" s="89"/>
    </row>
    <row r="674">
      <c r="A674" s="45"/>
      <c r="B674" s="45"/>
      <c r="I674" s="89"/>
      <c r="J674" s="89"/>
    </row>
    <row r="675">
      <c r="A675" s="45"/>
      <c r="B675" s="45"/>
      <c r="I675" s="89"/>
      <c r="J675" s="89"/>
    </row>
    <row r="676">
      <c r="A676" s="45"/>
      <c r="B676" s="45"/>
      <c r="I676" s="89"/>
      <c r="J676" s="89"/>
    </row>
    <row r="677">
      <c r="A677" s="45"/>
      <c r="B677" s="45"/>
      <c r="I677" s="89"/>
      <c r="J677" s="89"/>
    </row>
    <row r="678">
      <c r="A678" s="45"/>
      <c r="B678" s="45"/>
      <c r="I678" s="89"/>
      <c r="J678" s="89"/>
    </row>
    <row r="679">
      <c r="A679" s="45"/>
      <c r="B679" s="45"/>
      <c r="I679" s="89"/>
      <c r="J679" s="89"/>
    </row>
    <row r="680">
      <c r="A680" s="45"/>
      <c r="B680" s="45"/>
      <c r="I680" s="89"/>
      <c r="J680" s="89"/>
    </row>
    <row r="681">
      <c r="A681" s="45"/>
      <c r="B681" s="45"/>
      <c r="I681" s="89"/>
      <c r="J681" s="89"/>
    </row>
    <row r="682">
      <c r="A682" s="45"/>
      <c r="B682" s="45"/>
      <c r="I682" s="89"/>
      <c r="J682" s="89"/>
    </row>
    <row r="683">
      <c r="A683" s="45"/>
      <c r="B683" s="45"/>
      <c r="I683" s="89"/>
      <c r="J683" s="89"/>
    </row>
    <row r="684">
      <c r="A684" s="45"/>
      <c r="B684" s="45"/>
      <c r="I684" s="89"/>
      <c r="J684" s="89"/>
    </row>
    <row r="685">
      <c r="A685" s="45"/>
      <c r="B685" s="45"/>
      <c r="I685" s="89"/>
      <c r="J685" s="89"/>
    </row>
    <row r="686">
      <c r="A686" s="45"/>
      <c r="B686" s="45"/>
      <c r="I686" s="89"/>
      <c r="J686" s="89"/>
    </row>
    <row r="687">
      <c r="A687" s="45"/>
      <c r="B687" s="45"/>
      <c r="I687" s="89"/>
      <c r="J687" s="89"/>
    </row>
    <row r="688">
      <c r="A688" s="45"/>
      <c r="B688" s="45"/>
      <c r="I688" s="89"/>
      <c r="J688" s="89"/>
    </row>
    <row r="689">
      <c r="A689" s="45"/>
      <c r="B689" s="45"/>
      <c r="I689" s="89"/>
      <c r="J689" s="89"/>
    </row>
    <row r="690">
      <c r="A690" s="45"/>
      <c r="B690" s="45"/>
      <c r="I690" s="89"/>
      <c r="J690" s="89"/>
    </row>
    <row r="691">
      <c r="A691" s="45"/>
      <c r="B691" s="45"/>
      <c r="I691" s="89"/>
      <c r="J691" s="89"/>
    </row>
    <row r="692">
      <c r="A692" s="45"/>
      <c r="B692" s="45"/>
      <c r="I692" s="89"/>
      <c r="J692" s="89"/>
    </row>
    <row r="693">
      <c r="A693" s="45"/>
      <c r="B693" s="45"/>
      <c r="I693" s="89"/>
      <c r="J693" s="89"/>
    </row>
    <row r="694">
      <c r="A694" s="45"/>
      <c r="B694" s="45"/>
      <c r="I694" s="89"/>
      <c r="J694" s="89"/>
    </row>
    <row r="695">
      <c r="A695" s="45"/>
      <c r="B695" s="45"/>
      <c r="I695" s="89"/>
      <c r="J695" s="89"/>
    </row>
    <row r="696">
      <c r="A696" s="45"/>
      <c r="B696" s="45"/>
      <c r="I696" s="89"/>
      <c r="J696" s="89"/>
    </row>
    <row r="697">
      <c r="A697" s="45"/>
      <c r="B697" s="45"/>
      <c r="I697" s="89"/>
      <c r="J697" s="89"/>
    </row>
    <row r="698">
      <c r="A698" s="45"/>
      <c r="B698" s="45"/>
      <c r="I698" s="89"/>
      <c r="J698" s="89"/>
    </row>
    <row r="699">
      <c r="A699" s="45"/>
      <c r="B699" s="45"/>
      <c r="I699" s="89"/>
      <c r="J699" s="89"/>
    </row>
    <row r="700">
      <c r="A700" s="45"/>
      <c r="B700" s="45"/>
      <c r="I700" s="89"/>
      <c r="J700" s="89"/>
    </row>
    <row r="701">
      <c r="A701" s="45"/>
      <c r="B701" s="45"/>
      <c r="I701" s="89"/>
      <c r="J701" s="89"/>
    </row>
    <row r="702">
      <c r="A702" s="45"/>
      <c r="B702" s="45"/>
      <c r="I702" s="89"/>
      <c r="J702" s="89"/>
    </row>
    <row r="703">
      <c r="A703" s="45"/>
      <c r="B703" s="45"/>
      <c r="I703" s="89"/>
      <c r="J703" s="89"/>
    </row>
    <row r="704">
      <c r="A704" s="45"/>
      <c r="B704" s="45"/>
      <c r="I704" s="89"/>
      <c r="J704" s="89"/>
    </row>
    <row r="705">
      <c r="A705" s="45"/>
      <c r="B705" s="45"/>
      <c r="I705" s="89"/>
      <c r="J705" s="89"/>
    </row>
    <row r="706">
      <c r="A706" s="45"/>
      <c r="B706" s="45"/>
      <c r="I706" s="89"/>
      <c r="J706" s="89"/>
    </row>
    <row r="707">
      <c r="A707" s="45"/>
      <c r="B707" s="45"/>
      <c r="I707" s="89"/>
      <c r="J707" s="89"/>
    </row>
    <row r="708">
      <c r="A708" s="45"/>
      <c r="B708" s="45"/>
      <c r="I708" s="89"/>
      <c r="J708" s="89"/>
    </row>
    <row r="709">
      <c r="A709" s="45"/>
      <c r="B709" s="45"/>
      <c r="I709" s="89"/>
      <c r="J709" s="89"/>
    </row>
    <row r="710">
      <c r="A710" s="45"/>
      <c r="B710" s="45"/>
      <c r="I710" s="89"/>
      <c r="J710" s="89"/>
    </row>
    <row r="711">
      <c r="A711" s="45"/>
      <c r="B711" s="45"/>
      <c r="I711" s="89"/>
      <c r="J711" s="89"/>
    </row>
    <row r="712">
      <c r="A712" s="45"/>
      <c r="B712" s="45"/>
      <c r="I712" s="89"/>
      <c r="J712" s="89"/>
    </row>
    <row r="713">
      <c r="A713" s="45"/>
      <c r="B713" s="45"/>
      <c r="I713" s="89"/>
      <c r="J713" s="89"/>
    </row>
    <row r="714">
      <c r="A714" s="45"/>
      <c r="B714" s="45"/>
      <c r="I714" s="89"/>
      <c r="J714" s="89"/>
    </row>
    <row r="715">
      <c r="A715" s="45"/>
      <c r="B715" s="45"/>
      <c r="I715" s="89"/>
      <c r="J715" s="89"/>
    </row>
    <row r="716">
      <c r="A716" s="45"/>
      <c r="B716" s="45"/>
      <c r="I716" s="89"/>
      <c r="J716" s="89"/>
    </row>
    <row r="717">
      <c r="A717" s="45"/>
      <c r="B717" s="45"/>
      <c r="I717" s="89"/>
      <c r="J717" s="89"/>
    </row>
    <row r="718">
      <c r="A718" s="45"/>
      <c r="B718" s="45"/>
      <c r="I718" s="89"/>
      <c r="J718" s="89"/>
    </row>
    <row r="719">
      <c r="A719" s="45"/>
      <c r="B719" s="45"/>
      <c r="I719" s="89"/>
      <c r="J719" s="89"/>
    </row>
    <row r="720">
      <c r="A720" s="45"/>
      <c r="B720" s="45"/>
      <c r="I720" s="89"/>
      <c r="J720" s="89"/>
    </row>
    <row r="721">
      <c r="A721" s="45"/>
      <c r="B721" s="45"/>
      <c r="I721" s="89"/>
      <c r="J721" s="89"/>
    </row>
    <row r="722">
      <c r="A722" s="45"/>
      <c r="B722" s="45"/>
      <c r="I722" s="89"/>
      <c r="J722" s="89"/>
    </row>
    <row r="723">
      <c r="A723" s="45"/>
      <c r="B723" s="45"/>
      <c r="I723" s="89"/>
      <c r="J723" s="89"/>
    </row>
    <row r="724">
      <c r="A724" s="45"/>
      <c r="B724" s="45"/>
      <c r="I724" s="89"/>
      <c r="J724" s="89"/>
    </row>
    <row r="725">
      <c r="A725" s="45"/>
      <c r="B725" s="45"/>
      <c r="I725" s="89"/>
      <c r="J725" s="89"/>
    </row>
    <row r="726">
      <c r="A726" s="45"/>
      <c r="B726" s="45"/>
      <c r="I726" s="89"/>
      <c r="J726" s="89"/>
    </row>
    <row r="727">
      <c r="A727" s="45"/>
      <c r="B727" s="45"/>
      <c r="I727" s="89"/>
      <c r="J727" s="89"/>
    </row>
    <row r="728">
      <c r="A728" s="45"/>
      <c r="B728" s="45"/>
      <c r="I728" s="89"/>
      <c r="J728" s="89"/>
    </row>
    <row r="729">
      <c r="A729" s="45"/>
      <c r="B729" s="45"/>
      <c r="I729" s="89"/>
      <c r="J729" s="89"/>
    </row>
    <row r="730">
      <c r="A730" s="45"/>
      <c r="B730" s="45"/>
      <c r="I730" s="89"/>
      <c r="J730" s="89"/>
    </row>
    <row r="731">
      <c r="A731" s="45"/>
      <c r="B731" s="45"/>
      <c r="I731" s="89"/>
      <c r="J731" s="89"/>
    </row>
    <row r="732">
      <c r="A732" s="45"/>
      <c r="B732" s="45"/>
      <c r="I732" s="89"/>
      <c r="J732" s="89"/>
    </row>
    <row r="733">
      <c r="A733" s="45"/>
      <c r="B733" s="45"/>
      <c r="I733" s="89"/>
      <c r="J733" s="89"/>
    </row>
    <row r="734">
      <c r="A734" s="45"/>
      <c r="B734" s="45"/>
      <c r="I734" s="89"/>
      <c r="J734" s="89"/>
    </row>
    <row r="735">
      <c r="A735" s="45"/>
      <c r="B735" s="45"/>
      <c r="I735" s="89"/>
      <c r="J735" s="89"/>
    </row>
    <row r="736">
      <c r="A736" s="45"/>
      <c r="B736" s="45"/>
      <c r="I736" s="89"/>
      <c r="J736" s="89"/>
    </row>
    <row r="737">
      <c r="A737" s="45"/>
      <c r="B737" s="45"/>
      <c r="I737" s="89"/>
      <c r="J737" s="89"/>
    </row>
    <row r="738">
      <c r="A738" s="45"/>
      <c r="B738" s="45"/>
      <c r="I738" s="89"/>
      <c r="J738" s="89"/>
    </row>
    <row r="739">
      <c r="A739" s="45"/>
      <c r="B739" s="45"/>
      <c r="I739" s="89"/>
      <c r="J739" s="89"/>
    </row>
    <row r="740">
      <c r="A740" s="45"/>
      <c r="B740" s="45"/>
      <c r="I740" s="89"/>
      <c r="J740" s="89"/>
    </row>
    <row r="741">
      <c r="A741" s="45"/>
      <c r="B741" s="45"/>
      <c r="I741" s="89"/>
      <c r="J741" s="89"/>
    </row>
    <row r="742">
      <c r="A742" s="45"/>
      <c r="B742" s="45"/>
      <c r="I742" s="89"/>
      <c r="J742" s="89"/>
    </row>
    <row r="743">
      <c r="A743" s="45"/>
      <c r="B743" s="45"/>
      <c r="I743" s="89"/>
      <c r="J743" s="89"/>
    </row>
    <row r="744">
      <c r="A744" s="45"/>
      <c r="B744" s="45"/>
      <c r="I744" s="89"/>
      <c r="J744" s="89"/>
    </row>
    <row r="745">
      <c r="A745" s="45"/>
      <c r="B745" s="45"/>
      <c r="I745" s="89"/>
      <c r="J745" s="89"/>
    </row>
    <row r="746">
      <c r="A746" s="45"/>
      <c r="B746" s="45"/>
      <c r="I746" s="89"/>
      <c r="J746" s="89"/>
    </row>
    <row r="747">
      <c r="A747" s="45"/>
      <c r="B747" s="45"/>
      <c r="I747" s="89"/>
      <c r="J747" s="89"/>
    </row>
    <row r="748">
      <c r="A748" s="45"/>
      <c r="B748" s="45"/>
      <c r="I748" s="89"/>
      <c r="J748" s="89"/>
    </row>
    <row r="749">
      <c r="A749" s="45"/>
      <c r="B749" s="45"/>
      <c r="I749" s="89"/>
      <c r="J749" s="89"/>
    </row>
    <row r="750">
      <c r="A750" s="45"/>
      <c r="B750" s="45"/>
      <c r="I750" s="89"/>
      <c r="J750" s="89"/>
    </row>
    <row r="751">
      <c r="A751" s="45"/>
      <c r="B751" s="45"/>
      <c r="I751" s="89"/>
      <c r="J751" s="89"/>
    </row>
    <row r="752">
      <c r="A752" s="45"/>
      <c r="B752" s="45"/>
      <c r="I752" s="89"/>
      <c r="J752" s="89"/>
    </row>
    <row r="753">
      <c r="A753" s="45"/>
      <c r="B753" s="45"/>
      <c r="I753" s="89"/>
      <c r="J753" s="89"/>
    </row>
    <row r="754">
      <c r="A754" s="45"/>
      <c r="B754" s="45"/>
      <c r="I754" s="89"/>
      <c r="J754" s="89"/>
    </row>
    <row r="755">
      <c r="A755" s="45"/>
      <c r="B755" s="45"/>
      <c r="I755" s="89"/>
      <c r="J755" s="89"/>
    </row>
    <row r="756">
      <c r="A756" s="45"/>
      <c r="B756" s="45"/>
      <c r="I756" s="89"/>
      <c r="J756" s="89"/>
    </row>
    <row r="757">
      <c r="A757" s="45"/>
      <c r="B757" s="45"/>
      <c r="I757" s="89"/>
      <c r="J757" s="89"/>
    </row>
    <row r="758">
      <c r="A758" s="45"/>
      <c r="B758" s="45"/>
      <c r="I758" s="89"/>
      <c r="J758" s="89"/>
    </row>
    <row r="759">
      <c r="A759" s="45"/>
      <c r="B759" s="45"/>
      <c r="I759" s="89"/>
      <c r="J759" s="89"/>
    </row>
    <row r="760">
      <c r="A760" s="45"/>
      <c r="B760" s="45"/>
      <c r="I760" s="89"/>
      <c r="J760" s="89"/>
    </row>
    <row r="761">
      <c r="A761" s="45"/>
      <c r="B761" s="45"/>
      <c r="I761" s="89"/>
      <c r="J761" s="89"/>
    </row>
    <row r="762">
      <c r="A762" s="45"/>
      <c r="B762" s="45"/>
      <c r="I762" s="89"/>
      <c r="J762" s="89"/>
    </row>
    <row r="763">
      <c r="A763" s="45"/>
      <c r="B763" s="45"/>
      <c r="I763" s="89"/>
      <c r="J763" s="89"/>
    </row>
    <row r="764">
      <c r="A764" s="45"/>
      <c r="B764" s="45"/>
      <c r="I764" s="89"/>
      <c r="J764" s="89"/>
    </row>
    <row r="765">
      <c r="A765" s="45"/>
      <c r="B765" s="45"/>
      <c r="I765" s="89"/>
      <c r="J765" s="89"/>
    </row>
    <row r="766">
      <c r="A766" s="45"/>
      <c r="B766" s="45"/>
      <c r="I766" s="89"/>
      <c r="J766" s="89"/>
    </row>
    <row r="767">
      <c r="A767" s="45"/>
      <c r="B767" s="45"/>
      <c r="I767" s="89"/>
      <c r="J767" s="89"/>
    </row>
    <row r="768">
      <c r="A768" s="45"/>
      <c r="B768" s="45"/>
      <c r="I768" s="89"/>
      <c r="J768" s="89"/>
    </row>
    <row r="769">
      <c r="A769" s="45"/>
      <c r="B769" s="45"/>
      <c r="I769" s="89"/>
      <c r="J769" s="89"/>
    </row>
    <row r="770">
      <c r="A770" s="45"/>
      <c r="B770" s="45"/>
      <c r="I770" s="89"/>
      <c r="J770" s="89"/>
    </row>
    <row r="771">
      <c r="A771" s="45"/>
      <c r="B771" s="45"/>
      <c r="I771" s="89"/>
      <c r="J771" s="89"/>
    </row>
    <row r="772">
      <c r="A772" s="45"/>
      <c r="B772" s="45"/>
      <c r="I772" s="89"/>
      <c r="J772" s="89"/>
    </row>
    <row r="773">
      <c r="A773" s="45"/>
      <c r="B773" s="45"/>
      <c r="I773" s="89"/>
      <c r="J773" s="89"/>
    </row>
    <row r="774">
      <c r="A774" s="45"/>
      <c r="B774" s="45"/>
      <c r="I774" s="89"/>
      <c r="J774" s="89"/>
    </row>
    <row r="775">
      <c r="A775" s="45"/>
      <c r="B775" s="45"/>
      <c r="I775" s="89"/>
      <c r="J775" s="89"/>
    </row>
    <row r="776">
      <c r="A776" s="45"/>
      <c r="B776" s="45"/>
      <c r="I776" s="89"/>
      <c r="J776" s="89"/>
    </row>
    <row r="777">
      <c r="A777" s="45"/>
      <c r="B777" s="45"/>
      <c r="I777" s="89"/>
      <c r="J777" s="89"/>
    </row>
    <row r="778">
      <c r="A778" s="45"/>
      <c r="B778" s="45"/>
      <c r="I778" s="89"/>
      <c r="J778" s="89"/>
    </row>
    <row r="779">
      <c r="A779" s="45"/>
      <c r="B779" s="45"/>
      <c r="I779" s="89"/>
      <c r="J779" s="89"/>
    </row>
    <row r="780">
      <c r="A780" s="45"/>
      <c r="B780" s="45"/>
      <c r="I780" s="89"/>
      <c r="J780" s="89"/>
    </row>
    <row r="781">
      <c r="A781" s="45"/>
      <c r="B781" s="45"/>
      <c r="I781" s="89"/>
      <c r="J781" s="89"/>
    </row>
    <row r="782">
      <c r="A782" s="45"/>
      <c r="B782" s="45"/>
      <c r="I782" s="89"/>
      <c r="J782" s="89"/>
    </row>
    <row r="783">
      <c r="A783" s="45"/>
      <c r="B783" s="45"/>
      <c r="I783" s="89"/>
      <c r="J783" s="89"/>
    </row>
    <row r="784">
      <c r="A784" s="45"/>
      <c r="B784" s="45"/>
      <c r="I784" s="89"/>
      <c r="J784" s="89"/>
    </row>
    <row r="785">
      <c r="A785" s="45"/>
      <c r="B785" s="45"/>
      <c r="I785" s="89"/>
      <c r="J785" s="89"/>
    </row>
    <row r="786">
      <c r="A786" s="45"/>
      <c r="B786" s="45"/>
      <c r="I786" s="89"/>
      <c r="J786" s="89"/>
    </row>
    <row r="787">
      <c r="A787" s="45"/>
      <c r="B787" s="45"/>
      <c r="I787" s="89"/>
      <c r="J787" s="89"/>
    </row>
    <row r="788">
      <c r="A788" s="45"/>
      <c r="B788" s="45"/>
      <c r="I788" s="89"/>
      <c r="J788" s="89"/>
    </row>
    <row r="789">
      <c r="A789" s="45"/>
      <c r="B789" s="45"/>
      <c r="I789" s="89"/>
      <c r="J789" s="89"/>
    </row>
    <row r="790">
      <c r="A790" s="45"/>
      <c r="B790" s="45"/>
      <c r="I790" s="89"/>
      <c r="J790" s="89"/>
    </row>
    <row r="791">
      <c r="A791" s="45"/>
      <c r="B791" s="45"/>
      <c r="I791" s="89"/>
      <c r="J791" s="89"/>
    </row>
    <row r="792">
      <c r="A792" s="45"/>
      <c r="B792" s="45"/>
      <c r="I792" s="89"/>
      <c r="J792" s="89"/>
    </row>
    <row r="793">
      <c r="A793" s="45"/>
      <c r="B793" s="45"/>
      <c r="I793" s="89"/>
      <c r="J793" s="89"/>
    </row>
    <row r="794">
      <c r="A794" s="45"/>
      <c r="B794" s="45"/>
      <c r="I794" s="89"/>
      <c r="J794" s="89"/>
    </row>
    <row r="795">
      <c r="A795" s="45"/>
      <c r="B795" s="45"/>
      <c r="I795" s="89"/>
      <c r="J795" s="89"/>
    </row>
    <row r="796">
      <c r="A796" s="45"/>
      <c r="B796" s="45"/>
      <c r="I796" s="89"/>
      <c r="J796" s="89"/>
    </row>
    <row r="797">
      <c r="A797" s="45"/>
      <c r="B797" s="45"/>
      <c r="I797" s="89"/>
      <c r="J797" s="89"/>
    </row>
    <row r="798">
      <c r="A798" s="45"/>
      <c r="B798" s="45"/>
      <c r="I798" s="89"/>
      <c r="J798" s="89"/>
    </row>
    <row r="799">
      <c r="A799" s="45"/>
      <c r="B799" s="45"/>
      <c r="I799" s="89"/>
      <c r="J799" s="89"/>
    </row>
    <row r="800">
      <c r="A800" s="45"/>
      <c r="B800" s="45"/>
      <c r="I800" s="89"/>
      <c r="J800" s="89"/>
    </row>
    <row r="801">
      <c r="A801" s="45"/>
      <c r="B801" s="45"/>
      <c r="I801" s="89"/>
      <c r="J801" s="89"/>
    </row>
    <row r="802">
      <c r="A802" s="45"/>
      <c r="B802" s="45"/>
      <c r="I802" s="89"/>
      <c r="J802" s="89"/>
    </row>
    <row r="803">
      <c r="A803" s="45"/>
      <c r="B803" s="45"/>
      <c r="I803" s="89"/>
      <c r="J803" s="89"/>
    </row>
    <row r="804">
      <c r="A804" s="45"/>
      <c r="B804" s="45"/>
      <c r="I804" s="89"/>
      <c r="J804" s="89"/>
    </row>
    <row r="805">
      <c r="A805" s="45"/>
      <c r="B805" s="45"/>
      <c r="I805" s="89"/>
      <c r="J805" s="89"/>
    </row>
    <row r="806">
      <c r="A806" s="45"/>
      <c r="B806" s="45"/>
      <c r="I806" s="89"/>
      <c r="J806" s="89"/>
    </row>
    <row r="807">
      <c r="A807" s="45"/>
      <c r="B807" s="45"/>
      <c r="I807" s="89"/>
      <c r="J807" s="89"/>
    </row>
    <row r="808">
      <c r="A808" s="45"/>
      <c r="B808" s="45"/>
      <c r="I808" s="89"/>
      <c r="J808" s="89"/>
    </row>
    <row r="809">
      <c r="A809" s="45"/>
      <c r="B809" s="45"/>
      <c r="I809" s="89"/>
      <c r="J809" s="89"/>
    </row>
    <row r="810">
      <c r="A810" s="45"/>
      <c r="B810" s="45"/>
      <c r="I810" s="89"/>
      <c r="J810" s="89"/>
    </row>
    <row r="811">
      <c r="A811" s="45"/>
      <c r="B811" s="45"/>
      <c r="I811" s="89"/>
      <c r="J811" s="89"/>
    </row>
    <row r="812">
      <c r="A812" s="45"/>
      <c r="B812" s="45"/>
      <c r="I812" s="89"/>
      <c r="J812" s="89"/>
    </row>
    <row r="813">
      <c r="A813" s="45"/>
      <c r="B813" s="45"/>
      <c r="I813" s="89"/>
      <c r="J813" s="89"/>
    </row>
    <row r="814">
      <c r="A814" s="45"/>
      <c r="B814" s="45"/>
      <c r="I814" s="89"/>
      <c r="J814" s="89"/>
    </row>
    <row r="815">
      <c r="A815" s="45"/>
      <c r="B815" s="45"/>
      <c r="I815" s="89"/>
      <c r="J815" s="89"/>
    </row>
    <row r="816">
      <c r="A816" s="45"/>
      <c r="B816" s="45"/>
      <c r="I816" s="89"/>
      <c r="J816" s="89"/>
    </row>
    <row r="817">
      <c r="A817" s="45"/>
      <c r="B817" s="45"/>
      <c r="I817" s="89"/>
      <c r="J817" s="89"/>
    </row>
    <row r="818">
      <c r="A818" s="45"/>
      <c r="B818" s="45"/>
      <c r="I818" s="89"/>
      <c r="J818" s="89"/>
    </row>
    <row r="819">
      <c r="A819" s="45"/>
      <c r="B819" s="45"/>
      <c r="I819" s="89"/>
      <c r="J819" s="89"/>
    </row>
    <row r="820">
      <c r="A820" s="45"/>
      <c r="B820" s="45"/>
      <c r="I820" s="89"/>
      <c r="J820" s="89"/>
    </row>
    <row r="821">
      <c r="A821" s="45"/>
      <c r="B821" s="45"/>
      <c r="I821" s="89"/>
      <c r="J821" s="89"/>
    </row>
    <row r="822">
      <c r="A822" s="45"/>
      <c r="B822" s="45"/>
      <c r="I822" s="89"/>
      <c r="J822" s="89"/>
    </row>
    <row r="823">
      <c r="A823" s="45"/>
      <c r="B823" s="45"/>
      <c r="I823" s="89"/>
      <c r="J823" s="89"/>
    </row>
    <row r="824">
      <c r="A824" s="45"/>
      <c r="B824" s="45"/>
      <c r="I824" s="89"/>
      <c r="J824" s="89"/>
    </row>
    <row r="825">
      <c r="A825" s="45"/>
      <c r="B825" s="45"/>
      <c r="I825" s="89"/>
      <c r="J825" s="89"/>
    </row>
    <row r="826">
      <c r="A826" s="45"/>
      <c r="B826" s="45"/>
      <c r="I826" s="89"/>
      <c r="J826" s="89"/>
    </row>
    <row r="827">
      <c r="A827" s="45"/>
      <c r="B827" s="45"/>
      <c r="I827" s="89"/>
      <c r="J827" s="89"/>
    </row>
    <row r="828">
      <c r="A828" s="45"/>
      <c r="B828" s="45"/>
      <c r="I828" s="89"/>
      <c r="J828" s="89"/>
    </row>
    <row r="829">
      <c r="A829" s="45"/>
      <c r="B829" s="45"/>
      <c r="I829" s="89"/>
      <c r="J829" s="89"/>
    </row>
    <row r="830">
      <c r="A830" s="45"/>
      <c r="B830" s="45"/>
      <c r="I830" s="89"/>
      <c r="J830" s="89"/>
    </row>
    <row r="831">
      <c r="A831" s="45"/>
      <c r="B831" s="45"/>
      <c r="I831" s="89"/>
      <c r="J831" s="89"/>
    </row>
    <row r="832">
      <c r="A832" s="45"/>
      <c r="B832" s="45"/>
      <c r="I832" s="89"/>
      <c r="J832" s="89"/>
    </row>
    <row r="833">
      <c r="A833" s="45"/>
      <c r="B833" s="45"/>
      <c r="I833" s="89"/>
      <c r="J833" s="89"/>
    </row>
    <row r="834">
      <c r="A834" s="45"/>
      <c r="B834" s="45"/>
      <c r="I834" s="89"/>
      <c r="J834" s="89"/>
    </row>
    <row r="835">
      <c r="A835" s="45"/>
      <c r="B835" s="45"/>
      <c r="I835" s="89"/>
      <c r="J835" s="89"/>
    </row>
    <row r="836">
      <c r="A836" s="45"/>
      <c r="B836" s="45"/>
      <c r="I836" s="89"/>
      <c r="J836" s="89"/>
    </row>
    <row r="837">
      <c r="A837" s="45"/>
      <c r="B837" s="45"/>
      <c r="I837" s="89"/>
      <c r="J837" s="89"/>
    </row>
    <row r="838">
      <c r="A838" s="45"/>
      <c r="B838" s="45"/>
      <c r="I838" s="89"/>
      <c r="J838" s="89"/>
    </row>
    <row r="839">
      <c r="A839" s="45"/>
      <c r="B839" s="45"/>
      <c r="I839" s="89"/>
      <c r="J839" s="89"/>
    </row>
    <row r="840">
      <c r="A840" s="45"/>
      <c r="B840" s="45"/>
      <c r="I840" s="89"/>
      <c r="J840" s="89"/>
    </row>
    <row r="841">
      <c r="A841" s="45"/>
      <c r="B841" s="45"/>
      <c r="I841" s="89"/>
      <c r="J841" s="89"/>
    </row>
    <row r="842">
      <c r="A842" s="45"/>
      <c r="B842" s="45"/>
      <c r="I842" s="89"/>
      <c r="J842" s="89"/>
    </row>
    <row r="843">
      <c r="A843" s="45"/>
      <c r="B843" s="45"/>
      <c r="I843" s="89"/>
      <c r="J843" s="89"/>
    </row>
    <row r="844">
      <c r="A844" s="45"/>
      <c r="B844" s="45"/>
      <c r="I844" s="89"/>
      <c r="J844" s="89"/>
    </row>
    <row r="845">
      <c r="A845" s="45"/>
      <c r="B845" s="45"/>
      <c r="I845" s="89"/>
      <c r="J845" s="89"/>
    </row>
    <row r="846">
      <c r="A846" s="45"/>
      <c r="B846" s="45"/>
      <c r="I846" s="89"/>
      <c r="J846" s="89"/>
    </row>
    <row r="847">
      <c r="A847" s="45"/>
      <c r="B847" s="45"/>
      <c r="I847" s="89"/>
      <c r="J847" s="89"/>
    </row>
    <row r="848">
      <c r="A848" s="45"/>
      <c r="B848" s="45"/>
      <c r="I848" s="89"/>
      <c r="J848" s="89"/>
    </row>
    <row r="849">
      <c r="A849" s="45"/>
      <c r="B849" s="45"/>
      <c r="I849" s="89"/>
      <c r="J849" s="89"/>
    </row>
    <row r="850">
      <c r="A850" s="45"/>
      <c r="B850" s="45"/>
      <c r="I850" s="89"/>
      <c r="J850" s="89"/>
    </row>
    <row r="851">
      <c r="A851" s="45"/>
      <c r="B851" s="45"/>
      <c r="I851" s="89"/>
      <c r="J851" s="89"/>
    </row>
    <row r="852">
      <c r="A852" s="45"/>
      <c r="B852" s="45"/>
      <c r="I852" s="89"/>
      <c r="J852" s="89"/>
    </row>
    <row r="853">
      <c r="A853" s="45"/>
      <c r="B853" s="45"/>
      <c r="I853" s="89"/>
      <c r="J853" s="89"/>
    </row>
    <row r="854">
      <c r="A854" s="45"/>
      <c r="B854" s="45"/>
      <c r="I854" s="89"/>
      <c r="J854" s="89"/>
    </row>
    <row r="855">
      <c r="A855" s="45"/>
      <c r="B855" s="45"/>
      <c r="I855" s="89"/>
      <c r="J855" s="89"/>
    </row>
    <row r="856">
      <c r="A856" s="45"/>
      <c r="B856" s="45"/>
      <c r="I856" s="89"/>
      <c r="J856" s="89"/>
    </row>
    <row r="857">
      <c r="A857" s="45"/>
      <c r="B857" s="45"/>
      <c r="I857" s="89"/>
      <c r="J857" s="89"/>
    </row>
    <row r="858">
      <c r="A858" s="45"/>
      <c r="B858" s="45"/>
      <c r="I858" s="89"/>
      <c r="J858" s="89"/>
    </row>
    <row r="859">
      <c r="A859" s="45"/>
      <c r="B859" s="45"/>
      <c r="I859" s="89"/>
      <c r="J859" s="89"/>
    </row>
    <row r="860">
      <c r="A860" s="45"/>
      <c r="B860" s="45"/>
      <c r="I860" s="89"/>
      <c r="J860" s="89"/>
    </row>
    <row r="861">
      <c r="A861" s="45"/>
      <c r="B861" s="45"/>
      <c r="I861" s="89"/>
      <c r="J861" s="89"/>
    </row>
    <row r="862">
      <c r="A862" s="45"/>
      <c r="B862" s="45"/>
      <c r="I862" s="89"/>
      <c r="J862" s="89"/>
    </row>
    <row r="863">
      <c r="A863" s="45"/>
      <c r="B863" s="45"/>
      <c r="I863" s="89"/>
      <c r="J863" s="89"/>
    </row>
    <row r="864">
      <c r="A864" s="45"/>
      <c r="B864" s="45"/>
      <c r="I864" s="89"/>
      <c r="J864" s="89"/>
    </row>
    <row r="865">
      <c r="A865" s="45"/>
      <c r="B865" s="45"/>
      <c r="I865" s="89"/>
      <c r="J865" s="89"/>
    </row>
    <row r="866">
      <c r="A866" s="45"/>
      <c r="B866" s="45"/>
      <c r="I866" s="89"/>
      <c r="J866" s="89"/>
    </row>
    <row r="867">
      <c r="A867" s="45"/>
      <c r="B867" s="45"/>
      <c r="I867" s="89"/>
      <c r="J867" s="89"/>
    </row>
    <row r="868">
      <c r="A868" s="45"/>
      <c r="B868" s="45"/>
      <c r="I868" s="89"/>
      <c r="J868" s="89"/>
    </row>
    <row r="869">
      <c r="A869" s="45"/>
      <c r="B869" s="45"/>
      <c r="I869" s="89"/>
      <c r="J869" s="89"/>
    </row>
    <row r="870">
      <c r="A870" s="45"/>
      <c r="B870" s="45"/>
      <c r="I870" s="89"/>
      <c r="J870" s="89"/>
    </row>
    <row r="871">
      <c r="A871" s="45"/>
      <c r="B871" s="45"/>
      <c r="I871" s="89"/>
      <c r="J871" s="89"/>
    </row>
    <row r="872">
      <c r="A872" s="45"/>
      <c r="B872" s="45"/>
      <c r="I872" s="89"/>
      <c r="J872" s="89"/>
    </row>
    <row r="873">
      <c r="A873" s="45"/>
      <c r="B873" s="45"/>
      <c r="I873" s="89"/>
      <c r="J873" s="89"/>
    </row>
    <row r="874">
      <c r="A874" s="45"/>
      <c r="B874" s="45"/>
      <c r="I874" s="89"/>
      <c r="J874" s="89"/>
    </row>
    <row r="875">
      <c r="A875" s="45"/>
      <c r="B875" s="45"/>
      <c r="I875" s="89"/>
      <c r="J875" s="89"/>
    </row>
    <row r="876">
      <c r="A876" s="45"/>
      <c r="B876" s="45"/>
      <c r="I876" s="89"/>
      <c r="J876" s="89"/>
    </row>
    <row r="877">
      <c r="A877" s="45"/>
      <c r="B877" s="45"/>
      <c r="I877" s="89"/>
      <c r="J877" s="89"/>
    </row>
    <row r="878">
      <c r="A878" s="45"/>
      <c r="B878" s="45"/>
      <c r="I878" s="89"/>
      <c r="J878" s="89"/>
    </row>
    <row r="879">
      <c r="A879" s="45"/>
      <c r="B879" s="45"/>
      <c r="I879" s="89"/>
      <c r="J879" s="89"/>
    </row>
    <row r="880">
      <c r="A880" s="45"/>
      <c r="B880" s="45"/>
      <c r="I880" s="89"/>
      <c r="J880" s="89"/>
    </row>
    <row r="881">
      <c r="A881" s="45"/>
      <c r="B881" s="45"/>
      <c r="I881" s="89"/>
      <c r="J881" s="89"/>
    </row>
    <row r="882">
      <c r="A882" s="45"/>
      <c r="B882" s="45"/>
      <c r="I882" s="89"/>
      <c r="J882" s="89"/>
    </row>
    <row r="883">
      <c r="A883" s="45"/>
      <c r="B883" s="45"/>
      <c r="I883" s="89"/>
      <c r="J883" s="89"/>
    </row>
    <row r="884">
      <c r="A884" s="45"/>
      <c r="B884" s="45"/>
      <c r="I884" s="89"/>
      <c r="J884" s="89"/>
    </row>
    <row r="885">
      <c r="A885" s="45"/>
      <c r="B885" s="45"/>
      <c r="I885" s="89"/>
      <c r="J885" s="89"/>
    </row>
    <row r="886">
      <c r="A886" s="45"/>
      <c r="B886" s="45"/>
      <c r="I886" s="89"/>
      <c r="J886" s="89"/>
    </row>
    <row r="887">
      <c r="A887" s="45"/>
      <c r="B887" s="45"/>
      <c r="I887" s="89"/>
      <c r="J887" s="89"/>
    </row>
    <row r="888">
      <c r="A888" s="45"/>
      <c r="B888" s="45"/>
      <c r="I888" s="89"/>
      <c r="J888" s="89"/>
    </row>
    <row r="889">
      <c r="A889" s="45"/>
      <c r="B889" s="45"/>
      <c r="I889" s="89"/>
      <c r="J889" s="89"/>
    </row>
    <row r="890">
      <c r="A890" s="45"/>
      <c r="B890" s="45"/>
      <c r="I890" s="89"/>
      <c r="J890" s="89"/>
    </row>
    <row r="891">
      <c r="A891" s="45"/>
      <c r="B891" s="45"/>
      <c r="I891" s="89"/>
      <c r="J891" s="89"/>
    </row>
    <row r="892">
      <c r="A892" s="45"/>
      <c r="B892" s="45"/>
      <c r="I892" s="89"/>
      <c r="J892" s="89"/>
    </row>
    <row r="893">
      <c r="A893" s="45"/>
      <c r="B893" s="45"/>
      <c r="I893" s="89"/>
      <c r="J893" s="89"/>
    </row>
    <row r="894">
      <c r="A894" s="45"/>
      <c r="B894" s="45"/>
      <c r="I894" s="89"/>
      <c r="J894" s="89"/>
    </row>
    <row r="895">
      <c r="A895" s="45"/>
      <c r="B895" s="45"/>
      <c r="I895" s="89"/>
      <c r="J895" s="89"/>
    </row>
    <row r="896">
      <c r="A896" s="45"/>
      <c r="B896" s="45"/>
      <c r="I896" s="89"/>
      <c r="J896" s="89"/>
    </row>
    <row r="897">
      <c r="A897" s="45"/>
      <c r="B897" s="45"/>
      <c r="I897" s="89"/>
      <c r="J897" s="89"/>
    </row>
    <row r="898">
      <c r="A898" s="45"/>
      <c r="B898" s="45"/>
      <c r="I898" s="89"/>
      <c r="J898" s="89"/>
    </row>
    <row r="899">
      <c r="A899" s="45"/>
      <c r="B899" s="45"/>
      <c r="I899" s="89"/>
      <c r="J899" s="89"/>
    </row>
    <row r="900">
      <c r="A900" s="45"/>
      <c r="B900" s="45"/>
      <c r="I900" s="89"/>
      <c r="J900" s="89"/>
    </row>
    <row r="901">
      <c r="A901" s="45"/>
      <c r="B901" s="45"/>
      <c r="I901" s="89"/>
      <c r="J901" s="89"/>
    </row>
    <row r="902">
      <c r="A902" s="45"/>
      <c r="B902" s="45"/>
      <c r="I902" s="89"/>
      <c r="J902" s="89"/>
    </row>
    <row r="903">
      <c r="A903" s="45"/>
      <c r="B903" s="45"/>
      <c r="I903" s="89"/>
      <c r="J903" s="89"/>
    </row>
    <row r="904">
      <c r="A904" s="45"/>
      <c r="B904" s="45"/>
      <c r="I904" s="89"/>
      <c r="J904" s="89"/>
    </row>
    <row r="905">
      <c r="A905" s="45"/>
      <c r="B905" s="45"/>
      <c r="I905" s="89"/>
      <c r="J905" s="89"/>
    </row>
    <row r="906">
      <c r="A906" s="45"/>
      <c r="B906" s="45"/>
      <c r="I906" s="89"/>
      <c r="J906" s="89"/>
    </row>
    <row r="907">
      <c r="A907" s="45"/>
      <c r="B907" s="45"/>
      <c r="I907" s="89"/>
      <c r="J907" s="89"/>
    </row>
    <row r="908">
      <c r="A908" s="45"/>
      <c r="B908" s="45"/>
      <c r="I908" s="89"/>
      <c r="J908" s="89"/>
    </row>
    <row r="909">
      <c r="A909" s="45"/>
      <c r="B909" s="45"/>
      <c r="I909" s="89"/>
      <c r="J909" s="89"/>
    </row>
    <row r="910">
      <c r="A910" s="45"/>
      <c r="B910" s="45"/>
      <c r="I910" s="89"/>
      <c r="J910" s="89"/>
    </row>
    <row r="911">
      <c r="A911" s="45"/>
      <c r="B911" s="45"/>
      <c r="I911" s="89"/>
      <c r="J911" s="89"/>
    </row>
    <row r="912">
      <c r="A912" s="45"/>
      <c r="B912" s="45"/>
      <c r="I912" s="89"/>
      <c r="J912" s="89"/>
    </row>
    <row r="913">
      <c r="A913" s="45"/>
      <c r="B913" s="45"/>
      <c r="I913" s="89"/>
      <c r="J913" s="89"/>
    </row>
    <row r="914">
      <c r="A914" s="45"/>
      <c r="B914" s="45"/>
      <c r="I914" s="89"/>
      <c r="J914" s="89"/>
    </row>
    <row r="915">
      <c r="A915" s="45"/>
      <c r="B915" s="45"/>
      <c r="I915" s="89"/>
      <c r="J915" s="89"/>
    </row>
    <row r="916">
      <c r="A916" s="45"/>
      <c r="B916" s="45"/>
      <c r="I916" s="89"/>
      <c r="J916" s="89"/>
    </row>
    <row r="917">
      <c r="A917" s="45"/>
      <c r="B917" s="45"/>
      <c r="I917" s="89"/>
      <c r="J917" s="89"/>
    </row>
    <row r="918">
      <c r="A918" s="45"/>
      <c r="B918" s="45"/>
      <c r="I918" s="89"/>
      <c r="J918" s="89"/>
    </row>
    <row r="919">
      <c r="A919" s="45"/>
      <c r="B919" s="45"/>
      <c r="I919" s="89"/>
      <c r="J919" s="89"/>
    </row>
    <row r="920">
      <c r="A920" s="45"/>
      <c r="B920" s="45"/>
      <c r="I920" s="89"/>
      <c r="J920" s="89"/>
    </row>
    <row r="921">
      <c r="A921" s="45"/>
      <c r="B921" s="45"/>
      <c r="I921" s="89"/>
      <c r="J921" s="89"/>
    </row>
    <row r="922">
      <c r="A922" s="45"/>
      <c r="B922" s="45"/>
      <c r="I922" s="89"/>
      <c r="J922" s="89"/>
    </row>
    <row r="923">
      <c r="A923" s="45"/>
      <c r="B923" s="45"/>
      <c r="I923" s="89"/>
      <c r="J923" s="89"/>
    </row>
    <row r="924">
      <c r="A924" s="45"/>
      <c r="B924" s="45"/>
      <c r="I924" s="89"/>
      <c r="J924" s="89"/>
    </row>
    <row r="925">
      <c r="A925" s="45"/>
      <c r="B925" s="45"/>
      <c r="I925" s="89"/>
      <c r="J925" s="89"/>
    </row>
    <row r="926">
      <c r="A926" s="45"/>
      <c r="B926" s="45"/>
      <c r="I926" s="89"/>
      <c r="J926" s="89"/>
    </row>
    <row r="927">
      <c r="A927" s="45"/>
      <c r="B927" s="45"/>
      <c r="I927" s="89"/>
      <c r="J927" s="89"/>
    </row>
    <row r="928">
      <c r="A928" s="45"/>
      <c r="B928" s="45"/>
      <c r="I928" s="89"/>
      <c r="J928" s="89"/>
    </row>
    <row r="929">
      <c r="A929" s="45"/>
      <c r="B929" s="45"/>
      <c r="I929" s="89"/>
      <c r="J929" s="89"/>
    </row>
    <row r="930">
      <c r="A930" s="45"/>
      <c r="B930" s="45"/>
      <c r="I930" s="89"/>
      <c r="J930" s="89"/>
    </row>
    <row r="931">
      <c r="A931" s="45"/>
      <c r="B931" s="45"/>
      <c r="I931" s="89"/>
      <c r="J931" s="89"/>
    </row>
    <row r="932">
      <c r="A932" s="45"/>
      <c r="B932" s="45"/>
      <c r="I932" s="89"/>
      <c r="J932" s="89"/>
    </row>
    <row r="933">
      <c r="A933" s="45"/>
      <c r="B933" s="45"/>
      <c r="I933" s="89"/>
      <c r="J933" s="89"/>
    </row>
    <row r="934">
      <c r="A934" s="45"/>
      <c r="B934" s="45"/>
      <c r="I934" s="89"/>
      <c r="J934" s="89"/>
    </row>
    <row r="935">
      <c r="A935" s="45"/>
      <c r="B935" s="45"/>
      <c r="I935" s="89"/>
      <c r="J935" s="89"/>
    </row>
    <row r="936">
      <c r="A936" s="45"/>
      <c r="B936" s="45"/>
      <c r="I936" s="89"/>
      <c r="J936" s="89"/>
    </row>
    <row r="937">
      <c r="A937" s="45"/>
      <c r="B937" s="45"/>
      <c r="I937" s="89"/>
      <c r="J937" s="89"/>
    </row>
    <row r="938">
      <c r="A938" s="45"/>
      <c r="B938" s="45"/>
      <c r="I938" s="89"/>
      <c r="J938" s="89"/>
    </row>
    <row r="939">
      <c r="A939" s="45"/>
      <c r="B939" s="45"/>
      <c r="I939" s="89"/>
      <c r="J939" s="89"/>
    </row>
    <row r="940">
      <c r="A940" s="45"/>
      <c r="B940" s="45"/>
      <c r="I940" s="89"/>
      <c r="J940" s="89"/>
    </row>
    <row r="941">
      <c r="A941" s="45"/>
      <c r="B941" s="45"/>
      <c r="I941" s="89"/>
      <c r="J941" s="89"/>
    </row>
    <row r="942">
      <c r="A942" s="45"/>
      <c r="B942" s="45"/>
      <c r="I942" s="89"/>
      <c r="J942" s="89"/>
    </row>
    <row r="943">
      <c r="A943" s="45"/>
      <c r="B943" s="45"/>
      <c r="I943" s="89"/>
      <c r="J943" s="89"/>
    </row>
    <row r="944">
      <c r="A944" s="45"/>
      <c r="B944" s="45"/>
      <c r="I944" s="89"/>
      <c r="J944" s="89"/>
    </row>
    <row r="945">
      <c r="A945" s="45"/>
      <c r="B945" s="45"/>
      <c r="I945" s="89"/>
      <c r="J945" s="89"/>
    </row>
    <row r="946">
      <c r="A946" s="45"/>
      <c r="B946" s="45"/>
      <c r="I946" s="89"/>
      <c r="J946" s="89"/>
    </row>
    <row r="947">
      <c r="A947" s="45"/>
      <c r="B947" s="45"/>
      <c r="I947" s="89"/>
      <c r="J947" s="89"/>
    </row>
    <row r="948">
      <c r="A948" s="45"/>
      <c r="B948" s="45"/>
      <c r="I948" s="89"/>
      <c r="J948" s="89"/>
    </row>
    <row r="949">
      <c r="A949" s="45"/>
      <c r="B949" s="45"/>
      <c r="I949" s="89"/>
      <c r="J949" s="89"/>
    </row>
    <row r="950">
      <c r="A950" s="45"/>
      <c r="B950" s="45"/>
      <c r="I950" s="89"/>
      <c r="J950" s="89"/>
    </row>
    <row r="951">
      <c r="A951" s="45"/>
      <c r="B951" s="45"/>
      <c r="I951" s="89"/>
      <c r="J951" s="89"/>
    </row>
    <row r="952">
      <c r="A952" s="45"/>
      <c r="B952" s="45"/>
      <c r="I952" s="89"/>
      <c r="J952" s="89"/>
    </row>
    <row r="953">
      <c r="A953" s="45"/>
      <c r="B953" s="45"/>
      <c r="I953" s="89"/>
      <c r="J953" s="89"/>
    </row>
    <row r="954">
      <c r="A954" s="45"/>
      <c r="B954" s="45"/>
      <c r="I954" s="89"/>
      <c r="J954" s="89"/>
    </row>
    <row r="955">
      <c r="A955" s="45"/>
      <c r="B955" s="45"/>
      <c r="I955" s="89"/>
      <c r="J955" s="89"/>
    </row>
    <row r="956">
      <c r="A956" s="45"/>
      <c r="B956" s="45"/>
      <c r="I956" s="89"/>
      <c r="J956" s="89"/>
    </row>
    <row r="957">
      <c r="A957" s="45"/>
      <c r="B957" s="45"/>
      <c r="I957" s="89"/>
      <c r="J957" s="89"/>
    </row>
    <row r="958">
      <c r="A958" s="45"/>
      <c r="B958" s="45"/>
      <c r="I958" s="89"/>
      <c r="J958" s="89"/>
    </row>
    <row r="959">
      <c r="A959" s="45"/>
      <c r="B959" s="45"/>
      <c r="I959" s="89"/>
      <c r="J959" s="89"/>
    </row>
    <row r="960">
      <c r="A960" s="45"/>
      <c r="B960" s="45"/>
      <c r="I960" s="89"/>
      <c r="J960" s="89"/>
    </row>
    <row r="961">
      <c r="A961" s="45"/>
      <c r="B961" s="45"/>
      <c r="I961" s="89"/>
      <c r="J961" s="89"/>
    </row>
    <row r="962">
      <c r="A962" s="45"/>
      <c r="B962" s="45"/>
      <c r="I962" s="89"/>
      <c r="J962" s="89"/>
    </row>
    <row r="963">
      <c r="A963" s="45"/>
      <c r="B963" s="45"/>
      <c r="I963" s="89"/>
      <c r="J963" s="89"/>
    </row>
    <row r="964">
      <c r="A964" s="45"/>
      <c r="B964" s="45"/>
      <c r="I964" s="89"/>
      <c r="J964" s="89"/>
    </row>
    <row r="965">
      <c r="A965" s="45"/>
      <c r="B965" s="45"/>
      <c r="I965" s="89"/>
      <c r="J965" s="89"/>
    </row>
    <row r="966">
      <c r="A966" s="45"/>
      <c r="B966" s="45"/>
      <c r="I966" s="89"/>
      <c r="J966" s="89"/>
    </row>
    <row r="967">
      <c r="A967" s="45"/>
      <c r="B967" s="45"/>
      <c r="I967" s="89"/>
      <c r="J967" s="89"/>
    </row>
    <row r="968">
      <c r="A968" s="45"/>
      <c r="B968" s="45"/>
      <c r="I968" s="89"/>
      <c r="J968" s="89"/>
    </row>
    <row r="969">
      <c r="A969" s="45"/>
      <c r="B969" s="45"/>
      <c r="I969" s="89"/>
      <c r="J969" s="89"/>
    </row>
    <row r="970">
      <c r="A970" s="45"/>
      <c r="B970" s="45"/>
      <c r="I970" s="89"/>
      <c r="J970" s="89"/>
    </row>
    <row r="971">
      <c r="A971" s="45"/>
      <c r="B971" s="45"/>
      <c r="I971" s="89"/>
      <c r="J971" s="89"/>
    </row>
    <row r="972">
      <c r="A972" s="45"/>
      <c r="B972" s="45"/>
      <c r="I972" s="89"/>
      <c r="J972" s="89"/>
    </row>
    <row r="973">
      <c r="A973" s="45"/>
      <c r="B973" s="45"/>
      <c r="I973" s="89"/>
      <c r="J973" s="89"/>
    </row>
    <row r="974">
      <c r="A974" s="45"/>
      <c r="B974" s="45"/>
      <c r="I974" s="89"/>
      <c r="J974" s="89"/>
    </row>
    <row r="975">
      <c r="A975" s="45"/>
      <c r="B975" s="45"/>
      <c r="I975" s="89"/>
      <c r="J975" s="89"/>
    </row>
    <row r="976">
      <c r="A976" s="45"/>
      <c r="B976" s="45"/>
      <c r="I976" s="89"/>
      <c r="J976" s="89"/>
    </row>
    <row r="977">
      <c r="A977" s="45"/>
      <c r="B977" s="45"/>
      <c r="I977" s="89"/>
      <c r="J977" s="89"/>
    </row>
    <row r="978">
      <c r="A978" s="45"/>
      <c r="B978" s="45"/>
      <c r="I978" s="89"/>
      <c r="J978" s="89"/>
    </row>
    <row r="979">
      <c r="A979" s="45"/>
      <c r="B979" s="45"/>
      <c r="I979" s="89"/>
      <c r="J979" s="89"/>
    </row>
    <row r="980">
      <c r="A980" s="45"/>
      <c r="B980" s="45"/>
      <c r="I980" s="89"/>
      <c r="J980" s="89"/>
    </row>
    <row r="981">
      <c r="A981" s="45"/>
      <c r="B981" s="45"/>
      <c r="I981" s="89"/>
      <c r="J981" s="89"/>
    </row>
    <row r="982">
      <c r="A982" s="45"/>
      <c r="B982" s="45"/>
      <c r="I982" s="89"/>
      <c r="J982" s="89"/>
    </row>
    <row r="983">
      <c r="A983" s="45"/>
      <c r="B983" s="45"/>
      <c r="I983" s="89"/>
      <c r="J983" s="89"/>
    </row>
    <row r="984">
      <c r="A984" s="45"/>
      <c r="B984" s="45"/>
      <c r="I984" s="89"/>
      <c r="J984" s="89"/>
    </row>
    <row r="985">
      <c r="A985" s="45"/>
      <c r="B985" s="45"/>
      <c r="I985" s="89"/>
      <c r="J985" s="89"/>
    </row>
    <row r="986">
      <c r="A986" s="45"/>
      <c r="B986" s="45"/>
      <c r="I986" s="89"/>
      <c r="J986" s="89"/>
    </row>
    <row r="987">
      <c r="A987" s="45"/>
      <c r="B987" s="45"/>
      <c r="I987" s="89"/>
      <c r="J987" s="89"/>
    </row>
    <row r="988">
      <c r="A988" s="45"/>
      <c r="B988" s="45"/>
      <c r="I988" s="89"/>
      <c r="J988" s="89"/>
    </row>
    <row r="989">
      <c r="A989" s="45"/>
      <c r="B989" s="45"/>
      <c r="I989" s="89"/>
      <c r="J989" s="89"/>
    </row>
    <row r="990">
      <c r="A990" s="45"/>
      <c r="B990" s="45"/>
      <c r="I990" s="89"/>
      <c r="J990" s="89"/>
    </row>
    <row r="991">
      <c r="A991" s="45"/>
      <c r="B991" s="45"/>
      <c r="I991" s="89"/>
      <c r="J991" s="89"/>
    </row>
    <row r="992">
      <c r="A992" s="45"/>
      <c r="B992" s="45"/>
      <c r="I992" s="89"/>
      <c r="J992" s="89"/>
    </row>
    <row r="993">
      <c r="A993" s="45"/>
      <c r="B993" s="45"/>
      <c r="I993" s="89"/>
      <c r="J993" s="89"/>
    </row>
    <row r="994">
      <c r="A994" s="45"/>
      <c r="B994" s="45"/>
      <c r="I994" s="89"/>
      <c r="J994" s="89"/>
    </row>
    <row r="995">
      <c r="A995" s="45"/>
      <c r="B995" s="45"/>
      <c r="I995" s="89"/>
      <c r="J995" s="89"/>
    </row>
    <row r="996">
      <c r="A996" s="45"/>
      <c r="B996" s="45"/>
      <c r="I996" s="89"/>
      <c r="J996" s="89"/>
    </row>
    <row r="997">
      <c r="A997" s="45"/>
      <c r="B997" s="45"/>
      <c r="I997" s="89"/>
      <c r="J997" s="89"/>
    </row>
    <row r="998">
      <c r="A998" s="45"/>
      <c r="B998" s="45"/>
      <c r="I998" s="89"/>
      <c r="J998" s="89"/>
    </row>
    <row r="999">
      <c r="A999" s="45"/>
      <c r="B999" s="45"/>
      <c r="I999" s="89"/>
      <c r="J999" s="89"/>
    </row>
    <row r="1000">
      <c r="A1000" s="45"/>
      <c r="B1000" s="45"/>
      <c r="I1000" s="89"/>
      <c r="J1000" s="89"/>
    </row>
    <row r="1001">
      <c r="A1001" s="45"/>
      <c r="B1001" s="45"/>
      <c r="I1001" s="89"/>
      <c r="J1001" s="89"/>
    </row>
    <row r="1002">
      <c r="A1002" s="45"/>
      <c r="B1002" s="45"/>
      <c r="I1002" s="89"/>
      <c r="J1002" s="89"/>
    </row>
  </sheetData>
  <autoFilter ref="$A$1:$AC$41">
    <sortState ref="A1:AC41">
      <sortCondition ref="B1:B41"/>
      <sortCondition ref="A1:A41"/>
    </sortState>
  </autoFilter>
  <dataValidations>
    <dataValidation type="list" allowBlank="1" showErrorMessage="1" sqref="I2:I32 I35 I37:I41">
      <formula1>"TBD,Yes,No- New Initiative"</formula1>
    </dataValidation>
    <dataValidation type="list" allowBlank="1" showErrorMessage="1" sqref="J2:J41">
      <formula1>"Not Started,In Progress (In Dev),Dev Complete - In Adoption,Blocked,Complete,Won't do (Deprioritized),Paused"</formula1>
    </dataValidation>
  </dataValidations>
  <hyperlinks>
    <hyperlink r:id="rId4" ref="D2"/>
    <hyperlink r:id="rId5" ref="E2"/>
    <hyperlink r:id="rId6" ref="F2"/>
    <hyperlink r:id="rId7" ref="G2"/>
    <hyperlink r:id="rId8" ref="H2"/>
    <hyperlink r:id="rId9" ref="D3"/>
    <hyperlink r:id="rId10" ref="E3"/>
    <hyperlink r:id="rId11" ref="F3"/>
    <hyperlink r:id="rId12" ref="G3"/>
    <hyperlink r:id="rId13" ref="H3"/>
    <hyperlink r:id="rId14" ref="D4"/>
    <hyperlink r:id="rId15" ref="E4"/>
    <hyperlink r:id="rId16" ref="F4"/>
    <hyperlink r:id="rId17" ref="G4"/>
    <hyperlink r:id="rId18" ref="H4"/>
    <hyperlink r:id="rId19" ref="E5"/>
    <hyperlink r:id="rId20" ref="F5"/>
    <hyperlink r:id="rId21" ref="D7"/>
    <hyperlink r:id="rId22" ref="E7"/>
    <hyperlink r:id="rId23" ref="F7"/>
    <hyperlink r:id="rId24" ref="G7"/>
    <hyperlink r:id="rId25" ref="H7"/>
    <hyperlink r:id="rId26" ref="F8"/>
    <hyperlink r:id="rId27" ref="H8"/>
    <hyperlink r:id="rId28" ref="D9"/>
    <hyperlink r:id="rId29" ref="E9"/>
    <hyperlink r:id="rId30" ref="F9"/>
    <hyperlink r:id="rId31" ref="G9"/>
    <hyperlink r:id="rId32" ref="H9"/>
    <hyperlink r:id="rId33" ref="D10"/>
    <hyperlink r:id="rId34" ref="E10"/>
    <hyperlink r:id="rId35" ref="F10"/>
    <hyperlink r:id="rId36" ref="G10"/>
    <hyperlink r:id="rId37" ref="H10"/>
    <hyperlink r:id="rId38" ref="D11"/>
    <hyperlink r:id="rId39" ref="E11"/>
    <hyperlink r:id="rId40" ref="F11"/>
    <hyperlink r:id="rId41" ref="D12"/>
    <hyperlink r:id="rId42" ref="E12"/>
    <hyperlink r:id="rId43" ref="F12"/>
    <hyperlink r:id="rId44" ref="G12"/>
    <hyperlink r:id="rId45" ref="H12"/>
    <hyperlink r:id="rId46" ref="E13"/>
    <hyperlink r:id="rId47" ref="F13"/>
    <hyperlink r:id="rId48" ref="H13"/>
    <hyperlink r:id="rId49" ref="D14"/>
    <hyperlink r:id="rId50" ref="E14"/>
    <hyperlink r:id="rId51" ref="F14"/>
    <hyperlink r:id="rId52" ref="G14"/>
    <hyperlink r:id="rId53" ref="D15"/>
    <hyperlink r:id="rId54" ref="E15"/>
    <hyperlink r:id="rId55" ref="F15"/>
    <hyperlink r:id="rId56" ref="G15"/>
    <hyperlink r:id="rId57" ref="H15"/>
    <hyperlink r:id="rId58" ref="D16"/>
    <hyperlink r:id="rId59" ref="E16"/>
    <hyperlink r:id="rId60" ref="F16"/>
    <hyperlink r:id="rId61" ref="G16"/>
    <hyperlink r:id="rId62" ref="D17"/>
    <hyperlink r:id="rId63" ref="E17"/>
    <hyperlink r:id="rId64" ref="F17"/>
    <hyperlink r:id="rId65" ref="G17"/>
    <hyperlink r:id="rId66" ref="H17"/>
    <hyperlink r:id="rId67" ref="D18"/>
    <hyperlink r:id="rId68" ref="F18"/>
    <hyperlink r:id="rId69" ref="G18"/>
    <hyperlink r:id="rId70" ref="D19"/>
    <hyperlink r:id="rId71" ref="E19"/>
    <hyperlink r:id="rId72" ref="F19"/>
    <hyperlink r:id="rId73" ref="H19"/>
    <hyperlink r:id="rId74" ref="D20"/>
    <hyperlink r:id="rId75" ref="E20"/>
    <hyperlink r:id="rId76" ref="F20"/>
    <hyperlink r:id="rId77" ref="G20"/>
    <hyperlink r:id="rId78" ref="H20"/>
    <hyperlink r:id="rId79" ref="E21"/>
    <hyperlink r:id="rId80" ref="F21"/>
    <hyperlink r:id="rId81" ref="G21"/>
    <hyperlink r:id="rId82" ref="H21"/>
    <hyperlink r:id="rId83" ref="D22"/>
    <hyperlink r:id="rId84" ref="E22"/>
    <hyperlink r:id="rId85" ref="F22"/>
    <hyperlink r:id="rId86" ref="D23"/>
    <hyperlink r:id="rId87" ref="E23"/>
    <hyperlink r:id="rId88" ref="F23"/>
    <hyperlink r:id="rId89" ref="G23"/>
    <hyperlink r:id="rId90" location="Pod-reference-(subset)" ref="D24"/>
    <hyperlink r:id="rId91" ref="E24"/>
    <hyperlink r:id="rId92" ref="F24"/>
    <hyperlink r:id="rId93" ref="G24"/>
    <hyperlink r:id="rId94" ref="H24"/>
    <hyperlink r:id="rId95" location="slide=id.g3d2583366a7_0_348" ref="D25"/>
    <hyperlink r:id="rId96" ref="G25"/>
    <hyperlink r:id="rId97" ref="H25"/>
    <hyperlink r:id="rId98" ref="D26"/>
    <hyperlink r:id="rId99" ref="E26"/>
    <hyperlink r:id="rId100" ref="F26"/>
    <hyperlink r:id="rId101" ref="D27"/>
    <hyperlink r:id="rId102" ref="E27"/>
    <hyperlink r:id="rId103" ref="F27"/>
    <hyperlink r:id="rId104" ref="G27"/>
    <hyperlink r:id="rId105" ref="H27"/>
    <hyperlink r:id="rId106" ref="D28"/>
    <hyperlink r:id="rId107" ref="E28"/>
    <hyperlink r:id="rId108" ref="F28"/>
    <hyperlink r:id="rId109" ref="D29"/>
    <hyperlink r:id="rId110" ref="E29"/>
    <hyperlink r:id="rId111" ref="F29"/>
    <hyperlink r:id="rId112" ref="G29"/>
    <hyperlink r:id="rId113" ref="D30"/>
    <hyperlink r:id="rId114" ref="E30"/>
    <hyperlink r:id="rId115" ref="F30"/>
    <hyperlink r:id="rId116" ref="G30"/>
    <hyperlink r:id="rId117" ref="D31"/>
    <hyperlink r:id="rId118" ref="E31"/>
    <hyperlink r:id="rId119" ref="F31"/>
    <hyperlink r:id="rId120" ref="G31"/>
    <hyperlink r:id="rId121" ref="D32"/>
    <hyperlink r:id="rId122" ref="E32"/>
    <hyperlink r:id="rId123" ref="F32"/>
    <hyperlink r:id="rId124" ref="G32"/>
    <hyperlink r:id="rId125" ref="H32"/>
    <hyperlink r:id="rId126" ref="H33"/>
    <hyperlink r:id="rId127" ref="H34"/>
    <hyperlink r:id="rId128" ref="D35"/>
    <hyperlink r:id="rId129" ref="E35"/>
    <hyperlink r:id="rId130" ref="F35"/>
    <hyperlink r:id="rId131" ref="H35"/>
    <hyperlink r:id="rId132" ref="H36"/>
    <hyperlink r:id="rId133" ref="D37"/>
    <hyperlink r:id="rId134" ref="E37"/>
    <hyperlink r:id="rId135" ref="F37"/>
    <hyperlink r:id="rId136" ref="G37"/>
    <hyperlink r:id="rId137" ref="H37"/>
    <hyperlink r:id="rId138" ref="E38"/>
    <hyperlink r:id="rId139" ref="F38"/>
    <hyperlink r:id="rId140" ref="G38"/>
    <hyperlink r:id="rId141" ref="H38"/>
    <hyperlink r:id="rId142" ref="H39"/>
    <hyperlink r:id="rId143" ref="H40"/>
    <hyperlink r:id="rId144" ref="H41"/>
  </hyperlinks>
  <drawing r:id="rId145"/>
  <legacyDrawing r:id="rId14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63"/>
    <col customWidth="1" min="4" max="4" width="60.13"/>
  </cols>
  <sheetData>
    <row r="1">
      <c r="A1" s="70" t="s">
        <v>258</v>
      </c>
      <c r="B1" s="70" t="s">
        <v>259</v>
      </c>
      <c r="C1" s="70" t="s">
        <v>9</v>
      </c>
      <c r="D1" s="71" t="s">
        <v>260</v>
      </c>
    </row>
    <row r="2">
      <c r="A2" s="72">
        <v>46226.0</v>
      </c>
      <c r="B2" s="73" t="s">
        <v>261</v>
      </c>
      <c r="C2" s="73" t="s">
        <v>262</v>
      </c>
      <c r="D2" s="24"/>
    </row>
    <row r="3">
      <c r="A3" s="24"/>
      <c r="B3" s="24"/>
      <c r="C3" s="24"/>
      <c r="D3" s="24"/>
    </row>
    <row r="4">
      <c r="A4" s="24"/>
      <c r="B4" s="24"/>
      <c r="C4" s="24"/>
      <c r="D4" s="24"/>
    </row>
    <row r="5">
      <c r="A5" s="24"/>
      <c r="B5" s="24"/>
      <c r="C5" s="24"/>
      <c r="D5" s="24"/>
    </row>
    <row r="6">
      <c r="A6" s="24"/>
      <c r="B6" s="24"/>
      <c r="C6" s="24"/>
      <c r="D6" s="24"/>
    </row>
    <row r="7">
      <c r="A7" s="24"/>
      <c r="B7" s="24"/>
      <c r="C7" s="24"/>
      <c r="D7" s="24"/>
    </row>
    <row r="8">
      <c r="A8" s="24"/>
      <c r="B8" s="24"/>
      <c r="C8" s="24"/>
      <c r="D8" s="24"/>
    </row>
    <row r="9">
      <c r="A9" s="24"/>
      <c r="B9" s="24"/>
      <c r="C9" s="24"/>
      <c r="D9" s="24"/>
    </row>
    <row r="10">
      <c r="A10" s="24"/>
      <c r="B10" s="24"/>
      <c r="C10" s="24"/>
      <c r="D10" s="24"/>
    </row>
    <row r="11">
      <c r="A11" s="24"/>
      <c r="B11" s="24"/>
      <c r="C11" s="24"/>
      <c r="D11" s="24"/>
    </row>
    <row r="12">
      <c r="A12" s="24"/>
      <c r="B12" s="24"/>
      <c r="C12" s="24"/>
      <c r="D12" s="24"/>
    </row>
    <row r="13">
      <c r="A13" s="24"/>
      <c r="B13" s="24"/>
      <c r="C13" s="24"/>
      <c r="D13" s="24"/>
    </row>
    <row r="14">
      <c r="A14" s="24"/>
      <c r="B14" s="24"/>
      <c r="C14" s="24"/>
      <c r="D14" s="24"/>
    </row>
    <row r="15">
      <c r="A15" s="24"/>
      <c r="B15" s="24"/>
      <c r="C15" s="24"/>
      <c r="D15" s="24"/>
    </row>
    <row r="16">
      <c r="A16" s="24"/>
      <c r="B16" s="24"/>
      <c r="C16" s="24"/>
      <c r="D16" s="24"/>
    </row>
    <row r="17">
      <c r="A17" s="24"/>
      <c r="B17" s="24"/>
      <c r="C17" s="24"/>
      <c r="D17" s="24"/>
    </row>
  </sheetData>
  <drawing r:id="rId1"/>
</worksheet>
</file>